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5505e40796e3e55/Desktop/MISC/"/>
    </mc:Choice>
  </mc:AlternateContent>
  <xr:revisionPtr revIDLastSave="3568" documentId="11_B07841AB6279C514671BD1130A6557AFF2304C94" xr6:coauthVersionLast="47" xr6:coauthVersionMax="47" xr10:uidLastSave="{80760695-41C2-491A-B08C-8A31E3A13EB8}"/>
  <bookViews>
    <workbookView xWindow="-108" yWindow="-108" windowWidth="23256" windowHeight="13896" xr2:uid="{00000000-000D-0000-FFFF-FFFF00000000}"/>
  </bookViews>
  <sheets>
    <sheet name="README" sheetId="1" r:id="rId1"/>
    <sheet name="RawPrice_Daily" sheetId="2" r:id="rId2"/>
    <sheet name="RawPrice_Weekly" sheetId="15" r:id="rId3"/>
    <sheet name="RawPrice_Monthly" sheetId="4" r:id="rId4"/>
    <sheet name="Beta_Calculations" sheetId="6" r:id="rId5"/>
    <sheet name="Income_Statement" sheetId="16" r:id="rId6"/>
    <sheet name="Balance_Sheet" sheetId="17" r:id="rId7"/>
    <sheet name="Cash_Flow_Statement" sheetId="18" r:id="rId8"/>
    <sheet name="Ratio_Analysis" sheetId="8" r:id="rId9"/>
    <sheet name="WACC" sheetId="9" r:id="rId10"/>
    <sheet name="Cash_Flow_Analysis" sheetId="20" r:id="rId11"/>
    <sheet name="Investment_Analysis" sheetId="10" r:id="rId12"/>
    <sheet name="Dividend_Analysis" sheetId="11" r:id="rId13"/>
    <sheet name="Working_Capital" sheetId="12" r:id="rId14"/>
    <sheet name="Charts_Dashboard" sheetId="13" r:id="rId15"/>
    <sheet name="DataSources_and_Checks" sheetId="14" r:id="rId16"/>
  </sheets>
  <definedNames>
    <definedName name="_xlchart.v2.0" hidden="1">Dividend_Analysis!$A$3:$A$12</definedName>
    <definedName name="_xlchart.v2.1" hidden="1">Dividend_Analysis!$C$2</definedName>
    <definedName name="_xlchart.v2.2" hidden="1">Dividend_Analysis!$C$3:$C$12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 l="1"/>
  <c r="F4" i="8"/>
  <c r="E4" i="8"/>
  <c r="D4" i="8"/>
  <c r="C4" i="8"/>
  <c r="B5" i="8"/>
  <c r="G17" i="11"/>
  <c r="K19" i="11" s="1"/>
  <c r="G20" i="11" s="1"/>
  <c r="B20" i="12"/>
  <c r="B19" i="12"/>
  <c r="G126" i="4"/>
  <c r="I39" i="20"/>
  <c r="D39" i="20"/>
  <c r="H40" i="20"/>
  <c r="D37" i="20"/>
  <c r="F10" i="10"/>
  <c r="H41" i="20"/>
  <c r="H39" i="20"/>
  <c r="H38" i="20"/>
  <c r="I40" i="20"/>
  <c r="H37" i="20"/>
  <c r="I38" i="20"/>
  <c r="I41" i="20"/>
  <c r="I37" i="20"/>
  <c r="B12" i="20"/>
  <c r="G39" i="20"/>
  <c r="G40" i="20" s="1"/>
  <c r="G41" i="20" s="1"/>
  <c r="G38" i="20"/>
  <c r="G37" i="20"/>
  <c r="F37" i="20"/>
  <c r="F38" i="20" s="1"/>
  <c r="F39" i="20" s="1"/>
  <c r="F40" i="20" s="1"/>
  <c r="F41" i="20" s="1"/>
  <c r="E38" i="20"/>
  <c r="E39" i="20" s="1"/>
  <c r="E40" i="20" s="1"/>
  <c r="E41" i="20" s="1"/>
  <c r="E37" i="20"/>
  <c r="D38" i="20"/>
  <c r="D40" i="20" s="1"/>
  <c r="D41" i="20" s="1"/>
  <c r="F25" i="8"/>
  <c r="E25" i="8"/>
  <c r="D25" i="8"/>
  <c r="C25" i="8"/>
  <c r="B25" i="8"/>
  <c r="I15" i="6"/>
  <c r="I14" i="6"/>
  <c r="I13" i="6"/>
  <c r="I12" i="6"/>
  <c r="H3" i="11"/>
  <c r="B8" i="9"/>
  <c r="G14" i="10"/>
  <c r="H14" i="10"/>
  <c r="I14" i="10"/>
  <c r="J14" i="10"/>
  <c r="K14" i="10"/>
  <c r="L14" i="10"/>
  <c r="M14" i="10"/>
  <c r="N14" i="10"/>
  <c r="O14" i="10"/>
  <c r="F14" i="10"/>
  <c r="G10" i="10"/>
  <c r="F11" i="10"/>
  <c r="E9" i="10"/>
  <c r="E7" i="17"/>
  <c r="B9" i="9"/>
  <c r="B11" i="9" s="1"/>
  <c r="K13" i="16"/>
  <c r="B21" i="12"/>
  <c r="B13" i="12"/>
  <c r="B16" i="12" s="1"/>
  <c r="B12" i="12"/>
  <c r="B17" i="12" s="1"/>
  <c r="D8" i="6"/>
  <c r="H4" i="11"/>
  <c r="H5" i="11"/>
  <c r="H6" i="11"/>
  <c r="H7" i="11"/>
  <c r="H8" i="11"/>
  <c r="H9" i="11"/>
  <c r="H10" i="11"/>
  <c r="H11" i="11"/>
  <c r="H12" i="11"/>
  <c r="D4" i="11"/>
  <c r="F4" i="11" s="1"/>
  <c r="D5" i="11"/>
  <c r="F5" i="11" s="1"/>
  <c r="D6" i="11"/>
  <c r="F6" i="11" s="1"/>
  <c r="D7" i="11"/>
  <c r="F7" i="11" s="1"/>
  <c r="D8" i="11"/>
  <c r="F8" i="11" s="1"/>
  <c r="D9" i="11"/>
  <c r="F9" i="11" s="1"/>
  <c r="D10" i="11"/>
  <c r="F10" i="11" s="1"/>
  <c r="D11" i="11"/>
  <c r="F11" i="11" s="1"/>
  <c r="D12" i="11"/>
  <c r="D3" i="11"/>
  <c r="F3" i="11" s="1"/>
  <c r="S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4" i="4"/>
  <c r="R4" i="4" s="1"/>
  <c r="T4" i="4" s="1"/>
  <c r="B4" i="9" s="1"/>
  <c r="C19" i="20"/>
  <c r="C20" i="20"/>
  <c r="C21" i="20"/>
  <c r="C22" i="20"/>
  <c r="C18" i="20"/>
  <c r="K4" i="16"/>
  <c r="K5" i="16"/>
  <c r="K6" i="16"/>
  <c r="K7" i="16"/>
  <c r="K8" i="16"/>
  <c r="K9" i="16"/>
  <c r="K10" i="16"/>
  <c r="K11" i="16"/>
  <c r="K12" i="16"/>
  <c r="K3" i="16"/>
  <c r="N5" i="20"/>
  <c r="N6" i="20"/>
  <c r="N7" i="20"/>
  <c r="N8" i="20"/>
  <c r="N4" i="20"/>
  <c r="F11" i="8"/>
  <c r="E11" i="8"/>
  <c r="D11" i="8"/>
  <c r="C11" i="8"/>
  <c r="B11" i="8"/>
  <c r="F22" i="8"/>
  <c r="E22" i="8"/>
  <c r="D22" i="8"/>
  <c r="C22" i="8"/>
  <c r="B22" i="8"/>
  <c r="C3" i="6"/>
  <c r="D13" i="6"/>
  <c r="F21" i="8"/>
  <c r="E21" i="8"/>
  <c r="D21" i="8"/>
  <c r="C21" i="8"/>
  <c r="B21" i="8"/>
  <c r="F14" i="8"/>
  <c r="E14" i="8"/>
  <c r="F20" i="8"/>
  <c r="E20" i="8"/>
  <c r="D20" i="8"/>
  <c r="D14" i="8"/>
  <c r="C20" i="8"/>
  <c r="C14" i="8"/>
  <c r="B20" i="8"/>
  <c r="B14" i="8"/>
  <c r="F6" i="8"/>
  <c r="E6" i="8"/>
  <c r="F10" i="8"/>
  <c r="E10" i="8"/>
  <c r="D6" i="8"/>
  <c r="D10" i="8"/>
  <c r="C10" i="8"/>
  <c r="B10" i="8"/>
  <c r="C6" i="8"/>
  <c r="F7" i="8"/>
  <c r="B6" i="8"/>
  <c r="E7" i="8"/>
  <c r="C7" i="8"/>
  <c r="B7" i="8"/>
  <c r="F5" i="8"/>
  <c r="E5" i="8"/>
  <c r="D5" i="8"/>
  <c r="C5" i="8"/>
  <c r="C22" i="6"/>
  <c r="C21" i="6"/>
  <c r="C13" i="6"/>
  <c r="C12" i="6"/>
  <c r="C18" i="6"/>
  <c r="C17" i="6"/>
  <c r="C9" i="6"/>
  <c r="C8" i="6"/>
  <c r="C4" i="6"/>
  <c r="K5" i="15"/>
  <c r="L5" i="15"/>
  <c r="K6" i="15"/>
  <c r="L6" i="15"/>
  <c r="K7" i="15"/>
  <c r="L7" i="15"/>
  <c r="K8" i="15"/>
  <c r="L8" i="15"/>
  <c r="K9" i="15"/>
  <c r="L9" i="15"/>
  <c r="K10" i="15"/>
  <c r="L10" i="15"/>
  <c r="K11" i="15"/>
  <c r="L11" i="15"/>
  <c r="K12" i="15"/>
  <c r="L12" i="15"/>
  <c r="K13" i="15"/>
  <c r="L13" i="15"/>
  <c r="K14" i="15"/>
  <c r="L14" i="15"/>
  <c r="K15" i="15"/>
  <c r="L15" i="15"/>
  <c r="K16" i="15"/>
  <c r="L16" i="15"/>
  <c r="K17" i="15"/>
  <c r="L17" i="15"/>
  <c r="K18" i="15"/>
  <c r="L18" i="15"/>
  <c r="K19" i="15"/>
  <c r="L19" i="15"/>
  <c r="K20" i="15"/>
  <c r="L20" i="15"/>
  <c r="K21" i="15"/>
  <c r="L21" i="15"/>
  <c r="K22" i="15"/>
  <c r="L22" i="15"/>
  <c r="K23" i="15"/>
  <c r="L23" i="15"/>
  <c r="K24" i="15"/>
  <c r="L24" i="15"/>
  <c r="K25" i="15"/>
  <c r="L25" i="15"/>
  <c r="K26" i="15"/>
  <c r="L26" i="15"/>
  <c r="K27" i="15"/>
  <c r="L27" i="15"/>
  <c r="K28" i="15"/>
  <c r="L28" i="15"/>
  <c r="K29" i="15"/>
  <c r="L29" i="15"/>
  <c r="K30" i="15"/>
  <c r="L30" i="15"/>
  <c r="K31" i="15"/>
  <c r="L31" i="15"/>
  <c r="K32" i="15"/>
  <c r="L32" i="15"/>
  <c r="K33" i="15"/>
  <c r="L33" i="15"/>
  <c r="K34" i="15"/>
  <c r="L34" i="15"/>
  <c r="K35" i="15"/>
  <c r="L35" i="15"/>
  <c r="K36" i="15"/>
  <c r="L36" i="15"/>
  <c r="K37" i="15"/>
  <c r="L37" i="15"/>
  <c r="K38" i="15"/>
  <c r="L38" i="15"/>
  <c r="K39" i="15"/>
  <c r="L39" i="15"/>
  <c r="K40" i="15"/>
  <c r="L40" i="15"/>
  <c r="K41" i="15"/>
  <c r="L41" i="15"/>
  <c r="K42" i="15"/>
  <c r="L42" i="15"/>
  <c r="K43" i="15"/>
  <c r="L43" i="15"/>
  <c r="K44" i="15"/>
  <c r="L44" i="15"/>
  <c r="K45" i="15"/>
  <c r="L45" i="15"/>
  <c r="K46" i="15"/>
  <c r="L46" i="15"/>
  <c r="K47" i="15"/>
  <c r="L47" i="15"/>
  <c r="K48" i="15"/>
  <c r="L48" i="15"/>
  <c r="K49" i="15"/>
  <c r="L49" i="15"/>
  <c r="K50" i="15"/>
  <c r="L50" i="15"/>
  <c r="K51" i="15"/>
  <c r="L51" i="15"/>
  <c r="K52" i="15"/>
  <c r="L52" i="15"/>
  <c r="K53" i="15"/>
  <c r="L53" i="15"/>
  <c r="K54" i="15"/>
  <c r="L54" i="15"/>
  <c r="K55" i="15"/>
  <c r="L55" i="15"/>
  <c r="K56" i="15"/>
  <c r="L56" i="15"/>
  <c r="K57" i="15"/>
  <c r="L57" i="15"/>
  <c r="K58" i="15"/>
  <c r="L58" i="15"/>
  <c r="K59" i="15"/>
  <c r="L59" i="15"/>
  <c r="K60" i="15"/>
  <c r="L60" i="15"/>
  <c r="K61" i="15"/>
  <c r="L61" i="15"/>
  <c r="K62" i="15"/>
  <c r="L62" i="15"/>
  <c r="K63" i="15"/>
  <c r="L63" i="15"/>
  <c r="K64" i="15"/>
  <c r="L64" i="15"/>
  <c r="K65" i="15"/>
  <c r="L65" i="15"/>
  <c r="K66" i="15"/>
  <c r="L66" i="15"/>
  <c r="K67" i="15"/>
  <c r="L67" i="15"/>
  <c r="K68" i="15"/>
  <c r="L68" i="15"/>
  <c r="K69" i="15"/>
  <c r="L69" i="15"/>
  <c r="K70" i="15"/>
  <c r="L70" i="15"/>
  <c r="K71" i="15"/>
  <c r="L71" i="15"/>
  <c r="K72" i="15"/>
  <c r="L72" i="15"/>
  <c r="K73" i="15"/>
  <c r="L73" i="15"/>
  <c r="K74" i="15"/>
  <c r="L74" i="15"/>
  <c r="K75" i="15"/>
  <c r="L75" i="15"/>
  <c r="K76" i="15"/>
  <c r="L76" i="15"/>
  <c r="K77" i="15"/>
  <c r="L77" i="15"/>
  <c r="K78" i="15"/>
  <c r="L78" i="15"/>
  <c r="K79" i="15"/>
  <c r="L79" i="15"/>
  <c r="K80" i="15"/>
  <c r="L80" i="15"/>
  <c r="K81" i="15"/>
  <c r="L81" i="15"/>
  <c r="K82" i="15"/>
  <c r="L82" i="15"/>
  <c r="K83" i="15"/>
  <c r="L83" i="15"/>
  <c r="K84" i="15"/>
  <c r="L84" i="15"/>
  <c r="K85" i="15"/>
  <c r="L85" i="15"/>
  <c r="K86" i="15"/>
  <c r="L86" i="15"/>
  <c r="K87" i="15"/>
  <c r="L87" i="15"/>
  <c r="K88" i="15"/>
  <c r="L88" i="15"/>
  <c r="K89" i="15"/>
  <c r="L89" i="15"/>
  <c r="K90" i="15"/>
  <c r="L90" i="15"/>
  <c r="K91" i="15"/>
  <c r="L91" i="15"/>
  <c r="K92" i="15"/>
  <c r="L92" i="15"/>
  <c r="K93" i="15"/>
  <c r="L93" i="15"/>
  <c r="K94" i="15"/>
  <c r="L94" i="15"/>
  <c r="K95" i="15"/>
  <c r="L95" i="15"/>
  <c r="K96" i="15"/>
  <c r="L96" i="15"/>
  <c r="K97" i="15"/>
  <c r="L97" i="15"/>
  <c r="K98" i="15"/>
  <c r="L98" i="15"/>
  <c r="K99" i="15"/>
  <c r="L99" i="15"/>
  <c r="K100" i="15"/>
  <c r="L100" i="15"/>
  <c r="K101" i="15"/>
  <c r="L101" i="15"/>
  <c r="K102" i="15"/>
  <c r="L102" i="15"/>
  <c r="K103" i="15"/>
  <c r="L103" i="15"/>
  <c r="K104" i="15"/>
  <c r="L104" i="15"/>
  <c r="K105" i="15"/>
  <c r="L105" i="15"/>
  <c r="K106" i="15"/>
  <c r="L106" i="15"/>
  <c r="K107" i="15"/>
  <c r="L107" i="15"/>
  <c r="K108" i="15"/>
  <c r="L108" i="15"/>
  <c r="K109" i="15"/>
  <c r="L109" i="15"/>
  <c r="K110" i="15"/>
  <c r="L110" i="15"/>
  <c r="K111" i="15"/>
  <c r="L111" i="15"/>
  <c r="K112" i="15"/>
  <c r="L112" i="15"/>
  <c r="K113" i="15"/>
  <c r="L113" i="15"/>
  <c r="K114" i="15"/>
  <c r="L114" i="15"/>
  <c r="K115" i="15"/>
  <c r="L115" i="15"/>
  <c r="K116" i="15"/>
  <c r="L116" i="15"/>
  <c r="K117" i="15"/>
  <c r="L117" i="15"/>
  <c r="K118" i="15"/>
  <c r="L118" i="15"/>
  <c r="K119" i="15"/>
  <c r="L119" i="15"/>
  <c r="K120" i="15"/>
  <c r="L120" i="15"/>
  <c r="K121" i="15"/>
  <c r="L121" i="15"/>
  <c r="K122" i="15"/>
  <c r="L122" i="15"/>
  <c r="K123" i="15"/>
  <c r="L123" i="15"/>
  <c r="K124" i="15"/>
  <c r="L124" i="15"/>
  <c r="K125" i="15"/>
  <c r="L125" i="15"/>
  <c r="K126" i="15"/>
  <c r="L126" i="15"/>
  <c r="K127" i="15"/>
  <c r="L127" i="15"/>
  <c r="K128" i="15"/>
  <c r="L128" i="15"/>
  <c r="K129" i="15"/>
  <c r="L129" i="15"/>
  <c r="K130" i="15"/>
  <c r="L130" i="15"/>
  <c r="K131" i="15"/>
  <c r="L131" i="15"/>
  <c r="K132" i="15"/>
  <c r="L132" i="15"/>
  <c r="K133" i="15"/>
  <c r="L133" i="15"/>
  <c r="K134" i="15"/>
  <c r="L134" i="15"/>
  <c r="K135" i="15"/>
  <c r="L135" i="15"/>
  <c r="K136" i="15"/>
  <c r="L136" i="15"/>
  <c r="K137" i="15"/>
  <c r="L137" i="15"/>
  <c r="K138" i="15"/>
  <c r="L138" i="15"/>
  <c r="K139" i="15"/>
  <c r="L139" i="15"/>
  <c r="K140" i="15"/>
  <c r="L140" i="15"/>
  <c r="K141" i="15"/>
  <c r="L141" i="15"/>
  <c r="K142" i="15"/>
  <c r="L142" i="15"/>
  <c r="K143" i="15"/>
  <c r="L143" i="15"/>
  <c r="K144" i="15"/>
  <c r="L144" i="15"/>
  <c r="K145" i="15"/>
  <c r="L145" i="15"/>
  <c r="K146" i="15"/>
  <c r="L146" i="15"/>
  <c r="K147" i="15"/>
  <c r="L147" i="15"/>
  <c r="K148" i="15"/>
  <c r="L148" i="15"/>
  <c r="K149" i="15"/>
  <c r="L149" i="15"/>
  <c r="K150" i="15"/>
  <c r="L150" i="15"/>
  <c r="K151" i="15"/>
  <c r="L151" i="15"/>
  <c r="K152" i="15"/>
  <c r="L152" i="15"/>
  <c r="K153" i="15"/>
  <c r="L153" i="15"/>
  <c r="K154" i="15"/>
  <c r="L154" i="15"/>
  <c r="K155" i="15"/>
  <c r="L155" i="15"/>
  <c r="K156" i="15"/>
  <c r="L156" i="15"/>
  <c r="K157" i="15"/>
  <c r="L157" i="15"/>
  <c r="K158" i="15"/>
  <c r="L158" i="15"/>
  <c r="K159" i="15"/>
  <c r="L159" i="15"/>
  <c r="K160" i="15"/>
  <c r="L160" i="15"/>
  <c r="K161" i="15"/>
  <c r="L161" i="15"/>
  <c r="K162" i="15"/>
  <c r="L162" i="15"/>
  <c r="K163" i="15"/>
  <c r="L163" i="15"/>
  <c r="K164" i="15"/>
  <c r="L164" i="15"/>
  <c r="K165" i="15"/>
  <c r="L165" i="15"/>
  <c r="K166" i="15"/>
  <c r="L166" i="15"/>
  <c r="K167" i="15"/>
  <c r="L167" i="15"/>
  <c r="K168" i="15"/>
  <c r="L168" i="15"/>
  <c r="K169" i="15"/>
  <c r="L169" i="15"/>
  <c r="K170" i="15"/>
  <c r="L170" i="15"/>
  <c r="K171" i="15"/>
  <c r="L171" i="15"/>
  <c r="K172" i="15"/>
  <c r="L172" i="15"/>
  <c r="K173" i="15"/>
  <c r="L173" i="15"/>
  <c r="K174" i="15"/>
  <c r="L174" i="15"/>
  <c r="K175" i="15"/>
  <c r="L175" i="15"/>
  <c r="K176" i="15"/>
  <c r="L176" i="15"/>
  <c r="K177" i="15"/>
  <c r="L177" i="15"/>
  <c r="K178" i="15"/>
  <c r="L178" i="15"/>
  <c r="K179" i="15"/>
  <c r="L179" i="15"/>
  <c r="K180" i="15"/>
  <c r="L180" i="15"/>
  <c r="K181" i="15"/>
  <c r="L181" i="15"/>
  <c r="K182" i="15"/>
  <c r="L182" i="15"/>
  <c r="K183" i="15"/>
  <c r="L183" i="15"/>
  <c r="K184" i="15"/>
  <c r="L184" i="15"/>
  <c r="K185" i="15"/>
  <c r="L185" i="15"/>
  <c r="K186" i="15"/>
  <c r="L186" i="15"/>
  <c r="K187" i="15"/>
  <c r="L187" i="15"/>
  <c r="K188" i="15"/>
  <c r="L188" i="15"/>
  <c r="K189" i="15"/>
  <c r="L189" i="15"/>
  <c r="K190" i="15"/>
  <c r="L190" i="15"/>
  <c r="K191" i="15"/>
  <c r="L191" i="15"/>
  <c r="K192" i="15"/>
  <c r="L192" i="15"/>
  <c r="K193" i="15"/>
  <c r="L193" i="15"/>
  <c r="K194" i="15"/>
  <c r="L194" i="15"/>
  <c r="K195" i="15"/>
  <c r="L195" i="15"/>
  <c r="K196" i="15"/>
  <c r="L196" i="15"/>
  <c r="K197" i="15"/>
  <c r="L197" i="15"/>
  <c r="K198" i="15"/>
  <c r="L198" i="15"/>
  <c r="K199" i="15"/>
  <c r="L199" i="15"/>
  <c r="K200" i="15"/>
  <c r="L200" i="15"/>
  <c r="K201" i="15"/>
  <c r="L201" i="15"/>
  <c r="K202" i="15"/>
  <c r="L202" i="15"/>
  <c r="K203" i="15"/>
  <c r="L203" i="15"/>
  <c r="K204" i="15"/>
  <c r="L204" i="15"/>
  <c r="K205" i="15"/>
  <c r="L205" i="15"/>
  <c r="K206" i="15"/>
  <c r="L206" i="15"/>
  <c r="K207" i="15"/>
  <c r="L207" i="15"/>
  <c r="K208" i="15"/>
  <c r="L208" i="15"/>
  <c r="K209" i="15"/>
  <c r="L209" i="15"/>
  <c r="K210" i="15"/>
  <c r="L210" i="15"/>
  <c r="K211" i="15"/>
  <c r="L211" i="15"/>
  <c r="K212" i="15"/>
  <c r="L212" i="15"/>
  <c r="K213" i="15"/>
  <c r="L213" i="15"/>
  <c r="K214" i="15"/>
  <c r="L214" i="15"/>
  <c r="K215" i="15"/>
  <c r="L215" i="15"/>
  <c r="K216" i="15"/>
  <c r="L216" i="15"/>
  <c r="K217" i="15"/>
  <c r="L217" i="15"/>
  <c r="K218" i="15"/>
  <c r="L218" i="15"/>
  <c r="K219" i="15"/>
  <c r="L219" i="15"/>
  <c r="K220" i="15"/>
  <c r="L220" i="15"/>
  <c r="K221" i="15"/>
  <c r="L221" i="15"/>
  <c r="K222" i="15"/>
  <c r="L222" i="15"/>
  <c r="K223" i="15"/>
  <c r="L223" i="15"/>
  <c r="K224" i="15"/>
  <c r="L224" i="15"/>
  <c r="K225" i="15"/>
  <c r="L225" i="15"/>
  <c r="K226" i="15"/>
  <c r="L226" i="15"/>
  <c r="K227" i="15"/>
  <c r="L227" i="15"/>
  <c r="K228" i="15"/>
  <c r="L228" i="15"/>
  <c r="K229" i="15"/>
  <c r="L229" i="15"/>
  <c r="K230" i="15"/>
  <c r="L230" i="15"/>
  <c r="K231" i="15"/>
  <c r="L231" i="15"/>
  <c r="K232" i="15"/>
  <c r="L232" i="15"/>
  <c r="K233" i="15"/>
  <c r="L233" i="15"/>
  <c r="K234" i="15"/>
  <c r="L234" i="15"/>
  <c r="K235" i="15"/>
  <c r="L235" i="15"/>
  <c r="K236" i="15"/>
  <c r="L236" i="15"/>
  <c r="K237" i="15"/>
  <c r="L237" i="15"/>
  <c r="K238" i="15"/>
  <c r="L238" i="15"/>
  <c r="K239" i="15"/>
  <c r="L239" i="15"/>
  <c r="K240" i="15"/>
  <c r="L240" i="15"/>
  <c r="K241" i="15"/>
  <c r="L241" i="15"/>
  <c r="K242" i="15"/>
  <c r="L242" i="15"/>
  <c r="K243" i="15"/>
  <c r="L243" i="15"/>
  <c r="K244" i="15"/>
  <c r="L244" i="15"/>
  <c r="K245" i="15"/>
  <c r="L245" i="15"/>
  <c r="K246" i="15"/>
  <c r="L246" i="15"/>
  <c r="K247" i="15"/>
  <c r="L247" i="15"/>
  <c r="K248" i="15"/>
  <c r="L248" i="15"/>
  <c r="K249" i="15"/>
  <c r="L249" i="15"/>
  <c r="K250" i="15"/>
  <c r="L250" i="15"/>
  <c r="K251" i="15"/>
  <c r="L251" i="15"/>
  <c r="K252" i="15"/>
  <c r="L252" i="15"/>
  <c r="K253" i="15"/>
  <c r="L253" i="15"/>
  <c r="K254" i="15"/>
  <c r="L254" i="15"/>
  <c r="K255" i="15"/>
  <c r="L255" i="15"/>
  <c r="K256" i="15"/>
  <c r="L256" i="15"/>
  <c r="K257" i="15"/>
  <c r="L257" i="15"/>
  <c r="K258" i="15"/>
  <c r="L258" i="15"/>
  <c r="L4" i="15"/>
  <c r="K4"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4" i="15"/>
  <c r="D4" i="2"/>
  <c r="E13" i="17"/>
  <c r="E8" i="17"/>
  <c r="E12" i="17"/>
  <c r="B11" i="17"/>
  <c r="D7" i="8" s="1"/>
  <c r="E6" i="17"/>
  <c r="E10" i="17"/>
  <c r="E11" i="17"/>
  <c r="D22" i="6"/>
  <c r="D21" i="6"/>
  <c r="D12" i="6"/>
  <c r="D18" i="6"/>
  <c r="D17" i="6"/>
  <c r="D9" i="6"/>
  <c r="B22" i="6"/>
  <c r="B21" i="6"/>
  <c r="B18" i="6"/>
  <c r="B17" i="6"/>
  <c r="B13" i="6"/>
  <c r="B12" i="6"/>
  <c r="B8" i="6"/>
  <c r="B9" i="6"/>
  <c r="E4" i="2"/>
  <c r="K4" i="4"/>
  <c r="D4" i="4"/>
  <c r="B4" i="6"/>
  <c r="B3" i="6"/>
  <c r="K5" i="4"/>
  <c r="L5" i="4"/>
  <c r="N5" i="4" s="1"/>
  <c r="K6" i="4"/>
  <c r="L6" i="4"/>
  <c r="N6" i="4" s="1"/>
  <c r="K7" i="4"/>
  <c r="L7" i="4"/>
  <c r="N7" i="4" s="1"/>
  <c r="K8" i="4"/>
  <c r="L8" i="4"/>
  <c r="N8" i="4" s="1"/>
  <c r="K9" i="4"/>
  <c r="L9" i="4"/>
  <c r="N9" i="4" s="1"/>
  <c r="K10" i="4"/>
  <c r="L10" i="4"/>
  <c r="N10" i="4" s="1"/>
  <c r="K11" i="4"/>
  <c r="L11" i="4"/>
  <c r="N11" i="4" s="1"/>
  <c r="K12" i="4"/>
  <c r="L12" i="4"/>
  <c r="N12" i="4" s="1"/>
  <c r="K13" i="4"/>
  <c r="L13" i="4"/>
  <c r="N13" i="4" s="1"/>
  <c r="K14" i="4"/>
  <c r="L14" i="4"/>
  <c r="N14" i="4" s="1"/>
  <c r="K15" i="4"/>
  <c r="L15" i="4"/>
  <c r="N15" i="4" s="1"/>
  <c r="K16" i="4"/>
  <c r="L16" i="4"/>
  <c r="N16" i="4" s="1"/>
  <c r="K17" i="4"/>
  <c r="L17" i="4"/>
  <c r="N17" i="4" s="1"/>
  <c r="K18" i="4"/>
  <c r="L18" i="4"/>
  <c r="N18" i="4" s="1"/>
  <c r="K19" i="4"/>
  <c r="L19" i="4"/>
  <c r="N19" i="4" s="1"/>
  <c r="K20" i="4"/>
  <c r="L20" i="4"/>
  <c r="N20" i="4" s="1"/>
  <c r="K21" i="4"/>
  <c r="L21" i="4"/>
  <c r="N21" i="4" s="1"/>
  <c r="K22" i="4"/>
  <c r="L22" i="4"/>
  <c r="N22" i="4" s="1"/>
  <c r="K23" i="4"/>
  <c r="L23" i="4"/>
  <c r="N23" i="4" s="1"/>
  <c r="K24" i="4"/>
  <c r="L24" i="4"/>
  <c r="N24" i="4" s="1"/>
  <c r="K25" i="4"/>
  <c r="L25" i="4"/>
  <c r="N25" i="4" s="1"/>
  <c r="K26" i="4"/>
  <c r="L26" i="4"/>
  <c r="N26" i="4" s="1"/>
  <c r="K27" i="4"/>
  <c r="L27" i="4"/>
  <c r="N27" i="4" s="1"/>
  <c r="K28" i="4"/>
  <c r="L28" i="4"/>
  <c r="N28" i="4" s="1"/>
  <c r="K29" i="4"/>
  <c r="L29" i="4"/>
  <c r="N29" i="4" s="1"/>
  <c r="K30" i="4"/>
  <c r="L30" i="4"/>
  <c r="N30" i="4" s="1"/>
  <c r="K31" i="4"/>
  <c r="L31" i="4"/>
  <c r="N31" i="4" s="1"/>
  <c r="K32" i="4"/>
  <c r="L32" i="4"/>
  <c r="N32" i="4" s="1"/>
  <c r="K33" i="4"/>
  <c r="L33" i="4"/>
  <c r="N33" i="4" s="1"/>
  <c r="K34" i="4"/>
  <c r="L34" i="4"/>
  <c r="N34" i="4" s="1"/>
  <c r="K35" i="4"/>
  <c r="L35" i="4"/>
  <c r="N35" i="4" s="1"/>
  <c r="K36" i="4"/>
  <c r="L36" i="4"/>
  <c r="N36" i="4" s="1"/>
  <c r="K37" i="4"/>
  <c r="L37" i="4"/>
  <c r="N37" i="4" s="1"/>
  <c r="K38" i="4"/>
  <c r="L38" i="4"/>
  <c r="N38" i="4" s="1"/>
  <c r="K39" i="4"/>
  <c r="L39" i="4"/>
  <c r="N39" i="4" s="1"/>
  <c r="K40" i="4"/>
  <c r="L40" i="4"/>
  <c r="N40" i="4" s="1"/>
  <c r="K41" i="4"/>
  <c r="L41" i="4"/>
  <c r="N41" i="4" s="1"/>
  <c r="K42" i="4"/>
  <c r="L42" i="4"/>
  <c r="N42" i="4" s="1"/>
  <c r="K43" i="4"/>
  <c r="L43" i="4"/>
  <c r="N43" i="4" s="1"/>
  <c r="K44" i="4"/>
  <c r="L44" i="4"/>
  <c r="N44" i="4" s="1"/>
  <c r="K45" i="4"/>
  <c r="L45" i="4"/>
  <c r="N45" i="4" s="1"/>
  <c r="K46" i="4"/>
  <c r="L46" i="4"/>
  <c r="N46" i="4" s="1"/>
  <c r="K47" i="4"/>
  <c r="L47" i="4"/>
  <c r="N47" i="4" s="1"/>
  <c r="K48" i="4"/>
  <c r="L48" i="4"/>
  <c r="N48" i="4" s="1"/>
  <c r="K49" i="4"/>
  <c r="L49" i="4"/>
  <c r="N49" i="4" s="1"/>
  <c r="K50" i="4"/>
  <c r="L50" i="4"/>
  <c r="N50" i="4" s="1"/>
  <c r="K51" i="4"/>
  <c r="L51" i="4"/>
  <c r="N51" i="4" s="1"/>
  <c r="K52" i="4"/>
  <c r="L52" i="4"/>
  <c r="N52" i="4" s="1"/>
  <c r="K53" i="4"/>
  <c r="L53" i="4"/>
  <c r="N53" i="4" s="1"/>
  <c r="K54" i="4"/>
  <c r="L54" i="4"/>
  <c r="N54" i="4" s="1"/>
  <c r="K55" i="4"/>
  <c r="L55" i="4"/>
  <c r="N55" i="4" s="1"/>
  <c r="K56" i="4"/>
  <c r="L56" i="4"/>
  <c r="N56" i="4" s="1"/>
  <c r="K57" i="4"/>
  <c r="L57" i="4"/>
  <c r="N57" i="4" s="1"/>
  <c r="K58" i="4"/>
  <c r="L58" i="4"/>
  <c r="N58" i="4" s="1"/>
  <c r="K59" i="4"/>
  <c r="L59" i="4"/>
  <c r="N59" i="4" s="1"/>
  <c r="K60" i="4"/>
  <c r="L60" i="4"/>
  <c r="N60" i="4" s="1"/>
  <c r="K61" i="4"/>
  <c r="L61" i="4"/>
  <c r="N61" i="4" s="1"/>
  <c r="K62" i="4"/>
  <c r="L62" i="4"/>
  <c r="N62" i="4" s="1"/>
  <c r="K63" i="4"/>
  <c r="L63" i="4"/>
  <c r="N63" i="4" s="1"/>
  <c r="L4" i="4"/>
  <c r="N4" i="4" s="1"/>
  <c r="N65" i="4" s="1"/>
  <c r="J5" i="16"/>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D21" i="4"/>
  <c r="E21" i="4"/>
  <c r="D22" i="4"/>
  <c r="E22" i="4"/>
  <c r="D23" i="4"/>
  <c r="E23" i="4"/>
  <c r="D24" i="4"/>
  <c r="E24" i="4"/>
  <c r="D25" i="4"/>
  <c r="E25" i="4"/>
  <c r="D26" i="4"/>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D78" i="4"/>
  <c r="E78" i="4"/>
  <c r="D79" i="4"/>
  <c r="E79" i="4"/>
  <c r="D80" i="4"/>
  <c r="E80" i="4"/>
  <c r="D81" i="4"/>
  <c r="E81" i="4"/>
  <c r="D82" i="4"/>
  <c r="E82" i="4"/>
  <c r="D83" i="4"/>
  <c r="E83" i="4"/>
  <c r="D84" i="4"/>
  <c r="E84" i="4"/>
  <c r="D85" i="4"/>
  <c r="E85" i="4"/>
  <c r="D86" i="4"/>
  <c r="E86" i="4"/>
  <c r="D87" i="4"/>
  <c r="E87" i="4"/>
  <c r="D88" i="4"/>
  <c r="E88" i="4"/>
  <c r="D89" i="4"/>
  <c r="E89" i="4"/>
  <c r="D90" i="4"/>
  <c r="E90" i="4"/>
  <c r="D91" i="4"/>
  <c r="E91" i="4"/>
  <c r="D92" i="4"/>
  <c r="E92" i="4"/>
  <c r="D93" i="4"/>
  <c r="E93" i="4"/>
  <c r="D94" i="4"/>
  <c r="E94" i="4"/>
  <c r="D95" i="4"/>
  <c r="E95" i="4"/>
  <c r="D96" i="4"/>
  <c r="E96" i="4"/>
  <c r="D97" i="4"/>
  <c r="E97" i="4"/>
  <c r="D98" i="4"/>
  <c r="E98" i="4"/>
  <c r="D99" i="4"/>
  <c r="E99" i="4"/>
  <c r="D100" i="4"/>
  <c r="E100" i="4"/>
  <c r="D101" i="4"/>
  <c r="E101" i="4"/>
  <c r="D102" i="4"/>
  <c r="E102" i="4"/>
  <c r="D103" i="4"/>
  <c r="E103" i="4"/>
  <c r="D104" i="4"/>
  <c r="E104" i="4"/>
  <c r="D105" i="4"/>
  <c r="E105" i="4"/>
  <c r="D106" i="4"/>
  <c r="E106" i="4"/>
  <c r="D107" i="4"/>
  <c r="E107" i="4"/>
  <c r="D108" i="4"/>
  <c r="E108" i="4"/>
  <c r="D109" i="4"/>
  <c r="E109" i="4"/>
  <c r="D110" i="4"/>
  <c r="E110" i="4"/>
  <c r="D111" i="4"/>
  <c r="E111" i="4"/>
  <c r="D112" i="4"/>
  <c r="E112" i="4"/>
  <c r="D113" i="4"/>
  <c r="E113" i="4"/>
  <c r="D114" i="4"/>
  <c r="E114" i="4"/>
  <c r="D115" i="4"/>
  <c r="E115" i="4"/>
  <c r="D116" i="4"/>
  <c r="E116" i="4"/>
  <c r="D117" i="4"/>
  <c r="E117" i="4"/>
  <c r="D118" i="4"/>
  <c r="E118" i="4"/>
  <c r="D119" i="4"/>
  <c r="E119" i="4"/>
  <c r="D120" i="4"/>
  <c r="E120" i="4"/>
  <c r="D121" i="4"/>
  <c r="E121" i="4"/>
  <c r="D122" i="4"/>
  <c r="E122" i="4"/>
  <c r="D123" i="4"/>
  <c r="E123" i="4"/>
  <c r="E4" i="4"/>
  <c r="K5" i="2"/>
  <c r="L5" i="2"/>
  <c r="K6" i="2"/>
  <c r="L6" i="2"/>
  <c r="K7" i="2"/>
  <c r="L7" i="2"/>
  <c r="K8" i="2"/>
  <c r="L8" i="2"/>
  <c r="K9" i="2"/>
  <c r="L9" i="2"/>
  <c r="K10" i="2"/>
  <c r="L10" i="2"/>
  <c r="K11" i="2"/>
  <c r="L11" i="2"/>
  <c r="K12" i="2"/>
  <c r="L12" i="2"/>
  <c r="K13" i="2"/>
  <c r="L13" i="2"/>
  <c r="K14" i="2"/>
  <c r="L14" i="2"/>
  <c r="K15" i="2"/>
  <c r="L15" i="2"/>
  <c r="K16" i="2"/>
  <c r="L16" i="2"/>
  <c r="K17" i="2"/>
  <c r="L17" i="2"/>
  <c r="K18" i="2"/>
  <c r="L18" i="2"/>
  <c r="K19" i="2"/>
  <c r="L19" i="2"/>
  <c r="K20" i="2"/>
  <c r="L20" i="2"/>
  <c r="K21" i="2"/>
  <c r="L21" i="2"/>
  <c r="K22" i="2"/>
  <c r="L22" i="2"/>
  <c r="K23" i="2"/>
  <c r="L23" i="2"/>
  <c r="K24" i="2"/>
  <c r="L24" i="2"/>
  <c r="K25" i="2"/>
  <c r="L25" i="2"/>
  <c r="K26" i="2"/>
  <c r="L26" i="2"/>
  <c r="K27" i="2"/>
  <c r="L27" i="2"/>
  <c r="K28" i="2"/>
  <c r="L28" i="2"/>
  <c r="K29" i="2"/>
  <c r="L29" i="2"/>
  <c r="K30" i="2"/>
  <c r="L30" i="2"/>
  <c r="K31" i="2"/>
  <c r="L31" i="2"/>
  <c r="K32" i="2"/>
  <c r="L32" i="2"/>
  <c r="K33" i="2"/>
  <c r="L33" i="2"/>
  <c r="K34" i="2"/>
  <c r="L34" i="2"/>
  <c r="K35" i="2"/>
  <c r="L35" i="2"/>
  <c r="K36" i="2"/>
  <c r="L36" i="2"/>
  <c r="K37" i="2"/>
  <c r="L37" i="2"/>
  <c r="K38" i="2"/>
  <c r="L38" i="2"/>
  <c r="K39" i="2"/>
  <c r="L39" i="2"/>
  <c r="K40" i="2"/>
  <c r="L40" i="2"/>
  <c r="K41" i="2"/>
  <c r="L41" i="2"/>
  <c r="K42" i="2"/>
  <c r="L42" i="2"/>
  <c r="K43" i="2"/>
  <c r="L43" i="2"/>
  <c r="K44" i="2"/>
  <c r="L44" i="2"/>
  <c r="K45" i="2"/>
  <c r="L45" i="2"/>
  <c r="K46" i="2"/>
  <c r="L46" i="2"/>
  <c r="K47" i="2"/>
  <c r="L47" i="2"/>
  <c r="K48" i="2"/>
  <c r="L48" i="2"/>
  <c r="K49" i="2"/>
  <c r="L49" i="2"/>
  <c r="K50" i="2"/>
  <c r="L50" i="2"/>
  <c r="K51" i="2"/>
  <c r="L51" i="2"/>
  <c r="K52" i="2"/>
  <c r="L52" i="2"/>
  <c r="K53" i="2"/>
  <c r="L53" i="2"/>
  <c r="K54" i="2"/>
  <c r="L54" i="2"/>
  <c r="K55" i="2"/>
  <c r="L55" i="2"/>
  <c r="K56" i="2"/>
  <c r="L56" i="2"/>
  <c r="K57" i="2"/>
  <c r="L57" i="2"/>
  <c r="K58" i="2"/>
  <c r="L58" i="2"/>
  <c r="K59" i="2"/>
  <c r="L59" i="2"/>
  <c r="K60" i="2"/>
  <c r="L60" i="2"/>
  <c r="K61" i="2"/>
  <c r="L61" i="2"/>
  <c r="K62" i="2"/>
  <c r="L62" i="2"/>
  <c r="K63" i="2"/>
  <c r="L63" i="2"/>
  <c r="K64" i="2"/>
  <c r="L64" i="2"/>
  <c r="K65" i="2"/>
  <c r="L65" i="2"/>
  <c r="K66" i="2"/>
  <c r="L66" i="2"/>
  <c r="K67" i="2"/>
  <c r="L67" i="2"/>
  <c r="K68" i="2"/>
  <c r="L68" i="2"/>
  <c r="K69" i="2"/>
  <c r="L69" i="2"/>
  <c r="K70" i="2"/>
  <c r="L70" i="2"/>
  <c r="K71" i="2"/>
  <c r="L71" i="2"/>
  <c r="K72" i="2"/>
  <c r="L72" i="2"/>
  <c r="K73" i="2"/>
  <c r="L73" i="2"/>
  <c r="K74" i="2"/>
  <c r="L74" i="2"/>
  <c r="K75" i="2"/>
  <c r="L75" i="2"/>
  <c r="K76" i="2"/>
  <c r="L76" i="2"/>
  <c r="K77" i="2"/>
  <c r="L77" i="2"/>
  <c r="K78" i="2"/>
  <c r="L78" i="2"/>
  <c r="K79" i="2"/>
  <c r="L79" i="2"/>
  <c r="K80" i="2"/>
  <c r="L80" i="2"/>
  <c r="K81" i="2"/>
  <c r="L81" i="2"/>
  <c r="K82" i="2"/>
  <c r="L82" i="2"/>
  <c r="K83" i="2"/>
  <c r="L83" i="2"/>
  <c r="K84" i="2"/>
  <c r="L84" i="2"/>
  <c r="K85" i="2"/>
  <c r="L85" i="2"/>
  <c r="K86" i="2"/>
  <c r="L86" i="2"/>
  <c r="K87" i="2"/>
  <c r="L87" i="2"/>
  <c r="K88" i="2"/>
  <c r="L88" i="2"/>
  <c r="K89" i="2"/>
  <c r="L89" i="2"/>
  <c r="K90" i="2"/>
  <c r="L90" i="2"/>
  <c r="K91" i="2"/>
  <c r="L91" i="2"/>
  <c r="K92" i="2"/>
  <c r="L92" i="2"/>
  <c r="K93" i="2"/>
  <c r="L93" i="2"/>
  <c r="K94" i="2"/>
  <c r="L94" i="2"/>
  <c r="K95" i="2"/>
  <c r="L95" i="2"/>
  <c r="K96" i="2"/>
  <c r="L96" i="2"/>
  <c r="K97" i="2"/>
  <c r="L97" i="2"/>
  <c r="K98" i="2"/>
  <c r="L98" i="2"/>
  <c r="K99" i="2"/>
  <c r="L99" i="2"/>
  <c r="K100" i="2"/>
  <c r="L100" i="2"/>
  <c r="K101" i="2"/>
  <c r="L101" i="2"/>
  <c r="K102" i="2"/>
  <c r="L102" i="2"/>
  <c r="K103" i="2"/>
  <c r="L103" i="2"/>
  <c r="K104" i="2"/>
  <c r="L104" i="2"/>
  <c r="K105" i="2"/>
  <c r="L105" i="2"/>
  <c r="K106" i="2"/>
  <c r="L106" i="2"/>
  <c r="K107" i="2"/>
  <c r="L107" i="2"/>
  <c r="K108" i="2"/>
  <c r="L108" i="2"/>
  <c r="K109" i="2"/>
  <c r="L109" i="2"/>
  <c r="K110" i="2"/>
  <c r="L110" i="2"/>
  <c r="K111" i="2"/>
  <c r="L111" i="2"/>
  <c r="K112" i="2"/>
  <c r="L112" i="2"/>
  <c r="K113" i="2"/>
  <c r="L113" i="2"/>
  <c r="K114" i="2"/>
  <c r="L114" i="2"/>
  <c r="K115" i="2"/>
  <c r="L115" i="2"/>
  <c r="K116" i="2"/>
  <c r="L116" i="2"/>
  <c r="K117" i="2"/>
  <c r="L117" i="2"/>
  <c r="K118" i="2"/>
  <c r="L118" i="2"/>
  <c r="K119" i="2"/>
  <c r="L119" i="2"/>
  <c r="K120" i="2"/>
  <c r="L120" i="2"/>
  <c r="K121" i="2"/>
  <c r="L121" i="2"/>
  <c r="K122" i="2"/>
  <c r="L122" i="2"/>
  <c r="K123" i="2"/>
  <c r="L123" i="2"/>
  <c r="K124" i="2"/>
  <c r="L124" i="2"/>
  <c r="K125" i="2"/>
  <c r="L125" i="2"/>
  <c r="K126" i="2"/>
  <c r="L126" i="2"/>
  <c r="K127" i="2"/>
  <c r="L127" i="2"/>
  <c r="K128" i="2"/>
  <c r="L128" i="2"/>
  <c r="K129" i="2"/>
  <c r="L129" i="2"/>
  <c r="K130" i="2"/>
  <c r="L130" i="2"/>
  <c r="K131" i="2"/>
  <c r="L131" i="2"/>
  <c r="K132" i="2"/>
  <c r="L132" i="2"/>
  <c r="K133" i="2"/>
  <c r="L133" i="2"/>
  <c r="K134" i="2"/>
  <c r="L134" i="2"/>
  <c r="K135" i="2"/>
  <c r="L135" i="2"/>
  <c r="K136" i="2"/>
  <c r="L136" i="2"/>
  <c r="K137" i="2"/>
  <c r="L137" i="2"/>
  <c r="K138" i="2"/>
  <c r="L138" i="2"/>
  <c r="K139" i="2"/>
  <c r="L139" i="2"/>
  <c r="K140" i="2"/>
  <c r="L140" i="2"/>
  <c r="K141" i="2"/>
  <c r="L141" i="2"/>
  <c r="K142" i="2"/>
  <c r="L142" i="2"/>
  <c r="K143" i="2"/>
  <c r="L143" i="2"/>
  <c r="K144" i="2"/>
  <c r="L144" i="2"/>
  <c r="K145" i="2"/>
  <c r="L145" i="2"/>
  <c r="K146" i="2"/>
  <c r="L146" i="2"/>
  <c r="K147" i="2"/>
  <c r="L147" i="2"/>
  <c r="K148" i="2"/>
  <c r="L148" i="2"/>
  <c r="K149" i="2"/>
  <c r="L149" i="2"/>
  <c r="K150" i="2"/>
  <c r="L150" i="2"/>
  <c r="K151" i="2"/>
  <c r="L151" i="2"/>
  <c r="K152" i="2"/>
  <c r="L152" i="2"/>
  <c r="K153" i="2"/>
  <c r="L153" i="2"/>
  <c r="K154" i="2"/>
  <c r="L154" i="2"/>
  <c r="K155" i="2"/>
  <c r="L155" i="2"/>
  <c r="K156" i="2"/>
  <c r="L156" i="2"/>
  <c r="K157" i="2"/>
  <c r="L157" i="2"/>
  <c r="K158" i="2"/>
  <c r="L158" i="2"/>
  <c r="K159" i="2"/>
  <c r="L159" i="2"/>
  <c r="K160" i="2"/>
  <c r="L160" i="2"/>
  <c r="K161" i="2"/>
  <c r="L161" i="2"/>
  <c r="K162" i="2"/>
  <c r="L162" i="2"/>
  <c r="K163" i="2"/>
  <c r="L163" i="2"/>
  <c r="K164" i="2"/>
  <c r="L164" i="2"/>
  <c r="K165" i="2"/>
  <c r="L165" i="2"/>
  <c r="K166" i="2"/>
  <c r="L166" i="2"/>
  <c r="K167" i="2"/>
  <c r="L167" i="2"/>
  <c r="K168" i="2"/>
  <c r="L168" i="2"/>
  <c r="K169" i="2"/>
  <c r="L169" i="2"/>
  <c r="K170" i="2"/>
  <c r="L170" i="2"/>
  <c r="K171" i="2"/>
  <c r="L171" i="2"/>
  <c r="K172" i="2"/>
  <c r="L172" i="2"/>
  <c r="K173" i="2"/>
  <c r="L173" i="2"/>
  <c r="K174" i="2"/>
  <c r="L174" i="2"/>
  <c r="K175" i="2"/>
  <c r="L175" i="2"/>
  <c r="K176" i="2"/>
  <c r="L176" i="2"/>
  <c r="K177" i="2"/>
  <c r="L177" i="2"/>
  <c r="K178" i="2"/>
  <c r="L178" i="2"/>
  <c r="K179" i="2"/>
  <c r="L179" i="2"/>
  <c r="K180" i="2"/>
  <c r="L180" i="2"/>
  <c r="K181" i="2"/>
  <c r="L181" i="2"/>
  <c r="K182" i="2"/>
  <c r="L182" i="2"/>
  <c r="K183" i="2"/>
  <c r="L183" i="2"/>
  <c r="K184" i="2"/>
  <c r="L184" i="2"/>
  <c r="K185" i="2"/>
  <c r="L185" i="2"/>
  <c r="K186" i="2"/>
  <c r="L186" i="2"/>
  <c r="K187" i="2"/>
  <c r="L187" i="2"/>
  <c r="K188" i="2"/>
  <c r="L188" i="2"/>
  <c r="K189" i="2"/>
  <c r="L189" i="2"/>
  <c r="K190" i="2"/>
  <c r="L190" i="2"/>
  <c r="K191" i="2"/>
  <c r="L191" i="2"/>
  <c r="K192" i="2"/>
  <c r="L192" i="2"/>
  <c r="K193" i="2"/>
  <c r="L193" i="2"/>
  <c r="K194" i="2"/>
  <c r="L194" i="2"/>
  <c r="K195" i="2"/>
  <c r="L195" i="2"/>
  <c r="K196" i="2"/>
  <c r="L196" i="2"/>
  <c r="K197" i="2"/>
  <c r="L197" i="2"/>
  <c r="K198" i="2"/>
  <c r="L198" i="2"/>
  <c r="K199" i="2"/>
  <c r="L199" i="2"/>
  <c r="K200" i="2"/>
  <c r="L200" i="2"/>
  <c r="K201" i="2"/>
  <c r="L201" i="2"/>
  <c r="K202" i="2"/>
  <c r="L202" i="2"/>
  <c r="K203" i="2"/>
  <c r="L203" i="2"/>
  <c r="K204" i="2"/>
  <c r="L204" i="2"/>
  <c r="K205" i="2"/>
  <c r="L205" i="2"/>
  <c r="K206" i="2"/>
  <c r="L206" i="2"/>
  <c r="K207" i="2"/>
  <c r="L207" i="2"/>
  <c r="K208" i="2"/>
  <c r="L208" i="2"/>
  <c r="K209" i="2"/>
  <c r="L209" i="2"/>
  <c r="K210" i="2"/>
  <c r="L210" i="2"/>
  <c r="K211" i="2"/>
  <c r="L211" i="2"/>
  <c r="K212" i="2"/>
  <c r="L212" i="2"/>
  <c r="K213" i="2"/>
  <c r="L213" i="2"/>
  <c r="K214" i="2"/>
  <c r="L214" i="2"/>
  <c r="K215" i="2"/>
  <c r="L215" i="2"/>
  <c r="K216" i="2"/>
  <c r="L216" i="2"/>
  <c r="K217" i="2"/>
  <c r="L217" i="2"/>
  <c r="K218" i="2"/>
  <c r="L218" i="2"/>
  <c r="K219" i="2"/>
  <c r="L219" i="2"/>
  <c r="K220" i="2"/>
  <c r="L220" i="2"/>
  <c r="K221" i="2"/>
  <c r="L221" i="2"/>
  <c r="K222" i="2"/>
  <c r="L222" i="2"/>
  <c r="K223" i="2"/>
  <c r="L223" i="2"/>
  <c r="K224" i="2"/>
  <c r="L224" i="2"/>
  <c r="K225" i="2"/>
  <c r="L225" i="2"/>
  <c r="K226" i="2"/>
  <c r="L226" i="2"/>
  <c r="K227" i="2"/>
  <c r="L227" i="2"/>
  <c r="K228" i="2"/>
  <c r="L228" i="2"/>
  <c r="K229" i="2"/>
  <c r="L229" i="2"/>
  <c r="K230" i="2"/>
  <c r="L230" i="2"/>
  <c r="K231" i="2"/>
  <c r="L231" i="2"/>
  <c r="K232" i="2"/>
  <c r="L232" i="2"/>
  <c r="K233" i="2"/>
  <c r="L233" i="2"/>
  <c r="K234" i="2"/>
  <c r="L234" i="2"/>
  <c r="K235" i="2"/>
  <c r="L235" i="2"/>
  <c r="K236" i="2"/>
  <c r="L236" i="2"/>
  <c r="K237" i="2"/>
  <c r="L237" i="2"/>
  <c r="K238" i="2"/>
  <c r="L238" i="2"/>
  <c r="K239" i="2"/>
  <c r="L239" i="2"/>
  <c r="K240" i="2"/>
  <c r="L240" i="2"/>
  <c r="K241" i="2"/>
  <c r="L241" i="2"/>
  <c r="K242" i="2"/>
  <c r="L242" i="2"/>
  <c r="K243" i="2"/>
  <c r="L243" i="2"/>
  <c r="K244" i="2"/>
  <c r="L244" i="2"/>
  <c r="K245" i="2"/>
  <c r="L245" i="2"/>
  <c r="K246" i="2"/>
  <c r="L246" i="2"/>
  <c r="K247" i="2"/>
  <c r="L247" i="2"/>
  <c r="K248" i="2"/>
  <c r="L248" i="2"/>
  <c r="K249" i="2"/>
  <c r="L249" i="2"/>
  <c r="K250" i="2"/>
  <c r="L250" i="2"/>
  <c r="K251" i="2"/>
  <c r="L251" i="2"/>
  <c r="K252" i="2"/>
  <c r="L252" i="2"/>
  <c r="K253" i="2"/>
  <c r="L253" i="2"/>
  <c r="K254" i="2"/>
  <c r="L254" i="2"/>
  <c r="K255" i="2"/>
  <c r="L255" i="2"/>
  <c r="K256" i="2"/>
  <c r="L256" i="2"/>
  <c r="K257" i="2"/>
  <c r="L257" i="2"/>
  <c r="K258" i="2"/>
  <c r="L258" i="2"/>
  <c r="K259" i="2"/>
  <c r="L259" i="2"/>
  <c r="K260" i="2"/>
  <c r="L260" i="2"/>
  <c r="K261" i="2"/>
  <c r="L261" i="2"/>
  <c r="K262" i="2"/>
  <c r="L262" i="2"/>
  <c r="K263" i="2"/>
  <c r="L263" i="2"/>
  <c r="K264" i="2"/>
  <c r="L264" i="2"/>
  <c r="K265" i="2"/>
  <c r="L265" i="2"/>
  <c r="K266" i="2"/>
  <c r="L266" i="2"/>
  <c r="K267" i="2"/>
  <c r="L267" i="2"/>
  <c r="K268" i="2"/>
  <c r="L268" i="2"/>
  <c r="K269" i="2"/>
  <c r="L269" i="2"/>
  <c r="K270" i="2"/>
  <c r="L270" i="2"/>
  <c r="K271" i="2"/>
  <c r="L271" i="2"/>
  <c r="K272" i="2"/>
  <c r="L272" i="2"/>
  <c r="K273" i="2"/>
  <c r="L273" i="2"/>
  <c r="K274" i="2"/>
  <c r="L274" i="2"/>
  <c r="K275" i="2"/>
  <c r="L275" i="2"/>
  <c r="K276" i="2"/>
  <c r="L276" i="2"/>
  <c r="K277" i="2"/>
  <c r="L277" i="2"/>
  <c r="K278" i="2"/>
  <c r="L278" i="2"/>
  <c r="K279" i="2"/>
  <c r="L279" i="2"/>
  <c r="K280" i="2"/>
  <c r="L280" i="2"/>
  <c r="K281" i="2"/>
  <c r="L281" i="2"/>
  <c r="K282" i="2"/>
  <c r="L282" i="2"/>
  <c r="K283" i="2"/>
  <c r="L283" i="2"/>
  <c r="K284" i="2"/>
  <c r="L284" i="2"/>
  <c r="K285" i="2"/>
  <c r="L285" i="2"/>
  <c r="K286" i="2"/>
  <c r="L286" i="2"/>
  <c r="K287" i="2"/>
  <c r="L287" i="2"/>
  <c r="K288" i="2"/>
  <c r="L288" i="2"/>
  <c r="K289" i="2"/>
  <c r="L289" i="2"/>
  <c r="K290" i="2"/>
  <c r="L290" i="2"/>
  <c r="K291" i="2"/>
  <c r="L291" i="2"/>
  <c r="K292" i="2"/>
  <c r="L292" i="2"/>
  <c r="K293" i="2"/>
  <c r="L293" i="2"/>
  <c r="K294" i="2"/>
  <c r="L294" i="2"/>
  <c r="K295" i="2"/>
  <c r="L295" i="2"/>
  <c r="K296" i="2"/>
  <c r="L296" i="2"/>
  <c r="K297" i="2"/>
  <c r="L297" i="2"/>
  <c r="K298" i="2"/>
  <c r="L298" i="2"/>
  <c r="K299" i="2"/>
  <c r="L299" i="2"/>
  <c r="K300" i="2"/>
  <c r="L300" i="2"/>
  <c r="K301" i="2"/>
  <c r="L301" i="2"/>
  <c r="K302" i="2"/>
  <c r="L302" i="2"/>
  <c r="K303" i="2"/>
  <c r="L303" i="2"/>
  <c r="K304" i="2"/>
  <c r="L304" i="2"/>
  <c r="K305" i="2"/>
  <c r="L305" i="2"/>
  <c r="K306" i="2"/>
  <c r="L306" i="2"/>
  <c r="K307" i="2"/>
  <c r="L307" i="2"/>
  <c r="K308" i="2"/>
  <c r="L308" i="2"/>
  <c r="K309" i="2"/>
  <c r="L309" i="2"/>
  <c r="K310" i="2"/>
  <c r="L310" i="2"/>
  <c r="K311" i="2"/>
  <c r="L311" i="2"/>
  <c r="K312" i="2"/>
  <c r="L312" i="2"/>
  <c r="K313" i="2"/>
  <c r="L313" i="2"/>
  <c r="K314" i="2"/>
  <c r="L314" i="2"/>
  <c r="K315" i="2"/>
  <c r="L315" i="2"/>
  <c r="K316" i="2"/>
  <c r="L316" i="2"/>
  <c r="K317" i="2"/>
  <c r="L317" i="2"/>
  <c r="K318" i="2"/>
  <c r="L318" i="2"/>
  <c r="K319" i="2"/>
  <c r="L319" i="2"/>
  <c r="K320" i="2"/>
  <c r="L320" i="2"/>
  <c r="K321" i="2"/>
  <c r="L321" i="2"/>
  <c r="K322" i="2"/>
  <c r="L322" i="2"/>
  <c r="K323" i="2"/>
  <c r="L323" i="2"/>
  <c r="K324" i="2"/>
  <c r="L324" i="2"/>
  <c r="K325" i="2"/>
  <c r="L325" i="2"/>
  <c r="K326" i="2"/>
  <c r="L326" i="2"/>
  <c r="K327" i="2"/>
  <c r="L327" i="2"/>
  <c r="K328" i="2"/>
  <c r="L328" i="2"/>
  <c r="K329" i="2"/>
  <c r="L329" i="2"/>
  <c r="K330" i="2"/>
  <c r="L330" i="2"/>
  <c r="K331" i="2"/>
  <c r="L331" i="2"/>
  <c r="K332" i="2"/>
  <c r="L332" i="2"/>
  <c r="K333" i="2"/>
  <c r="L333" i="2"/>
  <c r="K334" i="2"/>
  <c r="L334" i="2"/>
  <c r="K335" i="2"/>
  <c r="L335" i="2"/>
  <c r="K336" i="2"/>
  <c r="L336" i="2"/>
  <c r="K337" i="2"/>
  <c r="L337" i="2"/>
  <c r="K338" i="2"/>
  <c r="L338" i="2"/>
  <c r="K339" i="2"/>
  <c r="L339" i="2"/>
  <c r="K340" i="2"/>
  <c r="L340" i="2"/>
  <c r="K341" i="2"/>
  <c r="L341" i="2"/>
  <c r="K342" i="2"/>
  <c r="L342" i="2"/>
  <c r="K343" i="2"/>
  <c r="L343" i="2"/>
  <c r="K344" i="2"/>
  <c r="L344" i="2"/>
  <c r="K345" i="2"/>
  <c r="L345" i="2"/>
  <c r="K346" i="2"/>
  <c r="L346" i="2"/>
  <c r="K347" i="2"/>
  <c r="L347" i="2"/>
  <c r="K348" i="2"/>
  <c r="L348" i="2"/>
  <c r="K349" i="2"/>
  <c r="L349" i="2"/>
  <c r="K350" i="2"/>
  <c r="L350" i="2"/>
  <c r="K351" i="2"/>
  <c r="L351" i="2"/>
  <c r="K352" i="2"/>
  <c r="L352" i="2"/>
  <c r="K353" i="2"/>
  <c r="L353" i="2"/>
  <c r="K354" i="2"/>
  <c r="L354" i="2"/>
  <c r="K355" i="2"/>
  <c r="L355" i="2"/>
  <c r="K356" i="2"/>
  <c r="L356" i="2"/>
  <c r="K357" i="2"/>
  <c r="L357" i="2"/>
  <c r="K358" i="2"/>
  <c r="L358" i="2"/>
  <c r="K359" i="2"/>
  <c r="L359" i="2"/>
  <c r="K360" i="2"/>
  <c r="L360" i="2"/>
  <c r="K361" i="2"/>
  <c r="L361" i="2"/>
  <c r="K362" i="2"/>
  <c r="L362" i="2"/>
  <c r="K363" i="2"/>
  <c r="L363" i="2"/>
  <c r="K364" i="2"/>
  <c r="L364" i="2"/>
  <c r="K365" i="2"/>
  <c r="L365" i="2"/>
  <c r="K366" i="2"/>
  <c r="L366" i="2"/>
  <c r="K367" i="2"/>
  <c r="L367" i="2"/>
  <c r="K368" i="2"/>
  <c r="L368" i="2"/>
  <c r="K369" i="2"/>
  <c r="L369" i="2"/>
  <c r="K370" i="2"/>
  <c r="L370" i="2"/>
  <c r="K371" i="2"/>
  <c r="L371" i="2"/>
  <c r="K372" i="2"/>
  <c r="L372" i="2"/>
  <c r="K373" i="2"/>
  <c r="L373" i="2"/>
  <c r="K374" i="2"/>
  <c r="L374" i="2"/>
  <c r="K375" i="2"/>
  <c r="L375" i="2"/>
  <c r="K376" i="2"/>
  <c r="L376" i="2"/>
  <c r="K377" i="2"/>
  <c r="L377" i="2"/>
  <c r="K378" i="2"/>
  <c r="L378" i="2"/>
  <c r="K379" i="2"/>
  <c r="L379" i="2"/>
  <c r="K380" i="2"/>
  <c r="L380" i="2"/>
  <c r="K381" i="2"/>
  <c r="L381" i="2"/>
  <c r="K382" i="2"/>
  <c r="L382" i="2"/>
  <c r="K383" i="2"/>
  <c r="L383" i="2"/>
  <c r="K384" i="2"/>
  <c r="L384" i="2"/>
  <c r="K385" i="2"/>
  <c r="L385" i="2"/>
  <c r="K386" i="2"/>
  <c r="L386" i="2"/>
  <c r="K387" i="2"/>
  <c r="L387" i="2"/>
  <c r="K388" i="2"/>
  <c r="L388" i="2"/>
  <c r="K389" i="2"/>
  <c r="L389" i="2"/>
  <c r="K390" i="2"/>
  <c r="L390" i="2"/>
  <c r="K391" i="2"/>
  <c r="L391" i="2"/>
  <c r="K392" i="2"/>
  <c r="L392" i="2"/>
  <c r="K393" i="2"/>
  <c r="L393" i="2"/>
  <c r="K394" i="2"/>
  <c r="L394" i="2"/>
  <c r="K395" i="2"/>
  <c r="L395" i="2"/>
  <c r="K396" i="2"/>
  <c r="L396" i="2"/>
  <c r="K397" i="2"/>
  <c r="L397" i="2"/>
  <c r="K398" i="2"/>
  <c r="L398" i="2"/>
  <c r="K399" i="2"/>
  <c r="L399" i="2"/>
  <c r="K400" i="2"/>
  <c r="L400" i="2"/>
  <c r="K401" i="2"/>
  <c r="L401" i="2"/>
  <c r="K402" i="2"/>
  <c r="L402" i="2"/>
  <c r="K403" i="2"/>
  <c r="L403" i="2"/>
  <c r="K404" i="2"/>
  <c r="L404" i="2"/>
  <c r="K405" i="2"/>
  <c r="L405" i="2"/>
  <c r="K406" i="2"/>
  <c r="L406" i="2"/>
  <c r="K407" i="2"/>
  <c r="L407" i="2"/>
  <c r="K408" i="2"/>
  <c r="L408" i="2"/>
  <c r="K409" i="2"/>
  <c r="L409" i="2"/>
  <c r="K410" i="2"/>
  <c r="L410" i="2"/>
  <c r="K411" i="2"/>
  <c r="L411" i="2"/>
  <c r="K412" i="2"/>
  <c r="L412" i="2"/>
  <c r="K413" i="2"/>
  <c r="L413" i="2"/>
  <c r="K414" i="2"/>
  <c r="L414" i="2"/>
  <c r="K415" i="2"/>
  <c r="L415" i="2"/>
  <c r="K416" i="2"/>
  <c r="L416" i="2"/>
  <c r="K417" i="2"/>
  <c r="L417" i="2"/>
  <c r="K418" i="2"/>
  <c r="L418" i="2"/>
  <c r="K419" i="2"/>
  <c r="L419" i="2"/>
  <c r="K420" i="2"/>
  <c r="L420" i="2"/>
  <c r="K421" i="2"/>
  <c r="L421" i="2"/>
  <c r="K422" i="2"/>
  <c r="L422" i="2"/>
  <c r="K423" i="2"/>
  <c r="L423" i="2"/>
  <c r="K424" i="2"/>
  <c r="L424" i="2"/>
  <c r="K425" i="2"/>
  <c r="L425" i="2"/>
  <c r="K426" i="2"/>
  <c r="L426" i="2"/>
  <c r="K427" i="2"/>
  <c r="L427" i="2"/>
  <c r="K428" i="2"/>
  <c r="L428" i="2"/>
  <c r="K429" i="2"/>
  <c r="L429" i="2"/>
  <c r="K430" i="2"/>
  <c r="L430" i="2"/>
  <c r="K431" i="2"/>
  <c r="L431" i="2"/>
  <c r="K432" i="2"/>
  <c r="L432" i="2"/>
  <c r="K433" i="2"/>
  <c r="L433" i="2"/>
  <c r="K434" i="2"/>
  <c r="L434" i="2"/>
  <c r="K435" i="2"/>
  <c r="L435" i="2"/>
  <c r="K436" i="2"/>
  <c r="L436" i="2"/>
  <c r="K437" i="2"/>
  <c r="L437" i="2"/>
  <c r="K438" i="2"/>
  <c r="L438" i="2"/>
  <c r="K439" i="2"/>
  <c r="L439" i="2"/>
  <c r="K440" i="2"/>
  <c r="L440" i="2"/>
  <c r="K441" i="2"/>
  <c r="L441" i="2"/>
  <c r="K442" i="2"/>
  <c r="L442" i="2"/>
  <c r="K443" i="2"/>
  <c r="L443" i="2"/>
  <c r="K444" i="2"/>
  <c r="L444" i="2"/>
  <c r="K445" i="2"/>
  <c r="L445" i="2"/>
  <c r="K446" i="2"/>
  <c r="L446" i="2"/>
  <c r="K447" i="2"/>
  <c r="L447" i="2"/>
  <c r="K448" i="2"/>
  <c r="L448" i="2"/>
  <c r="K449" i="2"/>
  <c r="L449" i="2"/>
  <c r="K450" i="2"/>
  <c r="L450" i="2"/>
  <c r="K451" i="2"/>
  <c r="L451" i="2"/>
  <c r="K452" i="2"/>
  <c r="L452" i="2"/>
  <c r="K453" i="2"/>
  <c r="L453" i="2"/>
  <c r="K454" i="2"/>
  <c r="L454" i="2"/>
  <c r="K455" i="2"/>
  <c r="L455" i="2"/>
  <c r="K456" i="2"/>
  <c r="L456" i="2"/>
  <c r="K457" i="2"/>
  <c r="L457" i="2"/>
  <c r="K458" i="2"/>
  <c r="L458" i="2"/>
  <c r="K459" i="2"/>
  <c r="L459" i="2"/>
  <c r="K460" i="2"/>
  <c r="L460" i="2"/>
  <c r="K461" i="2"/>
  <c r="L461" i="2"/>
  <c r="K462" i="2"/>
  <c r="L462" i="2"/>
  <c r="K463" i="2"/>
  <c r="L463" i="2"/>
  <c r="K464" i="2"/>
  <c r="L464" i="2"/>
  <c r="K465" i="2"/>
  <c r="L465" i="2"/>
  <c r="K466" i="2"/>
  <c r="L466" i="2"/>
  <c r="K467" i="2"/>
  <c r="L467" i="2"/>
  <c r="K468" i="2"/>
  <c r="L468" i="2"/>
  <c r="K469" i="2"/>
  <c r="L469" i="2"/>
  <c r="K470" i="2"/>
  <c r="L470" i="2"/>
  <c r="K471" i="2"/>
  <c r="L471" i="2"/>
  <c r="K472" i="2"/>
  <c r="L472" i="2"/>
  <c r="K473" i="2"/>
  <c r="L473" i="2"/>
  <c r="K474" i="2"/>
  <c r="L474" i="2"/>
  <c r="K475" i="2"/>
  <c r="L475" i="2"/>
  <c r="K476" i="2"/>
  <c r="L476" i="2"/>
  <c r="K477" i="2"/>
  <c r="L477" i="2"/>
  <c r="K478" i="2"/>
  <c r="L478" i="2"/>
  <c r="K479" i="2"/>
  <c r="L479" i="2"/>
  <c r="K480" i="2"/>
  <c r="L480" i="2"/>
  <c r="K481" i="2"/>
  <c r="L481" i="2"/>
  <c r="K482" i="2"/>
  <c r="L482" i="2"/>
  <c r="K483" i="2"/>
  <c r="L483" i="2"/>
  <c r="K484" i="2"/>
  <c r="L484" i="2"/>
  <c r="K485" i="2"/>
  <c r="L485" i="2"/>
  <c r="K486" i="2"/>
  <c r="L486" i="2"/>
  <c r="K487" i="2"/>
  <c r="L487" i="2"/>
  <c r="K488" i="2"/>
  <c r="L488" i="2"/>
  <c r="K489" i="2"/>
  <c r="L489" i="2"/>
  <c r="K490" i="2"/>
  <c r="L490" i="2"/>
  <c r="K491" i="2"/>
  <c r="L491" i="2"/>
  <c r="K492" i="2"/>
  <c r="L492" i="2"/>
  <c r="K493" i="2"/>
  <c r="L493" i="2"/>
  <c r="K494" i="2"/>
  <c r="L494" i="2"/>
  <c r="K495" i="2"/>
  <c r="L495" i="2"/>
  <c r="K496" i="2"/>
  <c r="L496" i="2"/>
  <c r="K497" i="2"/>
  <c r="L497" i="2"/>
  <c r="K498" i="2"/>
  <c r="L498" i="2"/>
  <c r="K499" i="2"/>
  <c r="L499" i="2"/>
  <c r="K500" i="2"/>
  <c r="L500" i="2"/>
  <c r="K501" i="2"/>
  <c r="L501" i="2"/>
  <c r="K502" i="2"/>
  <c r="L502" i="2"/>
  <c r="K503" i="2"/>
  <c r="L503" i="2"/>
  <c r="K504" i="2"/>
  <c r="L504" i="2"/>
  <c r="K505" i="2"/>
  <c r="L505" i="2"/>
  <c r="K506" i="2"/>
  <c r="L506" i="2"/>
  <c r="K507" i="2"/>
  <c r="L507" i="2"/>
  <c r="K508" i="2"/>
  <c r="L508" i="2"/>
  <c r="K509" i="2"/>
  <c r="L509" i="2"/>
  <c r="K510" i="2"/>
  <c r="L510" i="2"/>
  <c r="K511" i="2"/>
  <c r="L511" i="2"/>
  <c r="K512" i="2"/>
  <c r="L512" i="2"/>
  <c r="K513" i="2"/>
  <c r="L513" i="2"/>
  <c r="K514" i="2"/>
  <c r="L514" i="2"/>
  <c r="K515" i="2"/>
  <c r="L515" i="2"/>
  <c r="K516" i="2"/>
  <c r="L516" i="2"/>
  <c r="K517" i="2"/>
  <c r="L517" i="2"/>
  <c r="K518" i="2"/>
  <c r="L518" i="2"/>
  <c r="K519" i="2"/>
  <c r="L519" i="2"/>
  <c r="K520" i="2"/>
  <c r="L520" i="2"/>
  <c r="K521" i="2"/>
  <c r="L521" i="2"/>
  <c r="K522" i="2"/>
  <c r="L522" i="2"/>
  <c r="K523" i="2"/>
  <c r="L523" i="2"/>
  <c r="K524" i="2"/>
  <c r="L524" i="2"/>
  <c r="K525" i="2"/>
  <c r="L525" i="2"/>
  <c r="K526" i="2"/>
  <c r="L526" i="2"/>
  <c r="K527" i="2"/>
  <c r="L527" i="2"/>
  <c r="K528" i="2"/>
  <c r="L528" i="2"/>
  <c r="K529" i="2"/>
  <c r="L529" i="2"/>
  <c r="K530" i="2"/>
  <c r="L530" i="2"/>
  <c r="K531" i="2"/>
  <c r="L531" i="2"/>
  <c r="K532" i="2"/>
  <c r="L532" i="2"/>
  <c r="K533" i="2"/>
  <c r="L533" i="2"/>
  <c r="K534" i="2"/>
  <c r="L534" i="2"/>
  <c r="K535" i="2"/>
  <c r="L535" i="2"/>
  <c r="K536" i="2"/>
  <c r="L536" i="2"/>
  <c r="K537" i="2"/>
  <c r="L537" i="2"/>
  <c r="K538" i="2"/>
  <c r="L538" i="2"/>
  <c r="K539" i="2"/>
  <c r="L539" i="2"/>
  <c r="K540" i="2"/>
  <c r="L540" i="2"/>
  <c r="K541" i="2"/>
  <c r="L541" i="2"/>
  <c r="K542" i="2"/>
  <c r="L542" i="2"/>
  <c r="K543" i="2"/>
  <c r="L543" i="2"/>
  <c r="K544" i="2"/>
  <c r="L544" i="2"/>
  <c r="K545" i="2"/>
  <c r="L545" i="2"/>
  <c r="K546" i="2"/>
  <c r="L546" i="2"/>
  <c r="K547" i="2"/>
  <c r="L547" i="2"/>
  <c r="K548" i="2"/>
  <c r="L548" i="2"/>
  <c r="K549" i="2"/>
  <c r="L549" i="2"/>
  <c r="K550" i="2"/>
  <c r="L550" i="2"/>
  <c r="K551" i="2"/>
  <c r="L551" i="2"/>
  <c r="K552" i="2"/>
  <c r="L552" i="2"/>
  <c r="K553" i="2"/>
  <c r="L553" i="2"/>
  <c r="K554" i="2"/>
  <c r="L554" i="2"/>
  <c r="K555" i="2"/>
  <c r="L555" i="2"/>
  <c r="K556" i="2"/>
  <c r="L556" i="2"/>
  <c r="K557" i="2"/>
  <c r="L557" i="2"/>
  <c r="K558" i="2"/>
  <c r="L558" i="2"/>
  <c r="K559" i="2"/>
  <c r="L559" i="2"/>
  <c r="K560" i="2"/>
  <c r="L560" i="2"/>
  <c r="K561" i="2"/>
  <c r="L561" i="2"/>
  <c r="K562" i="2"/>
  <c r="L562" i="2"/>
  <c r="K563" i="2"/>
  <c r="L563" i="2"/>
  <c r="K564" i="2"/>
  <c r="L564" i="2"/>
  <c r="K565" i="2"/>
  <c r="L565" i="2"/>
  <c r="K566" i="2"/>
  <c r="L566" i="2"/>
  <c r="K567" i="2"/>
  <c r="L567" i="2"/>
  <c r="K568" i="2"/>
  <c r="L568" i="2"/>
  <c r="K569" i="2"/>
  <c r="L569" i="2"/>
  <c r="K570" i="2"/>
  <c r="L570" i="2"/>
  <c r="K571" i="2"/>
  <c r="L571" i="2"/>
  <c r="K572" i="2"/>
  <c r="L572" i="2"/>
  <c r="K573" i="2"/>
  <c r="L573" i="2"/>
  <c r="K574" i="2"/>
  <c r="L574" i="2"/>
  <c r="K575" i="2"/>
  <c r="L575" i="2"/>
  <c r="K576" i="2"/>
  <c r="L576" i="2"/>
  <c r="K577" i="2"/>
  <c r="L577" i="2"/>
  <c r="K578" i="2"/>
  <c r="L578" i="2"/>
  <c r="K579" i="2"/>
  <c r="L579" i="2"/>
  <c r="K580" i="2"/>
  <c r="L580" i="2"/>
  <c r="K581" i="2"/>
  <c r="L581" i="2"/>
  <c r="K582" i="2"/>
  <c r="L582" i="2"/>
  <c r="K583" i="2"/>
  <c r="L583" i="2"/>
  <c r="K584" i="2"/>
  <c r="L584" i="2"/>
  <c r="K585" i="2"/>
  <c r="L585" i="2"/>
  <c r="K586" i="2"/>
  <c r="L586" i="2"/>
  <c r="K587" i="2"/>
  <c r="L587" i="2"/>
  <c r="K588" i="2"/>
  <c r="L588" i="2"/>
  <c r="K589" i="2"/>
  <c r="L589" i="2"/>
  <c r="K590" i="2"/>
  <c r="L590" i="2"/>
  <c r="K591" i="2"/>
  <c r="L591" i="2"/>
  <c r="K592" i="2"/>
  <c r="L592" i="2"/>
  <c r="K593" i="2"/>
  <c r="L593" i="2"/>
  <c r="K594" i="2"/>
  <c r="L594" i="2"/>
  <c r="K595" i="2"/>
  <c r="L595" i="2"/>
  <c r="K596" i="2"/>
  <c r="L596" i="2"/>
  <c r="K597" i="2"/>
  <c r="L597" i="2"/>
  <c r="K598" i="2"/>
  <c r="L598" i="2"/>
  <c r="K599" i="2"/>
  <c r="L599" i="2"/>
  <c r="K600" i="2"/>
  <c r="L600" i="2"/>
  <c r="K601" i="2"/>
  <c r="L601" i="2"/>
  <c r="K602" i="2"/>
  <c r="L602" i="2"/>
  <c r="K603" i="2"/>
  <c r="L603" i="2"/>
  <c r="K604" i="2"/>
  <c r="L604" i="2"/>
  <c r="K605" i="2"/>
  <c r="L605" i="2"/>
  <c r="K606" i="2"/>
  <c r="L606" i="2"/>
  <c r="K607" i="2"/>
  <c r="L607" i="2"/>
  <c r="K608" i="2"/>
  <c r="L608" i="2"/>
  <c r="K609" i="2"/>
  <c r="L609" i="2"/>
  <c r="K610" i="2"/>
  <c r="L610" i="2"/>
  <c r="K611" i="2"/>
  <c r="L611" i="2"/>
  <c r="K612" i="2"/>
  <c r="L612" i="2"/>
  <c r="K613" i="2"/>
  <c r="L613" i="2"/>
  <c r="K614" i="2"/>
  <c r="L614" i="2"/>
  <c r="K615" i="2"/>
  <c r="L615" i="2"/>
  <c r="K616" i="2"/>
  <c r="L616" i="2"/>
  <c r="K617" i="2"/>
  <c r="L617" i="2"/>
  <c r="K618" i="2"/>
  <c r="L618" i="2"/>
  <c r="K619" i="2"/>
  <c r="L619" i="2"/>
  <c r="K620" i="2"/>
  <c r="L620" i="2"/>
  <c r="K621" i="2"/>
  <c r="L621" i="2"/>
  <c r="K622" i="2"/>
  <c r="L622" i="2"/>
  <c r="K623" i="2"/>
  <c r="L623" i="2"/>
  <c r="K624" i="2"/>
  <c r="L624" i="2"/>
  <c r="K625" i="2"/>
  <c r="L625" i="2"/>
  <c r="K626" i="2"/>
  <c r="L626" i="2"/>
  <c r="K627" i="2"/>
  <c r="L627" i="2"/>
  <c r="K628" i="2"/>
  <c r="L628" i="2"/>
  <c r="K629" i="2"/>
  <c r="L629" i="2"/>
  <c r="K630" i="2"/>
  <c r="L630" i="2"/>
  <c r="K631" i="2"/>
  <c r="L631" i="2"/>
  <c r="K632" i="2"/>
  <c r="L632" i="2"/>
  <c r="K633" i="2"/>
  <c r="L633" i="2"/>
  <c r="K634" i="2"/>
  <c r="L634" i="2"/>
  <c r="K635" i="2"/>
  <c r="L635" i="2"/>
  <c r="K636" i="2"/>
  <c r="L636" i="2"/>
  <c r="K637" i="2"/>
  <c r="L637" i="2"/>
  <c r="K638" i="2"/>
  <c r="L638" i="2"/>
  <c r="K639" i="2"/>
  <c r="L639" i="2"/>
  <c r="K640" i="2"/>
  <c r="L640" i="2"/>
  <c r="K641" i="2"/>
  <c r="L641" i="2"/>
  <c r="K642" i="2"/>
  <c r="L642" i="2"/>
  <c r="K643" i="2"/>
  <c r="L643" i="2"/>
  <c r="K644" i="2"/>
  <c r="L644" i="2"/>
  <c r="K645" i="2"/>
  <c r="L645" i="2"/>
  <c r="K646" i="2"/>
  <c r="L646" i="2"/>
  <c r="K647" i="2"/>
  <c r="L647" i="2"/>
  <c r="K648" i="2"/>
  <c r="L648" i="2"/>
  <c r="K649" i="2"/>
  <c r="L649" i="2"/>
  <c r="K650" i="2"/>
  <c r="L650" i="2"/>
  <c r="K651" i="2"/>
  <c r="L651" i="2"/>
  <c r="K652" i="2"/>
  <c r="L652" i="2"/>
  <c r="K653" i="2"/>
  <c r="L653" i="2"/>
  <c r="K654" i="2"/>
  <c r="L654" i="2"/>
  <c r="K655" i="2"/>
  <c r="L655" i="2"/>
  <c r="K656" i="2"/>
  <c r="L656" i="2"/>
  <c r="K657" i="2"/>
  <c r="L657" i="2"/>
  <c r="K658" i="2"/>
  <c r="L658" i="2"/>
  <c r="K659" i="2"/>
  <c r="L659" i="2"/>
  <c r="K660" i="2"/>
  <c r="L660" i="2"/>
  <c r="K661" i="2"/>
  <c r="L661" i="2"/>
  <c r="K662" i="2"/>
  <c r="L662" i="2"/>
  <c r="K663" i="2"/>
  <c r="L663" i="2"/>
  <c r="K664" i="2"/>
  <c r="L664" i="2"/>
  <c r="K665" i="2"/>
  <c r="L665" i="2"/>
  <c r="K666" i="2"/>
  <c r="L666" i="2"/>
  <c r="K667" i="2"/>
  <c r="L667" i="2"/>
  <c r="K668" i="2"/>
  <c r="L668" i="2"/>
  <c r="K669" i="2"/>
  <c r="L669" i="2"/>
  <c r="K670" i="2"/>
  <c r="L670" i="2"/>
  <c r="K671" i="2"/>
  <c r="L671" i="2"/>
  <c r="K672" i="2"/>
  <c r="L672" i="2"/>
  <c r="K673" i="2"/>
  <c r="L673" i="2"/>
  <c r="K674" i="2"/>
  <c r="L674" i="2"/>
  <c r="K675" i="2"/>
  <c r="L675" i="2"/>
  <c r="K676" i="2"/>
  <c r="L676" i="2"/>
  <c r="K677" i="2"/>
  <c r="L677" i="2"/>
  <c r="K678" i="2"/>
  <c r="L678" i="2"/>
  <c r="K679" i="2"/>
  <c r="L679" i="2"/>
  <c r="K680" i="2"/>
  <c r="L680" i="2"/>
  <c r="K681" i="2"/>
  <c r="L681" i="2"/>
  <c r="K682" i="2"/>
  <c r="L682" i="2"/>
  <c r="K683" i="2"/>
  <c r="L683" i="2"/>
  <c r="K684" i="2"/>
  <c r="L684" i="2"/>
  <c r="K685" i="2"/>
  <c r="L685" i="2"/>
  <c r="K686" i="2"/>
  <c r="L686" i="2"/>
  <c r="K687" i="2"/>
  <c r="L687" i="2"/>
  <c r="K688" i="2"/>
  <c r="L688" i="2"/>
  <c r="K689" i="2"/>
  <c r="L689" i="2"/>
  <c r="K690" i="2"/>
  <c r="L690" i="2"/>
  <c r="K691" i="2"/>
  <c r="L691" i="2"/>
  <c r="K692" i="2"/>
  <c r="L692" i="2"/>
  <c r="K693" i="2"/>
  <c r="L693" i="2"/>
  <c r="K694" i="2"/>
  <c r="L694" i="2"/>
  <c r="K695" i="2"/>
  <c r="L695" i="2"/>
  <c r="K696" i="2"/>
  <c r="L696" i="2"/>
  <c r="K697" i="2"/>
  <c r="L697" i="2"/>
  <c r="K698" i="2"/>
  <c r="L698" i="2"/>
  <c r="K699" i="2"/>
  <c r="L699" i="2"/>
  <c r="K700" i="2"/>
  <c r="L700" i="2"/>
  <c r="K701" i="2"/>
  <c r="L701" i="2"/>
  <c r="K702" i="2"/>
  <c r="L702" i="2"/>
  <c r="K703" i="2"/>
  <c r="L703" i="2"/>
  <c r="K704" i="2"/>
  <c r="L704" i="2"/>
  <c r="K705" i="2"/>
  <c r="L705" i="2"/>
  <c r="K706" i="2"/>
  <c r="L706" i="2"/>
  <c r="K707" i="2"/>
  <c r="L707" i="2"/>
  <c r="K708" i="2"/>
  <c r="L708" i="2"/>
  <c r="K709" i="2"/>
  <c r="L709" i="2"/>
  <c r="K710" i="2"/>
  <c r="L710" i="2"/>
  <c r="K711" i="2"/>
  <c r="L711" i="2"/>
  <c r="K712" i="2"/>
  <c r="L712" i="2"/>
  <c r="K713" i="2"/>
  <c r="L713" i="2"/>
  <c r="K714" i="2"/>
  <c r="L714" i="2"/>
  <c r="K715" i="2"/>
  <c r="L715" i="2"/>
  <c r="K716" i="2"/>
  <c r="L716" i="2"/>
  <c r="K717" i="2"/>
  <c r="L717" i="2"/>
  <c r="K718" i="2"/>
  <c r="L718" i="2"/>
  <c r="K719" i="2"/>
  <c r="L719" i="2"/>
  <c r="K720" i="2"/>
  <c r="L720" i="2"/>
  <c r="K721" i="2"/>
  <c r="L721" i="2"/>
  <c r="K722" i="2"/>
  <c r="L722" i="2"/>
  <c r="K723" i="2"/>
  <c r="L723" i="2"/>
  <c r="K724" i="2"/>
  <c r="L724" i="2"/>
  <c r="K725" i="2"/>
  <c r="L725" i="2"/>
  <c r="K726" i="2"/>
  <c r="L726" i="2"/>
  <c r="K727" i="2"/>
  <c r="L727" i="2"/>
  <c r="K728" i="2"/>
  <c r="L728" i="2"/>
  <c r="K729" i="2"/>
  <c r="L729" i="2"/>
  <c r="K730" i="2"/>
  <c r="L730" i="2"/>
  <c r="K731" i="2"/>
  <c r="L731" i="2"/>
  <c r="K732" i="2"/>
  <c r="L732" i="2"/>
  <c r="K733" i="2"/>
  <c r="L733" i="2"/>
  <c r="K734" i="2"/>
  <c r="L734" i="2"/>
  <c r="K735" i="2"/>
  <c r="L735" i="2"/>
  <c r="K736" i="2"/>
  <c r="L736" i="2"/>
  <c r="K737" i="2"/>
  <c r="L737" i="2"/>
  <c r="K738" i="2"/>
  <c r="L738" i="2"/>
  <c r="K739" i="2"/>
  <c r="L739" i="2"/>
  <c r="K740" i="2"/>
  <c r="L740" i="2"/>
  <c r="K741" i="2"/>
  <c r="L741" i="2"/>
  <c r="K742" i="2"/>
  <c r="L742" i="2"/>
  <c r="K743" i="2"/>
  <c r="L743" i="2"/>
  <c r="K744" i="2"/>
  <c r="L744" i="2"/>
  <c r="K745" i="2"/>
  <c r="L745" i="2"/>
  <c r="K746" i="2"/>
  <c r="L746" i="2"/>
  <c r="K747" i="2"/>
  <c r="L747" i="2"/>
  <c r="K748" i="2"/>
  <c r="L748" i="2"/>
  <c r="K749" i="2"/>
  <c r="L749" i="2"/>
  <c r="K750" i="2"/>
  <c r="L750" i="2"/>
  <c r="K751" i="2"/>
  <c r="L751" i="2"/>
  <c r="K752" i="2"/>
  <c r="L752" i="2"/>
  <c r="K753" i="2"/>
  <c r="L753" i="2"/>
  <c r="K754" i="2"/>
  <c r="L754" i="2"/>
  <c r="K755" i="2"/>
  <c r="L755" i="2"/>
  <c r="K756" i="2"/>
  <c r="L756" i="2"/>
  <c r="K757" i="2"/>
  <c r="L757" i="2"/>
  <c r="K758" i="2"/>
  <c r="L758" i="2"/>
  <c r="K759" i="2"/>
  <c r="L759" i="2"/>
  <c r="K760" i="2"/>
  <c r="L760" i="2"/>
  <c r="K761" i="2"/>
  <c r="L761" i="2"/>
  <c r="K762" i="2"/>
  <c r="L762" i="2"/>
  <c r="K763" i="2"/>
  <c r="L763" i="2"/>
  <c r="K764" i="2"/>
  <c r="L764" i="2"/>
  <c r="K765" i="2"/>
  <c r="L765" i="2"/>
  <c r="K766" i="2"/>
  <c r="L766" i="2"/>
  <c r="K767" i="2"/>
  <c r="L767" i="2"/>
  <c r="K768" i="2"/>
  <c r="L768" i="2"/>
  <c r="K769" i="2"/>
  <c r="L769" i="2"/>
  <c r="K770" i="2"/>
  <c r="L770" i="2"/>
  <c r="K771" i="2"/>
  <c r="L771" i="2"/>
  <c r="K772" i="2"/>
  <c r="L772" i="2"/>
  <c r="K773" i="2"/>
  <c r="L773" i="2"/>
  <c r="K774" i="2"/>
  <c r="L774" i="2"/>
  <c r="K775" i="2"/>
  <c r="L775" i="2"/>
  <c r="K776" i="2"/>
  <c r="L776" i="2"/>
  <c r="K777" i="2"/>
  <c r="L777" i="2"/>
  <c r="K778" i="2"/>
  <c r="L778" i="2"/>
  <c r="K779" i="2"/>
  <c r="L779" i="2"/>
  <c r="K780" i="2"/>
  <c r="L780" i="2"/>
  <c r="K781" i="2"/>
  <c r="L781" i="2"/>
  <c r="K782" i="2"/>
  <c r="L782" i="2"/>
  <c r="K783" i="2"/>
  <c r="L783" i="2"/>
  <c r="K784" i="2"/>
  <c r="L784" i="2"/>
  <c r="K785" i="2"/>
  <c r="L785" i="2"/>
  <c r="K786" i="2"/>
  <c r="L786" i="2"/>
  <c r="K787" i="2"/>
  <c r="L787" i="2"/>
  <c r="K788" i="2"/>
  <c r="L788" i="2"/>
  <c r="K789" i="2"/>
  <c r="L789" i="2"/>
  <c r="K790" i="2"/>
  <c r="L790" i="2"/>
  <c r="K791" i="2"/>
  <c r="L791" i="2"/>
  <c r="K792" i="2"/>
  <c r="L792" i="2"/>
  <c r="K793" i="2"/>
  <c r="L793" i="2"/>
  <c r="K794" i="2"/>
  <c r="L794" i="2"/>
  <c r="K795" i="2"/>
  <c r="L795" i="2"/>
  <c r="K796" i="2"/>
  <c r="L796" i="2"/>
  <c r="K797" i="2"/>
  <c r="L797" i="2"/>
  <c r="K798" i="2"/>
  <c r="L798" i="2"/>
  <c r="K799" i="2"/>
  <c r="L799" i="2"/>
  <c r="K800" i="2"/>
  <c r="L800" i="2"/>
  <c r="K801" i="2"/>
  <c r="L801" i="2"/>
  <c r="K802" i="2"/>
  <c r="L802" i="2"/>
  <c r="K803" i="2"/>
  <c r="L803" i="2"/>
  <c r="K804" i="2"/>
  <c r="L804" i="2"/>
  <c r="K805" i="2"/>
  <c r="L805" i="2"/>
  <c r="K806" i="2"/>
  <c r="L806" i="2"/>
  <c r="K807" i="2"/>
  <c r="L807" i="2"/>
  <c r="K808" i="2"/>
  <c r="L808" i="2"/>
  <c r="K809" i="2"/>
  <c r="L809" i="2"/>
  <c r="K810" i="2"/>
  <c r="L810" i="2"/>
  <c r="K811" i="2"/>
  <c r="L811" i="2"/>
  <c r="K812" i="2"/>
  <c r="L812" i="2"/>
  <c r="K813" i="2"/>
  <c r="L813" i="2"/>
  <c r="K814" i="2"/>
  <c r="L814" i="2"/>
  <c r="K815" i="2"/>
  <c r="L815" i="2"/>
  <c r="K816" i="2"/>
  <c r="L816" i="2"/>
  <c r="K817" i="2"/>
  <c r="L817" i="2"/>
  <c r="K818" i="2"/>
  <c r="L818" i="2"/>
  <c r="K819" i="2"/>
  <c r="L819" i="2"/>
  <c r="K820" i="2"/>
  <c r="L820" i="2"/>
  <c r="K821" i="2"/>
  <c r="L821" i="2"/>
  <c r="K822" i="2"/>
  <c r="L822" i="2"/>
  <c r="K823" i="2"/>
  <c r="L823" i="2"/>
  <c r="K824" i="2"/>
  <c r="L824" i="2"/>
  <c r="K825" i="2"/>
  <c r="L825" i="2"/>
  <c r="K826" i="2"/>
  <c r="L826" i="2"/>
  <c r="K827" i="2"/>
  <c r="L827" i="2"/>
  <c r="K828" i="2"/>
  <c r="L828" i="2"/>
  <c r="K829" i="2"/>
  <c r="L829" i="2"/>
  <c r="K830" i="2"/>
  <c r="L830" i="2"/>
  <c r="K831" i="2"/>
  <c r="L831" i="2"/>
  <c r="K832" i="2"/>
  <c r="L832" i="2"/>
  <c r="K833" i="2"/>
  <c r="L833" i="2"/>
  <c r="K834" i="2"/>
  <c r="L834" i="2"/>
  <c r="K835" i="2"/>
  <c r="L835" i="2"/>
  <c r="K836" i="2"/>
  <c r="L836" i="2"/>
  <c r="K837" i="2"/>
  <c r="L837" i="2"/>
  <c r="K838" i="2"/>
  <c r="L838" i="2"/>
  <c r="K839" i="2"/>
  <c r="L839" i="2"/>
  <c r="K840" i="2"/>
  <c r="L840" i="2"/>
  <c r="K841" i="2"/>
  <c r="L841" i="2"/>
  <c r="K842" i="2"/>
  <c r="L842" i="2"/>
  <c r="K843" i="2"/>
  <c r="L843" i="2"/>
  <c r="K844" i="2"/>
  <c r="L844" i="2"/>
  <c r="K845" i="2"/>
  <c r="L845" i="2"/>
  <c r="K846" i="2"/>
  <c r="L846" i="2"/>
  <c r="K847" i="2"/>
  <c r="L847" i="2"/>
  <c r="K848" i="2"/>
  <c r="L848" i="2"/>
  <c r="K849" i="2"/>
  <c r="L849" i="2"/>
  <c r="K850" i="2"/>
  <c r="L850" i="2"/>
  <c r="K851" i="2"/>
  <c r="L851" i="2"/>
  <c r="K852" i="2"/>
  <c r="L852" i="2"/>
  <c r="K853" i="2"/>
  <c r="L853" i="2"/>
  <c r="K854" i="2"/>
  <c r="L854" i="2"/>
  <c r="K855" i="2"/>
  <c r="L855" i="2"/>
  <c r="K856" i="2"/>
  <c r="L856" i="2"/>
  <c r="K857" i="2"/>
  <c r="L857" i="2"/>
  <c r="K858" i="2"/>
  <c r="L858" i="2"/>
  <c r="K859" i="2"/>
  <c r="L859" i="2"/>
  <c r="K860" i="2"/>
  <c r="L860" i="2"/>
  <c r="K861" i="2"/>
  <c r="L861" i="2"/>
  <c r="K862" i="2"/>
  <c r="L862" i="2"/>
  <c r="K863" i="2"/>
  <c r="L863" i="2"/>
  <c r="K864" i="2"/>
  <c r="L864" i="2"/>
  <c r="K865" i="2"/>
  <c r="L865" i="2"/>
  <c r="K866" i="2"/>
  <c r="L866" i="2"/>
  <c r="K867" i="2"/>
  <c r="L867" i="2"/>
  <c r="K868" i="2"/>
  <c r="L868" i="2"/>
  <c r="K869" i="2"/>
  <c r="L869" i="2"/>
  <c r="K870" i="2"/>
  <c r="L870" i="2"/>
  <c r="K871" i="2"/>
  <c r="L871" i="2"/>
  <c r="K872" i="2"/>
  <c r="L872" i="2"/>
  <c r="K873" i="2"/>
  <c r="L873" i="2"/>
  <c r="K874" i="2"/>
  <c r="L874" i="2"/>
  <c r="K875" i="2"/>
  <c r="L875" i="2"/>
  <c r="K876" i="2"/>
  <c r="L876" i="2"/>
  <c r="K877" i="2"/>
  <c r="L877" i="2"/>
  <c r="K878" i="2"/>
  <c r="L878" i="2"/>
  <c r="K879" i="2"/>
  <c r="L879" i="2"/>
  <c r="K880" i="2"/>
  <c r="L880" i="2"/>
  <c r="K881" i="2"/>
  <c r="L881" i="2"/>
  <c r="K882" i="2"/>
  <c r="L882" i="2"/>
  <c r="K883" i="2"/>
  <c r="L883" i="2"/>
  <c r="K884" i="2"/>
  <c r="L884" i="2"/>
  <c r="K885" i="2"/>
  <c r="L885" i="2"/>
  <c r="K886" i="2"/>
  <c r="L886" i="2"/>
  <c r="K887" i="2"/>
  <c r="L887" i="2"/>
  <c r="K888" i="2"/>
  <c r="L888" i="2"/>
  <c r="K889" i="2"/>
  <c r="L889" i="2"/>
  <c r="K890" i="2"/>
  <c r="L890" i="2"/>
  <c r="K891" i="2"/>
  <c r="L891" i="2"/>
  <c r="K892" i="2"/>
  <c r="L892" i="2"/>
  <c r="K893" i="2"/>
  <c r="L893" i="2"/>
  <c r="K894" i="2"/>
  <c r="L894" i="2"/>
  <c r="K895" i="2"/>
  <c r="L895" i="2"/>
  <c r="K896" i="2"/>
  <c r="L896" i="2"/>
  <c r="K897" i="2"/>
  <c r="L897" i="2"/>
  <c r="K898" i="2"/>
  <c r="L898" i="2"/>
  <c r="K899" i="2"/>
  <c r="L899" i="2"/>
  <c r="K900" i="2"/>
  <c r="L900" i="2"/>
  <c r="K901" i="2"/>
  <c r="L901" i="2"/>
  <c r="K902" i="2"/>
  <c r="L902" i="2"/>
  <c r="K903" i="2"/>
  <c r="L903" i="2"/>
  <c r="K904" i="2"/>
  <c r="L904" i="2"/>
  <c r="K905" i="2"/>
  <c r="L905" i="2"/>
  <c r="K906" i="2"/>
  <c r="L906" i="2"/>
  <c r="K907" i="2"/>
  <c r="L907" i="2"/>
  <c r="K908" i="2"/>
  <c r="L908" i="2"/>
  <c r="K909" i="2"/>
  <c r="L909" i="2"/>
  <c r="K910" i="2"/>
  <c r="L910" i="2"/>
  <c r="K911" i="2"/>
  <c r="L911" i="2"/>
  <c r="K912" i="2"/>
  <c r="L912" i="2"/>
  <c r="K913" i="2"/>
  <c r="L913" i="2"/>
  <c r="K914" i="2"/>
  <c r="L914" i="2"/>
  <c r="K915" i="2"/>
  <c r="L915" i="2"/>
  <c r="K916" i="2"/>
  <c r="L916" i="2"/>
  <c r="K917" i="2"/>
  <c r="L917" i="2"/>
  <c r="K918" i="2"/>
  <c r="L918" i="2"/>
  <c r="K919" i="2"/>
  <c r="L919" i="2"/>
  <c r="K920" i="2"/>
  <c r="L920" i="2"/>
  <c r="K921" i="2"/>
  <c r="L921" i="2"/>
  <c r="K922" i="2"/>
  <c r="L922" i="2"/>
  <c r="K923" i="2"/>
  <c r="L923" i="2"/>
  <c r="K924" i="2"/>
  <c r="L924" i="2"/>
  <c r="K925" i="2"/>
  <c r="L925" i="2"/>
  <c r="K926" i="2"/>
  <c r="L926" i="2"/>
  <c r="K927" i="2"/>
  <c r="L927" i="2"/>
  <c r="K928" i="2"/>
  <c r="L928" i="2"/>
  <c r="K929" i="2"/>
  <c r="L929" i="2"/>
  <c r="K930" i="2"/>
  <c r="L930" i="2"/>
  <c r="K931" i="2"/>
  <c r="L931" i="2"/>
  <c r="K932" i="2"/>
  <c r="L932" i="2"/>
  <c r="K933" i="2"/>
  <c r="L933" i="2"/>
  <c r="K934" i="2"/>
  <c r="L934" i="2"/>
  <c r="K935" i="2"/>
  <c r="L935" i="2"/>
  <c r="K936" i="2"/>
  <c r="L936" i="2"/>
  <c r="K937" i="2"/>
  <c r="L937" i="2"/>
  <c r="K938" i="2"/>
  <c r="L938" i="2"/>
  <c r="K939" i="2"/>
  <c r="L939" i="2"/>
  <c r="K940" i="2"/>
  <c r="L940" i="2"/>
  <c r="K941" i="2"/>
  <c r="L941" i="2"/>
  <c r="K942" i="2"/>
  <c r="L942" i="2"/>
  <c r="K943" i="2"/>
  <c r="L943" i="2"/>
  <c r="K944" i="2"/>
  <c r="L944" i="2"/>
  <c r="K945" i="2"/>
  <c r="L945" i="2"/>
  <c r="K946" i="2"/>
  <c r="L946" i="2"/>
  <c r="K947" i="2"/>
  <c r="L947" i="2"/>
  <c r="K948" i="2"/>
  <c r="L948" i="2"/>
  <c r="K949" i="2"/>
  <c r="L949" i="2"/>
  <c r="K950" i="2"/>
  <c r="L950" i="2"/>
  <c r="K951" i="2"/>
  <c r="L951" i="2"/>
  <c r="K952" i="2"/>
  <c r="L952" i="2"/>
  <c r="K953" i="2"/>
  <c r="L953" i="2"/>
  <c r="K954" i="2"/>
  <c r="L954" i="2"/>
  <c r="K955" i="2"/>
  <c r="L955" i="2"/>
  <c r="K956" i="2"/>
  <c r="L956" i="2"/>
  <c r="K957" i="2"/>
  <c r="L957" i="2"/>
  <c r="K958" i="2"/>
  <c r="L958" i="2"/>
  <c r="K959" i="2"/>
  <c r="L959" i="2"/>
  <c r="K960" i="2"/>
  <c r="L960" i="2"/>
  <c r="K961" i="2"/>
  <c r="L961" i="2"/>
  <c r="K962" i="2"/>
  <c r="L962" i="2"/>
  <c r="K963" i="2"/>
  <c r="L963" i="2"/>
  <c r="K964" i="2"/>
  <c r="L964" i="2"/>
  <c r="K965" i="2"/>
  <c r="L965" i="2"/>
  <c r="K966" i="2"/>
  <c r="L966" i="2"/>
  <c r="K967" i="2"/>
  <c r="L967" i="2"/>
  <c r="K968" i="2"/>
  <c r="L968" i="2"/>
  <c r="K969" i="2"/>
  <c r="L969" i="2"/>
  <c r="K970" i="2"/>
  <c r="L970" i="2"/>
  <c r="K971" i="2"/>
  <c r="L971" i="2"/>
  <c r="K972" i="2"/>
  <c r="L972" i="2"/>
  <c r="K973" i="2"/>
  <c r="L973" i="2"/>
  <c r="K974" i="2"/>
  <c r="L974" i="2"/>
  <c r="K975" i="2"/>
  <c r="L975" i="2"/>
  <c r="K976" i="2"/>
  <c r="L976" i="2"/>
  <c r="K977" i="2"/>
  <c r="L977" i="2"/>
  <c r="K978" i="2"/>
  <c r="L978" i="2"/>
  <c r="K979" i="2"/>
  <c r="L979" i="2"/>
  <c r="K980" i="2"/>
  <c r="L980" i="2"/>
  <c r="K981" i="2"/>
  <c r="L981" i="2"/>
  <c r="K982" i="2"/>
  <c r="L982" i="2"/>
  <c r="K983" i="2"/>
  <c r="L983" i="2"/>
  <c r="K984" i="2"/>
  <c r="L984" i="2"/>
  <c r="K985" i="2"/>
  <c r="L985" i="2"/>
  <c r="K986" i="2"/>
  <c r="L986" i="2"/>
  <c r="K987" i="2"/>
  <c r="L987" i="2"/>
  <c r="K988" i="2"/>
  <c r="L988" i="2"/>
  <c r="K989" i="2"/>
  <c r="L989" i="2"/>
  <c r="K990" i="2"/>
  <c r="L990" i="2"/>
  <c r="K991" i="2"/>
  <c r="L991" i="2"/>
  <c r="K992" i="2"/>
  <c r="L992" i="2"/>
  <c r="K993" i="2"/>
  <c r="L993" i="2"/>
  <c r="K994" i="2"/>
  <c r="L994" i="2"/>
  <c r="K995" i="2"/>
  <c r="L995" i="2"/>
  <c r="K996" i="2"/>
  <c r="L996" i="2"/>
  <c r="K997" i="2"/>
  <c r="L997" i="2"/>
  <c r="K998" i="2"/>
  <c r="L998" i="2"/>
  <c r="K999" i="2"/>
  <c r="L999" i="2"/>
  <c r="K1000" i="2"/>
  <c r="L1000" i="2"/>
  <c r="K1001" i="2"/>
  <c r="L1001" i="2"/>
  <c r="K1002" i="2"/>
  <c r="L1002" i="2"/>
  <c r="K1003" i="2"/>
  <c r="L1003" i="2"/>
  <c r="K1004" i="2"/>
  <c r="L1004" i="2"/>
  <c r="K1005" i="2"/>
  <c r="L1005" i="2"/>
  <c r="K1006" i="2"/>
  <c r="L1006" i="2"/>
  <c r="K1007" i="2"/>
  <c r="L1007" i="2"/>
  <c r="K1008" i="2"/>
  <c r="L1008" i="2"/>
  <c r="K1009" i="2"/>
  <c r="L1009" i="2"/>
  <c r="K1010" i="2"/>
  <c r="L1010" i="2"/>
  <c r="K1011" i="2"/>
  <c r="L1011" i="2"/>
  <c r="K1012" i="2"/>
  <c r="L1012" i="2"/>
  <c r="K1013" i="2"/>
  <c r="L1013" i="2"/>
  <c r="K1014" i="2"/>
  <c r="L1014" i="2"/>
  <c r="K1015" i="2"/>
  <c r="L1015" i="2"/>
  <c r="K1016" i="2"/>
  <c r="L1016" i="2"/>
  <c r="K1017" i="2"/>
  <c r="L1017" i="2"/>
  <c r="K1018" i="2"/>
  <c r="L1018" i="2"/>
  <c r="K1019" i="2"/>
  <c r="L1019" i="2"/>
  <c r="K1020" i="2"/>
  <c r="L1020" i="2"/>
  <c r="K1021" i="2"/>
  <c r="L1021" i="2"/>
  <c r="K1022" i="2"/>
  <c r="L1022" i="2"/>
  <c r="K1023" i="2"/>
  <c r="L1023" i="2"/>
  <c r="K1024" i="2"/>
  <c r="L1024" i="2"/>
  <c r="K1025" i="2"/>
  <c r="L1025" i="2"/>
  <c r="K1026" i="2"/>
  <c r="L1026" i="2"/>
  <c r="K1027" i="2"/>
  <c r="L1027" i="2"/>
  <c r="K1028" i="2"/>
  <c r="L1028" i="2"/>
  <c r="K1029" i="2"/>
  <c r="L1029" i="2"/>
  <c r="K1030" i="2"/>
  <c r="L1030" i="2"/>
  <c r="K1031" i="2"/>
  <c r="L1031" i="2"/>
  <c r="K1032" i="2"/>
  <c r="L1032" i="2"/>
  <c r="K1033" i="2"/>
  <c r="L1033" i="2"/>
  <c r="K1034" i="2"/>
  <c r="L1034" i="2"/>
  <c r="K1035" i="2"/>
  <c r="L1035" i="2"/>
  <c r="K1036" i="2"/>
  <c r="L1036" i="2"/>
  <c r="K1037" i="2"/>
  <c r="L1037" i="2"/>
  <c r="K1038" i="2"/>
  <c r="L1038" i="2"/>
  <c r="K1039" i="2"/>
  <c r="L1039" i="2"/>
  <c r="K1040" i="2"/>
  <c r="L1040" i="2"/>
  <c r="K1041" i="2"/>
  <c r="L1041" i="2"/>
  <c r="K1042" i="2"/>
  <c r="L1042" i="2"/>
  <c r="K1043" i="2"/>
  <c r="L1043" i="2"/>
  <c r="K1044" i="2"/>
  <c r="L1044" i="2"/>
  <c r="K1045" i="2"/>
  <c r="L1045" i="2"/>
  <c r="K1046" i="2"/>
  <c r="L1046" i="2"/>
  <c r="K1047" i="2"/>
  <c r="L1047" i="2"/>
  <c r="K1048" i="2"/>
  <c r="L1048" i="2"/>
  <c r="K1049" i="2"/>
  <c r="L1049" i="2"/>
  <c r="K1050" i="2"/>
  <c r="L1050" i="2"/>
  <c r="K1051" i="2"/>
  <c r="L1051" i="2"/>
  <c r="K1052" i="2"/>
  <c r="L1052" i="2"/>
  <c r="K1053" i="2"/>
  <c r="L1053" i="2"/>
  <c r="K1054" i="2"/>
  <c r="L1054" i="2"/>
  <c r="K1055" i="2"/>
  <c r="L1055" i="2"/>
  <c r="K1056" i="2"/>
  <c r="L1056" i="2"/>
  <c r="K1057" i="2"/>
  <c r="L1057" i="2"/>
  <c r="K1058" i="2"/>
  <c r="L1058" i="2"/>
  <c r="K1059" i="2"/>
  <c r="L1059" i="2"/>
  <c r="K1060" i="2"/>
  <c r="L1060" i="2"/>
  <c r="K1061" i="2"/>
  <c r="L1061" i="2"/>
  <c r="K1062" i="2"/>
  <c r="L1062" i="2"/>
  <c r="K1063" i="2"/>
  <c r="L1063" i="2"/>
  <c r="K1064" i="2"/>
  <c r="L1064" i="2"/>
  <c r="K1065" i="2"/>
  <c r="L1065" i="2"/>
  <c r="K1066" i="2"/>
  <c r="L1066" i="2"/>
  <c r="K1067" i="2"/>
  <c r="L1067" i="2"/>
  <c r="K1068" i="2"/>
  <c r="L1068" i="2"/>
  <c r="K1069" i="2"/>
  <c r="L1069" i="2"/>
  <c r="K1070" i="2"/>
  <c r="L1070" i="2"/>
  <c r="K1071" i="2"/>
  <c r="L1071" i="2"/>
  <c r="K1072" i="2"/>
  <c r="L1072" i="2"/>
  <c r="K1073" i="2"/>
  <c r="L1073" i="2"/>
  <c r="K1074" i="2"/>
  <c r="L1074" i="2"/>
  <c r="K1075" i="2"/>
  <c r="L1075" i="2"/>
  <c r="K1076" i="2"/>
  <c r="L1076" i="2"/>
  <c r="K1077" i="2"/>
  <c r="L1077" i="2"/>
  <c r="K1078" i="2"/>
  <c r="L1078" i="2"/>
  <c r="K1079" i="2"/>
  <c r="L1079" i="2"/>
  <c r="K1080" i="2"/>
  <c r="L1080" i="2"/>
  <c r="K1081" i="2"/>
  <c r="L1081" i="2"/>
  <c r="K1082" i="2"/>
  <c r="L1082" i="2"/>
  <c r="K1083" i="2"/>
  <c r="L1083" i="2"/>
  <c r="K1084" i="2"/>
  <c r="L1084" i="2"/>
  <c r="K1085" i="2"/>
  <c r="L1085" i="2"/>
  <c r="K1086" i="2"/>
  <c r="L1086" i="2"/>
  <c r="K1087" i="2"/>
  <c r="L1087" i="2"/>
  <c r="K1088" i="2"/>
  <c r="L1088" i="2"/>
  <c r="K1089" i="2"/>
  <c r="L1089" i="2"/>
  <c r="K1090" i="2"/>
  <c r="L1090" i="2"/>
  <c r="K1091" i="2"/>
  <c r="L1091" i="2"/>
  <c r="K1092" i="2"/>
  <c r="L1092" i="2"/>
  <c r="K1093" i="2"/>
  <c r="L1093" i="2"/>
  <c r="K1094" i="2"/>
  <c r="L1094" i="2"/>
  <c r="K1095" i="2"/>
  <c r="L1095" i="2"/>
  <c r="K1096" i="2"/>
  <c r="L1096" i="2"/>
  <c r="K1097" i="2"/>
  <c r="L1097" i="2"/>
  <c r="K1098" i="2"/>
  <c r="L1098" i="2"/>
  <c r="K1099" i="2"/>
  <c r="L1099" i="2"/>
  <c r="K1100" i="2"/>
  <c r="L1100" i="2"/>
  <c r="K1101" i="2"/>
  <c r="L1101" i="2"/>
  <c r="K1102" i="2"/>
  <c r="L1102" i="2"/>
  <c r="K1103" i="2"/>
  <c r="L1103" i="2"/>
  <c r="K1104" i="2"/>
  <c r="L1104" i="2"/>
  <c r="K1105" i="2"/>
  <c r="L1105" i="2"/>
  <c r="K1106" i="2"/>
  <c r="L1106" i="2"/>
  <c r="K1107" i="2"/>
  <c r="L1107" i="2"/>
  <c r="K1108" i="2"/>
  <c r="L1108" i="2"/>
  <c r="K1109" i="2"/>
  <c r="L1109" i="2"/>
  <c r="K1110" i="2"/>
  <c r="L1110" i="2"/>
  <c r="K1111" i="2"/>
  <c r="L1111" i="2"/>
  <c r="K1112" i="2"/>
  <c r="L1112" i="2"/>
  <c r="K1113" i="2"/>
  <c r="L1113" i="2"/>
  <c r="K1114" i="2"/>
  <c r="L1114" i="2"/>
  <c r="K1115" i="2"/>
  <c r="L1115" i="2"/>
  <c r="K1116" i="2"/>
  <c r="L1116" i="2"/>
  <c r="K1117" i="2"/>
  <c r="L1117" i="2"/>
  <c r="K1118" i="2"/>
  <c r="L1118" i="2"/>
  <c r="K1119" i="2"/>
  <c r="L1119" i="2"/>
  <c r="K1120" i="2"/>
  <c r="L1120" i="2"/>
  <c r="K1121" i="2"/>
  <c r="L1121" i="2"/>
  <c r="K1122" i="2"/>
  <c r="L1122" i="2"/>
  <c r="K1123" i="2"/>
  <c r="L1123" i="2"/>
  <c r="K1124" i="2"/>
  <c r="L1124" i="2"/>
  <c r="K1125" i="2"/>
  <c r="L1125" i="2"/>
  <c r="K1126" i="2"/>
  <c r="L1126" i="2"/>
  <c r="K1127" i="2"/>
  <c r="L1127" i="2"/>
  <c r="K1128" i="2"/>
  <c r="L1128" i="2"/>
  <c r="K1129" i="2"/>
  <c r="L1129" i="2"/>
  <c r="K1130" i="2"/>
  <c r="L1130" i="2"/>
  <c r="K1131" i="2"/>
  <c r="L1131" i="2"/>
  <c r="K1132" i="2"/>
  <c r="L1132" i="2"/>
  <c r="K1133" i="2"/>
  <c r="L1133" i="2"/>
  <c r="K1134" i="2"/>
  <c r="L1134" i="2"/>
  <c r="K1135" i="2"/>
  <c r="L1135" i="2"/>
  <c r="K1136" i="2"/>
  <c r="L1136" i="2"/>
  <c r="K1137" i="2"/>
  <c r="L1137" i="2"/>
  <c r="K1138" i="2"/>
  <c r="L1138" i="2"/>
  <c r="K1139" i="2"/>
  <c r="L1139" i="2"/>
  <c r="K1140" i="2"/>
  <c r="L1140" i="2"/>
  <c r="K1141" i="2"/>
  <c r="L1141" i="2"/>
  <c r="K1142" i="2"/>
  <c r="L1142" i="2"/>
  <c r="K1143" i="2"/>
  <c r="L1143" i="2"/>
  <c r="K1144" i="2"/>
  <c r="L1144" i="2"/>
  <c r="K1145" i="2"/>
  <c r="L1145" i="2"/>
  <c r="K1146" i="2"/>
  <c r="L1146" i="2"/>
  <c r="K1147" i="2"/>
  <c r="L1147" i="2"/>
  <c r="K1148" i="2"/>
  <c r="L1148" i="2"/>
  <c r="K1149" i="2"/>
  <c r="L1149" i="2"/>
  <c r="K1150" i="2"/>
  <c r="L1150" i="2"/>
  <c r="K1151" i="2"/>
  <c r="L1151" i="2"/>
  <c r="K1152" i="2"/>
  <c r="L1152" i="2"/>
  <c r="K1153" i="2"/>
  <c r="L1153" i="2"/>
  <c r="K1154" i="2"/>
  <c r="L1154" i="2"/>
  <c r="K1155" i="2"/>
  <c r="L1155" i="2"/>
  <c r="K1156" i="2"/>
  <c r="L1156" i="2"/>
  <c r="K1157" i="2"/>
  <c r="L1157" i="2"/>
  <c r="K1158" i="2"/>
  <c r="L1158" i="2"/>
  <c r="K1159" i="2"/>
  <c r="L1159" i="2"/>
  <c r="K1160" i="2"/>
  <c r="L1160" i="2"/>
  <c r="K1161" i="2"/>
  <c r="L1161" i="2"/>
  <c r="K1162" i="2"/>
  <c r="L1162" i="2"/>
  <c r="K1163" i="2"/>
  <c r="L1163" i="2"/>
  <c r="K1164" i="2"/>
  <c r="L1164" i="2"/>
  <c r="K1165" i="2"/>
  <c r="L1165" i="2"/>
  <c r="K1166" i="2"/>
  <c r="L1166" i="2"/>
  <c r="K1167" i="2"/>
  <c r="L1167" i="2"/>
  <c r="K1168" i="2"/>
  <c r="L1168" i="2"/>
  <c r="K1169" i="2"/>
  <c r="L1169" i="2"/>
  <c r="K1170" i="2"/>
  <c r="L1170" i="2"/>
  <c r="K1171" i="2"/>
  <c r="L1171" i="2"/>
  <c r="K1172" i="2"/>
  <c r="L1172" i="2"/>
  <c r="K1173" i="2"/>
  <c r="L1173" i="2"/>
  <c r="K1174" i="2"/>
  <c r="L1174" i="2"/>
  <c r="K1175" i="2"/>
  <c r="L1175" i="2"/>
  <c r="K1176" i="2"/>
  <c r="L1176" i="2"/>
  <c r="K1177" i="2"/>
  <c r="L1177" i="2"/>
  <c r="K1178" i="2"/>
  <c r="L1178" i="2"/>
  <c r="K1179" i="2"/>
  <c r="L1179" i="2"/>
  <c r="K1180" i="2"/>
  <c r="L1180" i="2"/>
  <c r="K1181" i="2"/>
  <c r="L1181" i="2"/>
  <c r="K1182" i="2"/>
  <c r="L1182" i="2"/>
  <c r="K1183" i="2"/>
  <c r="L1183" i="2"/>
  <c r="K1184" i="2"/>
  <c r="L1184" i="2"/>
  <c r="K1185" i="2"/>
  <c r="L1185" i="2"/>
  <c r="K1186" i="2"/>
  <c r="L1186" i="2"/>
  <c r="K1187" i="2"/>
  <c r="L1187" i="2"/>
  <c r="K1188" i="2"/>
  <c r="L1188" i="2"/>
  <c r="K1189" i="2"/>
  <c r="L1189" i="2"/>
  <c r="K1190" i="2"/>
  <c r="L1190" i="2"/>
  <c r="K1191" i="2"/>
  <c r="L1191" i="2"/>
  <c r="K1192" i="2"/>
  <c r="L1192" i="2"/>
  <c r="K1193" i="2"/>
  <c r="L1193" i="2"/>
  <c r="K1194" i="2"/>
  <c r="L1194" i="2"/>
  <c r="K1195" i="2"/>
  <c r="L1195" i="2"/>
  <c r="K1196" i="2"/>
  <c r="L1196" i="2"/>
  <c r="K1197" i="2"/>
  <c r="L1197" i="2"/>
  <c r="K1198" i="2"/>
  <c r="L1198" i="2"/>
  <c r="K1199" i="2"/>
  <c r="L1199" i="2"/>
  <c r="K1200" i="2"/>
  <c r="L1200" i="2"/>
  <c r="K1201" i="2"/>
  <c r="L1201" i="2"/>
  <c r="K1202" i="2"/>
  <c r="L1202" i="2"/>
  <c r="K1203" i="2"/>
  <c r="L1203" i="2"/>
  <c r="K1204" i="2"/>
  <c r="L1204" i="2"/>
  <c r="K1205" i="2"/>
  <c r="L1205" i="2"/>
  <c r="K1206" i="2"/>
  <c r="L1206" i="2"/>
  <c r="K1207" i="2"/>
  <c r="L1207" i="2"/>
  <c r="K1208" i="2"/>
  <c r="L1208" i="2"/>
  <c r="K1209" i="2"/>
  <c r="L1209" i="2"/>
  <c r="K1210" i="2"/>
  <c r="L1210" i="2"/>
  <c r="K1211" i="2"/>
  <c r="L1211" i="2"/>
  <c r="K1212" i="2"/>
  <c r="L1212" i="2"/>
  <c r="K1213" i="2"/>
  <c r="L1213" i="2"/>
  <c r="K1214" i="2"/>
  <c r="L1214" i="2"/>
  <c r="K1215" i="2"/>
  <c r="L1215" i="2"/>
  <c r="K1216" i="2"/>
  <c r="L1216" i="2"/>
  <c r="K1217" i="2"/>
  <c r="L1217" i="2"/>
  <c r="K1218" i="2"/>
  <c r="L1218" i="2"/>
  <c r="K1219" i="2"/>
  <c r="L1219" i="2"/>
  <c r="K1220" i="2"/>
  <c r="L1220" i="2"/>
  <c r="K1221" i="2"/>
  <c r="L1221" i="2"/>
  <c r="K1222" i="2"/>
  <c r="L1222" i="2"/>
  <c r="K1223" i="2"/>
  <c r="L1223" i="2"/>
  <c r="K1224" i="2"/>
  <c r="L1224" i="2"/>
  <c r="K1225" i="2"/>
  <c r="L1225" i="2"/>
  <c r="K1226" i="2"/>
  <c r="L1226" i="2"/>
  <c r="K1227" i="2"/>
  <c r="L1227" i="2"/>
  <c r="K1228" i="2"/>
  <c r="L1228" i="2"/>
  <c r="K1229" i="2"/>
  <c r="L1229" i="2"/>
  <c r="K1230" i="2"/>
  <c r="L1230" i="2"/>
  <c r="K1231" i="2"/>
  <c r="L1231" i="2"/>
  <c r="K1232" i="2"/>
  <c r="L1232" i="2"/>
  <c r="K1233" i="2"/>
  <c r="L1233" i="2"/>
  <c r="K1234" i="2"/>
  <c r="L1234" i="2"/>
  <c r="K1235" i="2"/>
  <c r="L1235" i="2"/>
  <c r="K1236" i="2"/>
  <c r="L1236" i="2"/>
  <c r="K1237" i="2"/>
  <c r="L1237" i="2"/>
  <c r="K1238" i="2"/>
  <c r="L1238" i="2"/>
  <c r="K1239" i="2"/>
  <c r="L1239" i="2"/>
  <c r="K1240" i="2"/>
  <c r="L1240" i="2"/>
  <c r="K1241" i="2"/>
  <c r="L1241" i="2"/>
  <c r="K1242" i="2"/>
  <c r="L1242" i="2"/>
  <c r="L4" i="2"/>
  <c r="K4" i="2"/>
  <c r="F5" i="16"/>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J3" i="16"/>
  <c r="F3" i="16"/>
  <c r="F12" i="11" l="1"/>
  <c r="H15" i="11"/>
  <c r="D3" i="6"/>
  <c r="I16" i="6" s="1"/>
  <c r="G22" i="11"/>
  <c r="F12" i="10"/>
  <c r="F13" i="10" s="1"/>
  <c r="F15" i="10" s="1"/>
  <c r="G11" i="10"/>
  <c r="H10" i="10"/>
  <c r="D18" i="20"/>
  <c r="D22" i="20"/>
  <c r="D21" i="20"/>
  <c r="D20" i="20"/>
  <c r="D19" i="20"/>
  <c r="B6" i="9"/>
  <c r="B12" i="9" s="1"/>
  <c r="D4" i="6"/>
  <c r="I17" i="6" s="1"/>
  <c r="H11" i="10" l="1"/>
  <c r="I10" i="10"/>
  <c r="G12" i="10"/>
  <c r="G13" i="10" s="1"/>
  <c r="G15" i="10" s="1"/>
  <c r="E20" i="20"/>
  <c r="E19" i="20"/>
  <c r="E22" i="20"/>
  <c r="E21" i="20"/>
  <c r="I11" i="10" l="1"/>
  <c r="J10" i="10"/>
  <c r="H12" i="10"/>
  <c r="H13" i="10" s="1"/>
  <c r="H15" i="10" s="1"/>
  <c r="J11" i="10" l="1"/>
  <c r="K10" i="10"/>
  <c r="I12" i="10"/>
  <c r="I13" i="10" s="1"/>
  <c r="I15" i="10" s="1"/>
  <c r="K11" i="10" l="1"/>
  <c r="L10" i="10"/>
  <c r="J12" i="10"/>
  <c r="J13" i="10" s="1"/>
  <c r="J15" i="10" s="1"/>
  <c r="M10" i="10" l="1"/>
  <c r="L11" i="10"/>
  <c r="K12" i="10"/>
  <c r="K13" i="10" s="1"/>
  <c r="K15" i="10" s="1"/>
  <c r="L12" i="10" l="1"/>
  <c r="L13" i="10" s="1"/>
  <c r="L15" i="10" s="1"/>
  <c r="N10" i="10"/>
  <c r="M11" i="10"/>
  <c r="M12" i="10" l="1"/>
  <c r="M13" i="10" s="1"/>
  <c r="M15" i="10" s="1"/>
  <c r="O10" i="10"/>
  <c r="O11" i="10" s="1"/>
  <c r="N11" i="10"/>
  <c r="N12" i="10" l="1"/>
  <c r="N13" i="10" s="1"/>
  <c r="N15" i="10" s="1"/>
  <c r="O12" i="10"/>
  <c r="O13" i="10" s="1"/>
  <c r="O15" i="10" s="1"/>
  <c r="G21" i="10" l="1"/>
  <c r="G18" i="10"/>
  <c r="G19" i="10" s="1"/>
  <c r="G2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A2" authorId="0" shapeId="0" xr:uid="{00000000-0006-0000-0500-000001000000}">
      <text>
        <r>
          <rPr>
            <sz val="11"/>
            <color theme="1"/>
            <rFont val="Calibri"/>
            <family val="2"/>
            <scheme val="minor"/>
          </rPr>
          <t>Adjust SLOPE/COVARIANCE ranges to the actual number of return rows. You can compute betas for different periods/frequencies.</t>
        </r>
      </text>
    </comment>
    <comment ref="A7" authorId="0" shapeId="0" xr:uid="{41FCF574-CFEC-4389-B07E-3FFC5EB048F5}">
      <text>
        <r>
          <rPr>
            <sz val="11"/>
            <color theme="1"/>
            <rFont val="Calibri"/>
            <family val="2"/>
            <scheme val="minor"/>
          </rPr>
          <t>Adjust SLOPE/COVARIANCE ranges to the actual number of return rows. You can compute betas for different periods/frequencies.</t>
        </r>
      </text>
    </comment>
    <comment ref="A11" authorId="0" shapeId="0" xr:uid="{AA40D51B-4620-4567-8098-AC3463636E17}">
      <text>
        <r>
          <rPr>
            <sz val="11"/>
            <color theme="1"/>
            <rFont val="Calibri"/>
            <family val="2"/>
            <scheme val="minor"/>
          </rPr>
          <t>Adjust SLOPE/COVARIANCE ranges to the actual number of return rows. You can compute betas for different periods/frequencies.</t>
        </r>
      </text>
    </comment>
    <comment ref="A16" authorId="0" shapeId="0" xr:uid="{969C6243-BE65-4D9A-B2A9-9DF26BA5F27E}">
      <text>
        <r>
          <rPr>
            <sz val="11"/>
            <color theme="1"/>
            <rFont val="Calibri"/>
            <family val="2"/>
            <scheme val="minor"/>
          </rPr>
          <t>Adjust SLOPE/COVARIANCE ranges to the actual number of return rows. You can compute betas for different periods/frequencies.</t>
        </r>
      </text>
    </comment>
    <comment ref="A20" authorId="0" shapeId="0" xr:uid="{AC649E40-5443-4138-8ECB-AAD77DC86FD7}">
      <text>
        <r>
          <rPr>
            <sz val="11"/>
            <color theme="1"/>
            <rFont val="Calibri"/>
            <family val="2"/>
            <scheme val="minor"/>
          </rPr>
          <t>Adjust SLOPE/COVARIANCE ranges to the actual number of return rows. You can compute betas for different periods/frequencies.</t>
        </r>
      </text>
    </comment>
  </commentList>
</comments>
</file>

<file path=xl/sharedStrings.xml><?xml version="1.0" encoding="utf-8"?>
<sst xmlns="http://schemas.openxmlformats.org/spreadsheetml/2006/main" count="865" uniqueCount="616">
  <si>
    <t>Comprehensive Corporate Finance Evaluation of Infosys Ltd.</t>
  </si>
  <si>
    <t>Subject</t>
  </si>
  <si>
    <t>Corporate Finance using Excel</t>
  </si>
  <si>
    <t>Compay</t>
  </si>
  <si>
    <t>Infosys Ltd.</t>
  </si>
  <si>
    <t>ROLL NO</t>
  </si>
  <si>
    <t>GROUP MEMBERS NAME</t>
  </si>
  <si>
    <t>065006</t>
  </si>
  <si>
    <t>Aditi Agarwal</t>
  </si>
  <si>
    <t>065008</t>
  </si>
  <si>
    <t>Akshit Kansal</t>
  </si>
  <si>
    <t>065010</t>
  </si>
  <si>
    <t>Aman Malhi</t>
  </si>
  <si>
    <t>065036</t>
  </si>
  <si>
    <t>Mayank Jha</t>
  </si>
  <si>
    <t>065040</t>
  </si>
  <si>
    <t>Parv</t>
  </si>
  <si>
    <t>065060</t>
  </si>
  <si>
    <t>Awantika Kholia</t>
  </si>
  <si>
    <t>Sheet</t>
  </si>
  <si>
    <t>Description</t>
  </si>
  <si>
    <t>RawPrice_Daily</t>
  </si>
  <si>
    <t>1.This sheet contains daily historical prices of Infosys and the Sensex over 10-year and 5-year periods.
2.It calculates daily percentage returns for both Infosys and the market, which are used for further analysis.
3.This data acts as the base input for beta calculation, volatility analysis, and valuation models in later sheets.</t>
  </si>
  <si>
    <r>
      <rPr>
        <sz val="11"/>
        <color rgb="FF000000"/>
        <rFont val="Calibri"/>
        <family val="2"/>
        <scheme val="minor"/>
      </rPr>
      <t xml:space="preserve">1.Stores </t>
    </r>
    <r>
      <rPr>
        <b/>
        <sz val="11"/>
        <color rgb="FF000000"/>
        <rFont val="Calibri"/>
        <family val="2"/>
        <scheme val="minor"/>
      </rPr>
      <t>weekly closing prices</t>
    </r>
    <r>
      <rPr>
        <sz val="11"/>
        <color rgb="FF000000"/>
        <rFont val="Calibri"/>
        <family val="2"/>
        <scheme val="minor"/>
      </rPr>
      <t xml:space="preserve"> of Infosys and the Sensex to smooth out daily noise.</t>
    </r>
  </si>
  <si>
    <t>RawPrice_Weekly</t>
  </si>
  <si>
    <r>
      <rPr>
        <sz val="11"/>
        <color rgb="FF000000"/>
        <rFont val="Calibri"/>
        <family val="2"/>
        <scheme val="minor"/>
      </rPr>
      <t xml:space="preserve">2.Calculates </t>
    </r>
    <r>
      <rPr>
        <b/>
        <sz val="11"/>
        <color rgb="FF000000"/>
        <rFont val="Calibri"/>
        <family val="2"/>
        <scheme val="minor"/>
      </rPr>
      <t>weekly returns</t>
    </r>
    <r>
      <rPr>
        <sz val="11"/>
        <color rgb="FF000000"/>
        <rFont val="Calibri"/>
        <family val="2"/>
        <scheme val="minor"/>
      </rPr>
      <t>, which are more stable for regression and beta estimation.</t>
    </r>
  </si>
  <si>
    <r>
      <rPr>
        <sz val="11"/>
        <color rgb="FF000000"/>
        <rFont val="Calibri"/>
        <family val="2"/>
        <scheme val="minor"/>
      </rPr>
      <t xml:space="preserve">3.Provides a </t>
    </r>
    <r>
      <rPr>
        <b/>
        <sz val="11"/>
        <color rgb="FF000000"/>
        <rFont val="Calibri"/>
        <family val="2"/>
        <scheme val="minor"/>
      </rPr>
      <t>cleaner dataset</t>
    </r>
    <r>
      <rPr>
        <sz val="11"/>
        <color rgb="FF000000"/>
        <rFont val="Calibri"/>
        <family val="2"/>
        <scheme val="minor"/>
      </rPr>
      <t xml:space="preserve"> for medium-term trend and market sensitivity analysis.</t>
    </r>
  </si>
  <si>
    <r>
      <rPr>
        <sz val="11"/>
        <color rgb="FF000000"/>
        <rFont val="Calibri"/>
        <family val="2"/>
        <scheme val="minor"/>
      </rPr>
      <t xml:space="preserve">1.Contains </t>
    </r>
    <r>
      <rPr>
        <b/>
        <sz val="11"/>
        <color rgb="FF000000"/>
        <rFont val="Calibri"/>
        <family val="2"/>
        <scheme val="minor"/>
      </rPr>
      <t>monthly price data</t>
    </r>
    <r>
      <rPr>
        <sz val="11"/>
        <color rgb="FF000000"/>
        <rFont val="Calibri"/>
        <family val="2"/>
        <scheme val="minor"/>
      </rPr>
      <t xml:space="preserve"> used to study long-term stock behaviour.</t>
    </r>
  </si>
  <si>
    <t>RawPrice_Monthly</t>
  </si>
  <si>
    <r>
      <rPr>
        <sz val="11"/>
        <color rgb="FF000000"/>
        <rFont val="Calibri"/>
        <family val="2"/>
        <scheme val="minor"/>
      </rPr>
      <t xml:space="preserve">2.Monthly returns derived here support </t>
    </r>
    <r>
      <rPr>
        <b/>
        <sz val="11"/>
        <color rgb="FF000000"/>
        <rFont val="Calibri"/>
        <family val="2"/>
        <scheme val="minor"/>
      </rPr>
      <t>CAGR, long-term return, and valuation inputs</t>
    </r>
    <r>
      <rPr>
        <sz val="11"/>
        <color rgb="FF000000"/>
        <rFont val="Calibri"/>
        <family val="2"/>
        <scheme val="minor"/>
      </rPr>
      <t>.</t>
    </r>
  </si>
  <si>
    <r>
      <rPr>
        <sz val="11"/>
        <color rgb="FF000000"/>
        <rFont val="Calibri"/>
        <family val="2"/>
        <scheme val="minor"/>
      </rPr>
      <t xml:space="preserve">3.Used especially for </t>
    </r>
    <r>
      <rPr>
        <b/>
        <sz val="11"/>
        <color rgb="FF000000"/>
        <rFont val="Calibri"/>
        <family val="2"/>
        <scheme val="minor"/>
      </rPr>
      <t>long-horizon beta and trend analysis</t>
    </r>
    <r>
      <rPr>
        <sz val="11"/>
        <color rgb="FF000000"/>
        <rFont val="Calibri"/>
        <family val="2"/>
        <scheme val="minor"/>
      </rPr>
      <t>.</t>
    </r>
  </si>
  <si>
    <r>
      <rPr>
        <sz val="11"/>
        <color rgb="FF000000"/>
        <rFont val="Calibri"/>
        <family val="2"/>
        <scheme val="minor"/>
      </rPr>
      <t xml:space="preserve">1.Uses weekly or monthly returns to run a </t>
    </r>
    <r>
      <rPr>
        <b/>
        <sz val="11"/>
        <color rgb="FF000000"/>
        <rFont val="Calibri"/>
        <family val="2"/>
        <scheme val="minor"/>
      </rPr>
      <t>regression against Sensex returns</t>
    </r>
    <r>
      <rPr>
        <sz val="11"/>
        <color rgb="FF000000"/>
        <rFont val="Calibri"/>
        <family val="2"/>
        <scheme val="minor"/>
      </rPr>
      <t>.</t>
    </r>
  </si>
  <si>
    <t>Beta_Calculations</t>
  </si>
  <si>
    <r>
      <rPr>
        <sz val="11"/>
        <color rgb="FF000000"/>
        <rFont val="Calibri"/>
        <family val="2"/>
        <scheme val="minor"/>
      </rPr>
      <t xml:space="preserve">2.Determines the stock’s </t>
    </r>
    <r>
      <rPr>
        <b/>
        <sz val="11"/>
        <color rgb="FF000000"/>
        <rFont val="Calibri"/>
        <family val="2"/>
        <scheme val="minor"/>
      </rPr>
      <t>beta</t>
    </r>
    <r>
      <rPr>
        <sz val="11"/>
        <color rgb="FF000000"/>
        <rFont val="Calibri"/>
        <family val="2"/>
        <scheme val="minor"/>
      </rPr>
      <t>, R² and other statistical outputs.</t>
    </r>
  </si>
  <si>
    <r>
      <rPr>
        <sz val="11"/>
        <color rgb="FF000000"/>
        <rFont val="Calibri"/>
        <family val="2"/>
        <scheme val="minor"/>
      </rPr>
      <t xml:space="preserve">3.Provides the </t>
    </r>
    <r>
      <rPr>
        <b/>
        <sz val="11"/>
        <color rgb="FF000000"/>
        <rFont val="Calibri"/>
        <family val="2"/>
        <scheme val="minor"/>
      </rPr>
      <t>cost of equity input</t>
    </r>
    <r>
      <rPr>
        <sz val="11"/>
        <color rgb="FF000000"/>
        <rFont val="Calibri"/>
        <family val="2"/>
        <scheme val="minor"/>
      </rPr>
      <t xml:space="preserve"> for WACC and valuation models.</t>
    </r>
  </si>
  <si>
    <t>Income_Statement</t>
  </si>
  <si>
    <t>1.Records historical revenues, expenses, and profits over multiple years.
2.Helps analyse profitability trends and operating performance.
3.Feeds into ratio analysis, forecasting, and valuation.</t>
  </si>
  <si>
    <t>Balance_Sheet</t>
  </si>
  <si>
    <t>1.Contains yearly assets, liabilities, and equity data.
2.Helps evaluate financial structure, liquidity, and solvency.
3.Supports ratio calculations and working capital assessment.</t>
  </si>
  <si>
    <t>Cash_Flow_Statement</t>
  </si>
  <si>
    <t>1.Shows operating, investing, and financing cash flows across years.
2.Helps determine free cash flow, which is key for valuation.
3.Indicates the company’s true cash-generating ability.</t>
  </si>
  <si>
    <t>Ratio_Analysis</t>
  </si>
  <si>
    <t>1.Summarizes key profitability, liquidity, leverage, and efficiency ratios.
2.Helps interpret how the company’s financial performance is changing.
3.Connects raw financials to actionable insights and valuation inputs.</t>
  </si>
  <si>
    <t>WACC</t>
  </si>
  <si>
    <t>1.Calculates the Weighted Average Cost of Capital using cost of equity and cost of debt.
2.Uses beta from earlier sheets to derive cost of equity.
3.Provides the discount rate for DCF and investment analysis.</t>
  </si>
  <si>
    <t>Investment_Analysis</t>
  </si>
  <si>
    <t>1.Contains valuation models like DCF, NPV, IRR and scenario analysis.
2.Converts financial forecasts into an estimated fair value of the company.
3.Helps determine whether Infosys is a good investment opportunity.</t>
  </si>
  <si>
    <t>Dividend_Analysis</t>
  </si>
  <si>
    <t>1.Tracks historical dividend payments and payout ratios.
2.Assesses dividend stability and growth patterns.
3.Supports dividend discount modelling for valuation.</t>
  </si>
  <si>
    <t>Working_Capital</t>
  </si>
  <si>
    <t>1.Analyses receivables, payables, and inventory cycles.
2.Measures changes in short-term liquidity and operational efficiency.
3.Helps compute working-capital adjustments for free cash flow.</t>
  </si>
  <si>
    <t>Charts_Dashboard</t>
  </si>
  <si>
    <t>DataSources_and_Checks</t>
  </si>
  <si>
    <t>1.Lists all data origins, including market data and financial statements.
2.Contains error checks and validation formulas to ensure reliability.
3.Ensures data transparency and that the entire workbook is error-free.</t>
  </si>
  <si>
    <t>10 Year</t>
  </si>
  <si>
    <t>5 Year</t>
  </si>
  <si>
    <t xml:space="preserve">Date </t>
  </si>
  <si>
    <t>Infosys</t>
  </si>
  <si>
    <t>Sensex</t>
  </si>
  <si>
    <t>Infosys Return</t>
  </si>
  <si>
    <t>Sensex Return</t>
  </si>
  <si>
    <t/>
  </si>
  <si>
    <t>Date</t>
  </si>
  <si>
    <t xml:space="preserve">11-27-2015 </t>
  </si>
  <si>
    <t xml:space="preserve">11-27-2020 </t>
  </si>
  <si>
    <t xml:space="preserve">12-18-2015 </t>
  </si>
  <si>
    <t xml:space="preserve">12-18-2020 </t>
  </si>
  <si>
    <t xml:space="preserve">12-24-2015 </t>
  </si>
  <si>
    <t xml:space="preserve">12-24-2020 </t>
  </si>
  <si>
    <t xml:space="preserve">1-15-2016 </t>
  </si>
  <si>
    <t xml:space="preserve">1-15-2021 </t>
  </si>
  <si>
    <t xml:space="preserve">1-22-2016 </t>
  </si>
  <si>
    <t xml:space="preserve">1-22-2021 </t>
  </si>
  <si>
    <t xml:space="preserve">1-29-2016 </t>
  </si>
  <si>
    <t xml:space="preserve">1-29-2021 </t>
  </si>
  <si>
    <t xml:space="preserve">2-19-2016 </t>
  </si>
  <si>
    <t xml:space="preserve">2-26-2016 </t>
  </si>
  <si>
    <t xml:space="preserve">2-19-2021 </t>
  </si>
  <si>
    <t xml:space="preserve">2-26-2021 </t>
  </si>
  <si>
    <t xml:space="preserve">3-18-2016 </t>
  </si>
  <si>
    <t xml:space="preserve">3-23-2016 </t>
  </si>
  <si>
    <t xml:space="preserve">3-19-2021 </t>
  </si>
  <si>
    <t xml:space="preserve">3-26-2021 </t>
  </si>
  <si>
    <t xml:space="preserve">4-13-2016 </t>
  </si>
  <si>
    <t xml:space="preserve">4-22-2016 </t>
  </si>
  <si>
    <t xml:space="preserve">4-16-2021 </t>
  </si>
  <si>
    <t xml:space="preserve">4-29-2016 </t>
  </si>
  <si>
    <t xml:space="preserve">4-23-2021 </t>
  </si>
  <si>
    <t xml:space="preserve">4-30-2021 </t>
  </si>
  <si>
    <t xml:space="preserve">5-13-2016 </t>
  </si>
  <si>
    <t xml:space="preserve">5-20-2016 </t>
  </si>
  <si>
    <t xml:space="preserve">5-14-2021 </t>
  </si>
  <si>
    <t xml:space="preserve">5-27-2016 </t>
  </si>
  <si>
    <t xml:space="preserve">5-21-2021 </t>
  </si>
  <si>
    <t xml:space="preserve">5-28-2021 </t>
  </si>
  <si>
    <t xml:space="preserve">6-17-2016 </t>
  </si>
  <si>
    <t xml:space="preserve">6-24-2016 </t>
  </si>
  <si>
    <t xml:space="preserve">6-18-2021 </t>
  </si>
  <si>
    <t xml:space="preserve">6-25-2021 </t>
  </si>
  <si>
    <t xml:space="preserve">7-15-2016 </t>
  </si>
  <si>
    <t xml:space="preserve">7-22-2016 </t>
  </si>
  <si>
    <t xml:space="preserve">7-16-2021 </t>
  </si>
  <si>
    <t xml:space="preserve">7-29-2016 </t>
  </si>
  <si>
    <t xml:space="preserve">7-23-2021 </t>
  </si>
  <si>
    <t xml:space="preserve">7-30-2021 </t>
  </si>
  <si>
    <t xml:space="preserve">8-19-2016 </t>
  </si>
  <si>
    <t xml:space="preserve">8-13-2021 </t>
  </si>
  <si>
    <t xml:space="preserve">8-26-2016 </t>
  </si>
  <si>
    <t xml:space="preserve">8-20-2021 </t>
  </si>
  <si>
    <t xml:space="preserve">8-27-2021 </t>
  </si>
  <si>
    <t xml:space="preserve">9-16-2016 </t>
  </si>
  <si>
    <t xml:space="preserve">9-23-2016 </t>
  </si>
  <si>
    <t xml:space="preserve">9-17-2021 </t>
  </si>
  <si>
    <t xml:space="preserve">9-30-2016 </t>
  </si>
  <si>
    <t xml:space="preserve">9-24-2021 </t>
  </si>
  <si>
    <t xml:space="preserve">10-14-2016 </t>
  </si>
  <si>
    <t xml:space="preserve">10-21-2016 </t>
  </si>
  <si>
    <t xml:space="preserve">10-14-2021 </t>
  </si>
  <si>
    <t xml:space="preserve">10-28-2016 </t>
  </si>
  <si>
    <t xml:space="preserve">10-22-2021 </t>
  </si>
  <si>
    <t xml:space="preserve">10-29-2021 </t>
  </si>
  <si>
    <t xml:space="preserve">11-18-2016 </t>
  </si>
  <si>
    <t xml:space="preserve">11-25-2016 </t>
  </si>
  <si>
    <t xml:space="preserve">11-18-2021 </t>
  </si>
  <si>
    <t xml:space="preserve">11-26-2021 </t>
  </si>
  <si>
    <t xml:space="preserve">12-16-2016 </t>
  </si>
  <si>
    <t xml:space="preserve">12-23-2016 </t>
  </si>
  <si>
    <t xml:space="preserve">12-17-2021 </t>
  </si>
  <si>
    <t xml:space="preserve">12-30-2016 </t>
  </si>
  <si>
    <t xml:space="preserve">12-24-2021 </t>
  </si>
  <si>
    <t xml:space="preserve">12-31-2021 </t>
  </si>
  <si>
    <t xml:space="preserve">1-13-2017 </t>
  </si>
  <si>
    <t xml:space="preserve">1-20-2017 </t>
  </si>
  <si>
    <t xml:space="preserve">1-14-2022 </t>
  </si>
  <si>
    <t xml:space="preserve">1-27-2017 </t>
  </si>
  <si>
    <t xml:space="preserve">1-21-2022 </t>
  </si>
  <si>
    <t xml:space="preserve">1-28-2022 </t>
  </si>
  <si>
    <t xml:space="preserve">2-17-2017 </t>
  </si>
  <si>
    <t xml:space="preserve">2-23-2017 </t>
  </si>
  <si>
    <t xml:space="preserve">2-18-2022 </t>
  </si>
  <si>
    <t xml:space="preserve">2-25-2022 </t>
  </si>
  <si>
    <t xml:space="preserve">3-17-2017 </t>
  </si>
  <si>
    <t xml:space="preserve">3-24-2017 </t>
  </si>
  <si>
    <t xml:space="preserve">3-17-2022 </t>
  </si>
  <si>
    <t xml:space="preserve">3-31-2017 </t>
  </si>
  <si>
    <t xml:space="preserve">3-25-2022 </t>
  </si>
  <si>
    <t xml:space="preserve">4-13-2017 </t>
  </si>
  <si>
    <t xml:space="preserve">4-21-2017 </t>
  </si>
  <si>
    <t xml:space="preserve">4-13-2022 </t>
  </si>
  <si>
    <t xml:space="preserve">4-28-2017 </t>
  </si>
  <si>
    <t xml:space="preserve">4-22-2022 </t>
  </si>
  <si>
    <t xml:space="preserve">4-29-2022 </t>
  </si>
  <si>
    <t xml:space="preserve">5-19-2017 </t>
  </si>
  <si>
    <t xml:space="preserve">5-13-2022 </t>
  </si>
  <si>
    <t xml:space="preserve">5-26-2017 </t>
  </si>
  <si>
    <t xml:space="preserve">5-20-2022 </t>
  </si>
  <si>
    <t xml:space="preserve">5-27-2022 </t>
  </si>
  <si>
    <t xml:space="preserve">6-16-2017 </t>
  </si>
  <si>
    <t xml:space="preserve">6-23-2017 </t>
  </si>
  <si>
    <t xml:space="preserve">6-17-2022 </t>
  </si>
  <si>
    <t xml:space="preserve">6-30-2017 </t>
  </si>
  <si>
    <t xml:space="preserve">6-24-2022 </t>
  </si>
  <si>
    <t xml:space="preserve">7-14-2017 </t>
  </si>
  <si>
    <t xml:space="preserve">7-21-2017 </t>
  </si>
  <si>
    <t xml:space="preserve">7-15-2022 </t>
  </si>
  <si>
    <t xml:space="preserve">7-28-2017 </t>
  </si>
  <si>
    <t xml:space="preserve">7-22-2022 </t>
  </si>
  <si>
    <t xml:space="preserve">7-29-2022 </t>
  </si>
  <si>
    <t xml:space="preserve">8-18-2017 </t>
  </si>
  <si>
    <t xml:space="preserve">8-24-2017 </t>
  </si>
  <si>
    <t xml:space="preserve">8-19-2022 </t>
  </si>
  <si>
    <t xml:space="preserve">8-26-2022 </t>
  </si>
  <si>
    <t xml:space="preserve">9-15-2017 </t>
  </si>
  <si>
    <t xml:space="preserve">9-22-2017 </t>
  </si>
  <si>
    <t xml:space="preserve">9-16-2022 </t>
  </si>
  <si>
    <t xml:space="preserve">9-29-2017 </t>
  </si>
  <si>
    <t xml:space="preserve">9-23-2022 </t>
  </si>
  <si>
    <t xml:space="preserve">9-30-2022 </t>
  </si>
  <si>
    <t xml:space="preserve">10-13-2017 </t>
  </si>
  <si>
    <t xml:space="preserve">10-19-2017 </t>
  </si>
  <si>
    <t xml:space="preserve">10-14-2022 </t>
  </si>
  <si>
    <t xml:space="preserve">10-27-2017 </t>
  </si>
  <si>
    <t xml:space="preserve">10-21-2022 </t>
  </si>
  <si>
    <t xml:space="preserve">10-28-2022 </t>
  </si>
  <si>
    <t xml:space="preserve">11-17-2017 </t>
  </si>
  <si>
    <t xml:space="preserve">11-24-2017 </t>
  </si>
  <si>
    <t xml:space="preserve">11-18-2022 </t>
  </si>
  <si>
    <t xml:space="preserve">11-25-2022 </t>
  </si>
  <si>
    <t xml:space="preserve">12-15-2017 </t>
  </si>
  <si>
    <t xml:space="preserve">12-22-2017 </t>
  </si>
  <si>
    <t xml:space="preserve">12-16-2022 </t>
  </si>
  <si>
    <t xml:space="preserve">12-29-2017 </t>
  </si>
  <si>
    <t xml:space="preserve">12-23-2022 </t>
  </si>
  <si>
    <t xml:space="preserve">12-30-2022 </t>
  </si>
  <si>
    <t xml:space="preserve">1-19-2018 </t>
  </si>
  <si>
    <t xml:space="preserve">1-13-2023 </t>
  </si>
  <si>
    <t xml:space="preserve">1-25-2018 </t>
  </si>
  <si>
    <t xml:space="preserve">1-20-2023 </t>
  </si>
  <si>
    <t xml:space="preserve">1-27-2023 </t>
  </si>
  <si>
    <t xml:space="preserve">2-16-2018 </t>
  </si>
  <si>
    <t xml:space="preserve">2-23-2018 </t>
  </si>
  <si>
    <t xml:space="preserve">2-17-2023 </t>
  </si>
  <si>
    <t xml:space="preserve">2-24-2023 </t>
  </si>
  <si>
    <t xml:space="preserve">3-16-2018 </t>
  </si>
  <si>
    <t xml:space="preserve">3-23-2018 </t>
  </si>
  <si>
    <t xml:space="preserve">3-17-2023 </t>
  </si>
  <si>
    <t xml:space="preserve">3-28-2018 </t>
  </si>
  <si>
    <t xml:space="preserve">3-24-2023 </t>
  </si>
  <si>
    <t xml:space="preserve">3-31-2023 </t>
  </si>
  <si>
    <t xml:space="preserve">4-13-2018 </t>
  </si>
  <si>
    <t xml:space="preserve">4-20-2018 </t>
  </si>
  <si>
    <t xml:space="preserve">4-13-2023 </t>
  </si>
  <si>
    <t xml:space="preserve">4-27-2018 </t>
  </si>
  <si>
    <t xml:space="preserve">4-21-2023 </t>
  </si>
  <si>
    <t xml:space="preserve">4-28-2023 </t>
  </si>
  <si>
    <t xml:space="preserve">5-18-2018 </t>
  </si>
  <si>
    <t xml:space="preserve">5-25-2018 </t>
  </si>
  <si>
    <t xml:space="preserve">5-19-2023 </t>
  </si>
  <si>
    <t xml:space="preserve">5-26-2023 </t>
  </si>
  <si>
    <t xml:space="preserve">6-15-2018 </t>
  </si>
  <si>
    <t xml:space="preserve">6-22-2018 </t>
  </si>
  <si>
    <t xml:space="preserve">6-16-2023 </t>
  </si>
  <si>
    <t xml:space="preserve">6-29-2018 </t>
  </si>
  <si>
    <t xml:space="preserve">6-23-2023 </t>
  </si>
  <si>
    <t xml:space="preserve">6-30-2023 </t>
  </si>
  <si>
    <t xml:space="preserve">7-13-2018 </t>
  </si>
  <si>
    <t xml:space="preserve">7-20-2018 </t>
  </si>
  <si>
    <t xml:space="preserve">7-14-2023 </t>
  </si>
  <si>
    <t xml:space="preserve">7-27-2018 </t>
  </si>
  <si>
    <t xml:space="preserve">7-21-2023 </t>
  </si>
  <si>
    <t xml:space="preserve">7-28-2023 </t>
  </si>
  <si>
    <t xml:space="preserve">8-17-2018 </t>
  </si>
  <si>
    <t xml:space="preserve">8-24-2018 </t>
  </si>
  <si>
    <t xml:space="preserve">8-18-2023 </t>
  </si>
  <si>
    <t xml:space="preserve">8-31-2018 </t>
  </si>
  <si>
    <t xml:space="preserve">8-25-2023 </t>
  </si>
  <si>
    <t xml:space="preserve">9-14-2018 </t>
  </si>
  <si>
    <t xml:space="preserve">9-21-2018 </t>
  </si>
  <si>
    <t xml:space="preserve">9-15-2023 </t>
  </si>
  <si>
    <t xml:space="preserve">9-28-2018 </t>
  </si>
  <si>
    <t xml:space="preserve">9-22-2023 </t>
  </si>
  <si>
    <t xml:space="preserve">9-29-2023 </t>
  </si>
  <si>
    <t xml:space="preserve">10-19-2018 </t>
  </si>
  <si>
    <t xml:space="preserve">10-13-2023 </t>
  </si>
  <si>
    <t xml:space="preserve">10-26-2018 </t>
  </si>
  <si>
    <t xml:space="preserve">10-20-2023 </t>
  </si>
  <si>
    <t xml:space="preserve">10-27-2023 </t>
  </si>
  <si>
    <t xml:space="preserve">11-16-2018 </t>
  </si>
  <si>
    <t xml:space="preserve">11-22-2018 </t>
  </si>
  <si>
    <t xml:space="preserve">11-17-2023 </t>
  </si>
  <si>
    <t xml:space="preserve">11-30-2018 </t>
  </si>
  <si>
    <t xml:space="preserve">11-24-2023 </t>
  </si>
  <si>
    <t xml:space="preserve">12-14-2018 </t>
  </si>
  <si>
    <t xml:space="preserve">12-21-2018 </t>
  </si>
  <si>
    <t xml:space="preserve">12-15-2023 </t>
  </si>
  <si>
    <t xml:space="preserve">12-28-2018 </t>
  </si>
  <si>
    <t xml:space="preserve">12-22-2023 </t>
  </si>
  <si>
    <t xml:space="preserve">12-29-2023 </t>
  </si>
  <si>
    <t xml:space="preserve">1-18-2019 </t>
  </si>
  <si>
    <t xml:space="preserve">1-25-2019 </t>
  </si>
  <si>
    <t xml:space="preserve">1-25-2024 </t>
  </si>
  <si>
    <t xml:space="preserve">2-15-2019 </t>
  </si>
  <si>
    <t xml:space="preserve">2-16-2024 </t>
  </si>
  <si>
    <t xml:space="preserve">2-22-2019 </t>
  </si>
  <si>
    <t xml:space="preserve">2-23-2024 </t>
  </si>
  <si>
    <t xml:space="preserve">3-15-2024 </t>
  </si>
  <si>
    <t xml:space="preserve">3-15-2019 </t>
  </si>
  <si>
    <t xml:space="preserve">3-22-2024 </t>
  </si>
  <si>
    <t xml:space="preserve">3-22-2019 </t>
  </si>
  <si>
    <t xml:space="preserve">3-28-2024 </t>
  </si>
  <si>
    <t xml:space="preserve">3-29-2019 </t>
  </si>
  <si>
    <t xml:space="preserve">4-19-2024 </t>
  </si>
  <si>
    <t xml:space="preserve">4-18-2019 </t>
  </si>
  <si>
    <t xml:space="preserve">4-26-2024 </t>
  </si>
  <si>
    <t xml:space="preserve">4-26-2019 </t>
  </si>
  <si>
    <t xml:space="preserve">5-24-2024 </t>
  </si>
  <si>
    <t xml:space="preserve">5-17-2019 </t>
  </si>
  <si>
    <t xml:space="preserve">5-31-2024 </t>
  </si>
  <si>
    <t xml:space="preserve">5-24-2019 </t>
  </si>
  <si>
    <t xml:space="preserve">5-31-2019 </t>
  </si>
  <si>
    <t xml:space="preserve">6-14-2024 </t>
  </si>
  <si>
    <t xml:space="preserve">6-21-2024 </t>
  </si>
  <si>
    <t xml:space="preserve">6-14-2019 </t>
  </si>
  <si>
    <t xml:space="preserve">6-28-2024 </t>
  </si>
  <si>
    <t xml:space="preserve">6-21-2019 </t>
  </si>
  <si>
    <t xml:space="preserve">6-28-2019 </t>
  </si>
  <si>
    <t xml:space="preserve">7-19-2024 </t>
  </si>
  <si>
    <t xml:space="preserve">7-26-2024 </t>
  </si>
  <si>
    <t xml:space="preserve">7-19-2019 </t>
  </si>
  <si>
    <t xml:space="preserve">7-26-2019 </t>
  </si>
  <si>
    <t xml:space="preserve">8-16-2024 </t>
  </si>
  <si>
    <t xml:space="preserve">8-23-2024 </t>
  </si>
  <si>
    <t xml:space="preserve">8-16-2019 </t>
  </si>
  <si>
    <t xml:space="preserve">8-30-2024 </t>
  </si>
  <si>
    <t xml:space="preserve">8-23-2019 </t>
  </si>
  <si>
    <t xml:space="preserve">8-30-2019 </t>
  </si>
  <si>
    <t xml:space="preserve">9-13-2024 </t>
  </si>
  <si>
    <t xml:space="preserve">9-20-2024 </t>
  </si>
  <si>
    <t xml:space="preserve">9-13-2019 </t>
  </si>
  <si>
    <t xml:space="preserve">9-27-2024 </t>
  </si>
  <si>
    <t xml:space="preserve">9-20-2019 </t>
  </si>
  <si>
    <t xml:space="preserve">9-27-2019 </t>
  </si>
  <si>
    <t xml:space="preserve">10-18-2024 </t>
  </si>
  <si>
    <t xml:space="preserve">10-25-2024 </t>
  </si>
  <si>
    <t xml:space="preserve">10-18-2019 </t>
  </si>
  <si>
    <t xml:space="preserve">10-25-2019 </t>
  </si>
  <si>
    <t xml:space="preserve">11-14-2024 </t>
  </si>
  <si>
    <t xml:space="preserve">11-22-2024 </t>
  </si>
  <si>
    <t xml:space="preserve">11-29-2024 </t>
  </si>
  <si>
    <t xml:space="preserve">11-15-2019 </t>
  </si>
  <si>
    <t xml:space="preserve">11-22-2019 </t>
  </si>
  <si>
    <t xml:space="preserve">12-13-2024 </t>
  </si>
  <si>
    <t xml:space="preserve">11-29-2019 </t>
  </si>
  <si>
    <t xml:space="preserve">12-20-2024 </t>
  </si>
  <si>
    <t xml:space="preserve">12-27-2024 </t>
  </si>
  <si>
    <t xml:space="preserve">12-13-2019 </t>
  </si>
  <si>
    <t xml:space="preserve">12-20-2019 </t>
  </si>
  <si>
    <t xml:space="preserve">12-27-2019 </t>
  </si>
  <si>
    <t xml:space="preserve">1-17-2025 </t>
  </si>
  <si>
    <t xml:space="preserve">1-24-2025 </t>
  </si>
  <si>
    <t xml:space="preserve">1-17-2020 </t>
  </si>
  <si>
    <t xml:space="preserve">2-14-2025 </t>
  </si>
  <si>
    <t xml:space="preserve">1-24-2020 </t>
  </si>
  <si>
    <t xml:space="preserve">2-21-2025 </t>
  </si>
  <si>
    <t xml:space="preserve">2-28-2025 </t>
  </si>
  <si>
    <t xml:space="preserve">2-14-2020 </t>
  </si>
  <si>
    <t xml:space="preserve">3-13-2025 </t>
  </si>
  <si>
    <t xml:space="preserve">2-20-2020 </t>
  </si>
  <si>
    <t xml:space="preserve">3-21-2025 </t>
  </si>
  <si>
    <t xml:space="preserve">2-28-2020 </t>
  </si>
  <si>
    <t xml:space="preserve">3-28-2025 </t>
  </si>
  <si>
    <t xml:space="preserve">3-13-2020 </t>
  </si>
  <si>
    <t xml:space="preserve">3-20-2020 </t>
  </si>
  <si>
    <t xml:space="preserve">4-17-2025 </t>
  </si>
  <si>
    <t xml:space="preserve">3-27-2020 </t>
  </si>
  <si>
    <t xml:space="preserve">4-25-2025 </t>
  </si>
  <si>
    <t xml:space="preserve">4-17-2020 </t>
  </si>
  <si>
    <t xml:space="preserve">5-16-2025 </t>
  </si>
  <si>
    <t xml:space="preserve">4-24-2020 </t>
  </si>
  <si>
    <t xml:space="preserve">5-23-2025 </t>
  </si>
  <si>
    <t xml:space="preserve">4-30-2020 </t>
  </si>
  <si>
    <t xml:space="preserve">5-30-2025 </t>
  </si>
  <si>
    <t xml:space="preserve">5-15-2020 </t>
  </si>
  <si>
    <t xml:space="preserve">6-13-2025 </t>
  </si>
  <si>
    <t xml:space="preserve">5-22-2020 </t>
  </si>
  <si>
    <t xml:space="preserve">6-20-2025 </t>
  </si>
  <si>
    <t xml:space="preserve">5-29-2020 </t>
  </si>
  <si>
    <t xml:space="preserve">6-27-2025 </t>
  </si>
  <si>
    <t xml:space="preserve">6-19-2020 </t>
  </si>
  <si>
    <t xml:space="preserve">7-18-2025 </t>
  </si>
  <si>
    <t xml:space="preserve">6-26-2020 </t>
  </si>
  <si>
    <t xml:space="preserve">7-25-2025 </t>
  </si>
  <si>
    <t xml:space="preserve">7-17-2020 </t>
  </si>
  <si>
    <t xml:space="preserve">8-14-2025 </t>
  </si>
  <si>
    <t xml:space="preserve">7-24-2020 </t>
  </si>
  <si>
    <t xml:space="preserve">8-22-2025 </t>
  </si>
  <si>
    <t xml:space="preserve">7-31-2020 </t>
  </si>
  <si>
    <t xml:space="preserve">8-29-2025 </t>
  </si>
  <si>
    <t xml:space="preserve">8-14-2020 </t>
  </si>
  <si>
    <t xml:space="preserve">8-21-2020 </t>
  </si>
  <si>
    <t xml:space="preserve">9-19-2025 </t>
  </si>
  <si>
    <t xml:space="preserve">8-28-2020 </t>
  </si>
  <si>
    <t xml:space="preserve">9-26-2025 </t>
  </si>
  <si>
    <t xml:space="preserve">9-18-2020 </t>
  </si>
  <si>
    <t xml:space="preserve">10-17-2025 </t>
  </si>
  <si>
    <t xml:space="preserve">9-25-2020 </t>
  </si>
  <si>
    <t xml:space="preserve">10-24-2025 </t>
  </si>
  <si>
    <t xml:space="preserve">10-31-2025 </t>
  </si>
  <si>
    <t xml:space="preserve">10-16-2020 </t>
  </si>
  <si>
    <t xml:space="preserve">11-14-2025 </t>
  </si>
  <si>
    <t xml:space="preserve">10-23-2020 </t>
  </si>
  <si>
    <t xml:space="preserve">11-21-2025 </t>
  </si>
  <si>
    <t xml:space="preserve">10-30-2020 </t>
  </si>
  <si>
    <t xml:space="preserve">11-20-2020 </t>
  </si>
  <si>
    <t>Standard Geometric CAGR Method</t>
  </si>
  <si>
    <t>Risk Free Rate</t>
  </si>
  <si>
    <t>Market Risk Premium (MRP)</t>
  </si>
  <si>
    <t>1+r</t>
  </si>
  <si>
    <t>Cummulative Market Return</t>
  </si>
  <si>
    <t>N=60 so N/12</t>
  </si>
  <si>
    <t>Market Growth Rate</t>
  </si>
  <si>
    <t>Final Market Risk Premium</t>
  </si>
  <si>
    <t>Usually this method is used for 20-30 years of data but since we have only 5 years data, we get a negative MRP.</t>
  </si>
  <si>
    <t>So, we proceeded with the CAGR method to estimate Return of Market</t>
  </si>
  <si>
    <t>Beta Calculation</t>
  </si>
  <si>
    <t>Period</t>
  </si>
  <si>
    <t>Daily</t>
  </si>
  <si>
    <t>Weekly</t>
  </si>
  <si>
    <t>Monthly</t>
  </si>
  <si>
    <t>We use the 5-year monthly beta because it provides the most stable and reliable estimate of Infosys’ systematic risk. Monthly data smooths out daily market noise and reduces volatility distortions, while a 5-year horizon captures a full market cycle without including excessively old or structurally irrelevant information. This makes the 5-year monthly beta more appropriate for WACC estimation and long-term valuation.</t>
  </si>
  <si>
    <t>5 Years</t>
  </si>
  <si>
    <t>10 Years</t>
  </si>
  <si>
    <t>Stastistics</t>
  </si>
  <si>
    <t xml:space="preserve"> </t>
  </si>
  <si>
    <t>Average</t>
  </si>
  <si>
    <t xml:space="preserve">5 Years </t>
  </si>
  <si>
    <t>Standard Deviation</t>
  </si>
  <si>
    <t>A (Period)</t>
  </si>
  <si>
    <t>B (Beta)</t>
  </si>
  <si>
    <t>5 years - Daily</t>
  </si>
  <si>
    <t>10 years - Daily</t>
  </si>
  <si>
    <t>5 years - Weekly</t>
  </si>
  <si>
    <t>10 years - Weekly</t>
  </si>
  <si>
    <t>5 years - Monhtly</t>
  </si>
  <si>
    <t>10 years - Monthly</t>
  </si>
  <si>
    <t xml:space="preserve">10 Years </t>
  </si>
  <si>
    <t>“The regression line β = 0.0643x + 0.2259 shows a slight upward slope, indicating that Infosys’ beta has increased marginally across the different estimation windows (daily/weekly/monthly, 5-year and 10-year). However, the R² value is only 0.0565, which means the trend is extremely weak and the variation in beta is largely driven by estimation noise rather than a true structural change in risk. Therefore, beta appears to be stable, and using the most recent computed beta (0.90217) for CAPM and WACC is appropriate.”</t>
  </si>
  <si>
    <t>Income Statement of Infosys</t>
  </si>
  <si>
    <t>Year</t>
  </si>
  <si>
    <t>Revenue</t>
  </si>
  <si>
    <t>Cost of Goods Sold</t>
  </si>
  <si>
    <t>Gross Profit</t>
  </si>
  <si>
    <t>Operating Expenses</t>
  </si>
  <si>
    <t>EBIT</t>
  </si>
  <si>
    <t>Interest Expense</t>
  </si>
  <si>
    <t>PBT</t>
  </si>
  <si>
    <t>Tax Expense</t>
  </si>
  <si>
    <t>Net Income</t>
  </si>
  <si>
    <t>Tax Rate</t>
  </si>
  <si>
    <t>(In Crores)</t>
  </si>
  <si>
    <t>Balace Sheet of Infosys</t>
  </si>
  <si>
    <t>Total Assets</t>
  </si>
  <si>
    <t>Current Assets</t>
  </si>
  <si>
    <t>Non-Current Assets</t>
  </si>
  <si>
    <t>Total Liabilities</t>
  </si>
  <si>
    <t>Current Liabilities</t>
  </si>
  <si>
    <t>Non-Current Liabilities</t>
  </si>
  <si>
    <t>Equity</t>
  </si>
  <si>
    <t>Cash</t>
  </si>
  <si>
    <t>Debt</t>
  </si>
  <si>
    <t>Accounts receivables</t>
  </si>
  <si>
    <t>Cash Flow Statement of Infosys</t>
  </si>
  <si>
    <t>Depreciation</t>
  </si>
  <si>
    <t>Change in WC</t>
  </si>
  <si>
    <t>CFO</t>
  </si>
  <si>
    <t>CapEx</t>
  </si>
  <si>
    <t>CFI</t>
  </si>
  <si>
    <t>Dividends</t>
  </si>
  <si>
    <t>CFF</t>
  </si>
  <si>
    <t>Net Cash Flow</t>
  </si>
  <si>
    <t>Financial Ratio Analysis of INFOSYS</t>
  </si>
  <si>
    <t>Profitability Ratios</t>
  </si>
  <si>
    <t> </t>
  </si>
  <si>
    <t>Return on Capital</t>
  </si>
  <si>
    <t>Return on Equity</t>
  </si>
  <si>
    <t>EBIT Margin</t>
  </si>
  <si>
    <t>Return on Asset</t>
  </si>
  <si>
    <t>Liquidity Ratios</t>
  </si>
  <si>
    <t>Current Ratio</t>
  </si>
  <si>
    <t>Quick Ratio</t>
  </si>
  <si>
    <t>Leverage Ratios</t>
  </si>
  <si>
    <t>Assets/Equity(Equity Multiplier)</t>
  </si>
  <si>
    <t>Debt/Total Capital</t>
  </si>
  <si>
    <t>Interest Coverage</t>
  </si>
  <si>
    <t>Debt/Equity</t>
  </si>
  <si>
    <t>Activity Ratios</t>
  </si>
  <si>
    <t>Sales/Assets(Asset Turnover)</t>
  </si>
  <si>
    <t>Average Daily Sales</t>
  </si>
  <si>
    <t>Days Receivables</t>
  </si>
  <si>
    <t>YoY Growth</t>
  </si>
  <si>
    <t>Revenue Growth</t>
  </si>
  <si>
    <r>
      <t>(1)</t>
    </r>
    <r>
      <rPr>
        <sz val="11"/>
        <color theme="1"/>
        <rFont val="Calibri"/>
        <family val="2"/>
        <scheme val="minor"/>
      </rPr>
      <t xml:space="preserve"> </t>
    </r>
    <r>
      <rPr>
        <i/>
        <sz val="11"/>
        <color theme="1"/>
        <rFont val="Calibri"/>
        <family val="2"/>
        <scheme val="minor"/>
      </rPr>
      <t xml:space="preserve">Debt-related ratios are reported as zero because Infosys carries </t>
    </r>
    <r>
      <rPr>
        <b/>
        <i/>
        <sz val="11"/>
        <color theme="1"/>
        <rFont val="Calibri"/>
        <family val="2"/>
        <scheme val="minor"/>
      </rPr>
      <t>no interest-bearing debt</t>
    </r>
    <r>
      <rPr>
        <i/>
        <sz val="11"/>
        <color theme="1"/>
        <rFont val="Calibri"/>
        <family val="2"/>
        <scheme val="minor"/>
      </rPr>
      <t xml:space="preserve"> during the financial years presented. Consequently, Debt/Total Capital, Debt/Equity, and Interest Coverage all equal zero.</t>
    </r>
  </si>
  <si>
    <r>
      <t>(2)</t>
    </r>
    <r>
      <rPr>
        <sz val="11"/>
        <color theme="1"/>
        <rFont val="Calibri"/>
        <family val="2"/>
        <scheme val="minor"/>
      </rPr>
      <t xml:space="preserve"> </t>
    </r>
    <r>
      <rPr>
        <i/>
        <sz val="11"/>
        <color theme="1"/>
        <rFont val="Calibri"/>
        <family val="2"/>
        <scheme val="minor"/>
      </rPr>
      <t xml:space="preserve">Infosys operates with </t>
    </r>
    <r>
      <rPr>
        <b/>
        <i/>
        <sz val="11"/>
        <color theme="1"/>
        <rFont val="Calibri"/>
        <family val="2"/>
        <scheme val="minor"/>
      </rPr>
      <t>no inventory</t>
    </r>
    <r>
      <rPr>
        <i/>
        <sz val="11"/>
        <color theme="1"/>
        <rFont val="Calibri"/>
        <family val="2"/>
        <scheme val="minor"/>
      </rPr>
      <t>, consistent with IT services business models. Therefore the Quick Ratio equals the Current Ratio, as inventory is not a component of current assets.</t>
    </r>
  </si>
  <si>
    <r>
      <t>(3)</t>
    </r>
    <r>
      <rPr>
        <sz val="11"/>
        <color theme="1"/>
        <rFont val="Calibri"/>
        <family val="2"/>
        <scheme val="minor"/>
      </rPr>
      <t xml:space="preserve"> </t>
    </r>
    <r>
      <rPr>
        <i/>
        <sz val="11"/>
        <color theme="1"/>
        <rFont val="Calibri"/>
        <family val="2"/>
        <scheme val="minor"/>
      </rPr>
      <t xml:space="preserve">Reported YoY Growth values correspond directly to annual </t>
    </r>
    <r>
      <rPr>
        <b/>
        <i/>
        <sz val="11"/>
        <color theme="1"/>
        <rFont val="Calibri"/>
        <family val="2"/>
        <scheme val="minor"/>
      </rPr>
      <t>Revenue Growth</t>
    </r>
    <r>
      <rPr>
        <i/>
        <sz val="11"/>
        <color theme="1"/>
        <rFont val="Calibri"/>
        <family val="2"/>
        <scheme val="minor"/>
      </rPr>
      <t xml:space="preserve"> calculations for each fiscal year.</t>
    </r>
  </si>
  <si>
    <t>WACC of Infosys</t>
  </si>
  <si>
    <t>Risk-free rate (Rf)</t>
  </si>
  <si>
    <t xml:space="preserve">Beta </t>
  </si>
  <si>
    <r>
      <t xml:space="preserve">Cost of Equity: </t>
    </r>
    <r>
      <rPr>
        <b/>
        <sz val="10"/>
        <color theme="1"/>
        <rFont val="Arial Unicode MS"/>
      </rPr>
      <t>Ke = Rf + Beta * MRP</t>
    </r>
  </si>
  <si>
    <t>Cost of Debt (Kd)</t>
  </si>
  <si>
    <t>-</t>
  </si>
  <si>
    <t xml:space="preserve">Market value of Equity (E) </t>
  </si>
  <si>
    <t>Market value of Debt (D)</t>
  </si>
  <si>
    <t>V = E + D</t>
  </si>
  <si>
    <t xml:space="preserve">WACC </t>
  </si>
  <si>
    <r>
      <t>(1)</t>
    </r>
    <r>
      <rPr>
        <sz val="11"/>
        <color theme="1"/>
        <rFont val="Calibri"/>
        <family val="2"/>
        <scheme val="minor"/>
      </rPr>
      <t xml:space="preserve"> </t>
    </r>
    <r>
      <rPr>
        <i/>
        <sz val="11"/>
        <color theme="1"/>
        <rFont val="Calibri"/>
        <family val="2"/>
        <scheme val="minor"/>
      </rPr>
      <t xml:space="preserve">Infosys has </t>
    </r>
    <r>
      <rPr>
        <b/>
        <i/>
        <sz val="11"/>
        <color theme="1"/>
        <rFont val="Calibri"/>
        <family val="2"/>
        <scheme val="minor"/>
      </rPr>
      <t>no interest-bearing debt</t>
    </r>
    <r>
      <rPr>
        <i/>
        <sz val="11"/>
        <color theme="1"/>
        <rFont val="Calibri"/>
        <family val="2"/>
        <scheme val="minor"/>
      </rPr>
      <t xml:space="preserve"> outstanding during the period considered. As a result, the Cost of Debt (Kd), Market Value of Debt (D), and the debt component in the WACC formula are treated as zero.</t>
    </r>
  </si>
  <si>
    <r>
      <t>(2)</t>
    </r>
    <r>
      <rPr>
        <sz val="11"/>
        <color theme="1"/>
        <rFont val="Calibri"/>
        <family val="2"/>
        <scheme val="minor"/>
      </rPr>
      <t xml:space="preserve"> </t>
    </r>
    <r>
      <rPr>
        <i/>
        <sz val="11"/>
        <color theme="1"/>
        <rFont val="Calibri"/>
        <family val="2"/>
        <scheme val="minor"/>
      </rPr>
      <t>Because the capital structure consists entirely of equity (D = 0), the total firm value (V) equals the Market Value of Equity (E). Thus, the WACC is equivalent to the Cost of Equity.</t>
    </r>
  </si>
  <si>
    <r>
      <t>(3)</t>
    </r>
    <r>
      <rPr>
        <sz val="11"/>
        <color theme="1"/>
        <rFont val="Calibri"/>
        <family val="2"/>
        <scheme val="minor"/>
      </rPr>
      <t xml:space="preserve"> </t>
    </r>
    <r>
      <rPr>
        <i/>
        <sz val="11"/>
        <color theme="1"/>
        <rFont val="Calibri"/>
        <family val="2"/>
        <scheme val="minor"/>
      </rPr>
      <t>The Cost of Equity (Ke) is calculated using the Capital Asset Pricing Model (CAPM):</t>
    </r>
  </si>
  <si>
    <r>
      <t>  </t>
    </r>
    <r>
      <rPr>
        <b/>
        <sz val="11"/>
        <color theme="1"/>
        <rFont val="Calibri"/>
        <family val="2"/>
        <scheme val="minor"/>
      </rPr>
      <t>Ke = Rf + β × MRP</t>
    </r>
    <r>
      <rPr>
        <sz val="11"/>
        <color theme="1"/>
        <rFont val="Calibri"/>
        <family val="2"/>
        <scheme val="minor"/>
      </rPr>
      <t>,</t>
    </r>
  </si>
  <si>
    <t> where Rf is the risk-free rate, β is Infosys’ equity beta, and MRP is the Market Risk Premium.</t>
  </si>
  <si>
    <r>
      <t>(4)</t>
    </r>
    <r>
      <rPr>
        <sz val="11"/>
        <color theme="1"/>
        <rFont val="Calibri"/>
        <family val="2"/>
        <scheme val="minor"/>
      </rPr>
      <t xml:space="preserve"> </t>
    </r>
    <r>
      <rPr>
        <i/>
        <sz val="11"/>
        <color theme="1"/>
        <rFont val="Calibri"/>
        <family val="2"/>
        <scheme val="minor"/>
      </rPr>
      <t>Tax rate is provided but has no effect on WACC in this case because there is no debt component requiring a tax-adjusted cost.</t>
    </r>
  </si>
  <si>
    <r>
      <t>(5)</t>
    </r>
    <r>
      <rPr>
        <sz val="11"/>
        <color theme="1"/>
        <rFont val="Calibri"/>
        <family val="2"/>
        <scheme val="minor"/>
      </rPr>
      <t xml:space="preserve"> </t>
    </r>
    <r>
      <rPr>
        <i/>
        <sz val="11"/>
        <color theme="1"/>
        <rFont val="Calibri"/>
        <family val="2"/>
        <scheme val="minor"/>
      </rPr>
      <t>Market Value of Equity is based on the company’s market capitalization at the measurement date.</t>
    </r>
  </si>
  <si>
    <t>Cash Flow Analysis of Infosys</t>
  </si>
  <si>
    <t>Depriciation</t>
  </si>
  <si>
    <t>Changes in WC</t>
  </si>
  <si>
    <t>Cap Ex</t>
  </si>
  <si>
    <t>WC as % of Revenue</t>
  </si>
  <si>
    <t>Growth rates</t>
  </si>
  <si>
    <t>Base FCF growth rate(CAGR)</t>
  </si>
  <si>
    <t>wacc</t>
  </si>
  <si>
    <t>NOPAT</t>
  </si>
  <si>
    <t>FCFF</t>
  </si>
  <si>
    <t xml:space="preserve">Historical data </t>
  </si>
  <si>
    <t>Operating CF</t>
  </si>
  <si>
    <t>Investing CF</t>
  </si>
  <si>
    <t>Financing CF</t>
  </si>
  <si>
    <t>Free Cash Flow</t>
  </si>
  <si>
    <t xml:space="preserve">Projection </t>
  </si>
  <si>
    <t>Projected Operating CF</t>
  </si>
  <si>
    <t>Projected Investing CF</t>
  </si>
  <si>
    <t>Projected Financing CF</t>
  </si>
  <si>
    <t>Projected Free Cash Flow</t>
  </si>
  <si>
    <t>Discount Factor</t>
  </si>
  <si>
    <t>PV of Cash Flow</t>
  </si>
  <si>
    <r>
      <t>(1)</t>
    </r>
    <r>
      <rPr>
        <sz val="11"/>
        <color theme="1"/>
        <rFont val="Calibri"/>
        <family val="2"/>
        <scheme val="minor"/>
      </rPr>
      <t xml:space="preserve"> </t>
    </r>
    <r>
      <rPr>
        <i/>
        <sz val="11"/>
        <color theme="1"/>
        <rFont val="Calibri"/>
        <family val="2"/>
        <scheme val="minor"/>
      </rPr>
      <t>Depreciation, Working Capital changes, Capital Expenditure, and Revenue figures are based on historical financial statements of Infosys for FY 2021–2025.</t>
    </r>
  </si>
  <si>
    <r>
      <t>(2)</t>
    </r>
    <r>
      <rPr>
        <sz val="11"/>
        <color theme="1"/>
        <rFont val="Calibri"/>
        <family val="2"/>
        <scheme val="minor"/>
      </rPr>
      <t xml:space="preserve"> </t>
    </r>
    <r>
      <rPr>
        <i/>
        <sz val="11"/>
        <color theme="1"/>
        <rFont val="Calibri"/>
        <family val="2"/>
        <scheme val="minor"/>
      </rPr>
      <t>Working Capital as a percentage of revenue shows negative values in some years due to decreases in net working capital, which result in positive cash flow contributions (i.e., WC release).</t>
    </r>
  </si>
  <si>
    <r>
      <t>(3)</t>
    </r>
    <r>
      <rPr>
        <sz val="11"/>
        <color theme="1"/>
        <rFont val="Calibri"/>
        <family val="2"/>
        <scheme val="minor"/>
      </rPr>
      <t xml:space="preserve"> </t>
    </r>
    <r>
      <rPr>
        <i/>
        <sz val="11"/>
        <color theme="1"/>
        <rFont val="Calibri"/>
        <family val="2"/>
        <scheme val="minor"/>
      </rPr>
      <t>EBIT Margin values are used in NOPAT calculations, which feed into Free Cash Flow to Firm (FCFF) computations.</t>
    </r>
  </si>
  <si>
    <r>
      <t>(4)</t>
    </r>
    <r>
      <rPr>
        <sz val="11"/>
        <color theme="1"/>
        <rFont val="Calibri"/>
        <family val="2"/>
        <scheme val="minor"/>
      </rPr>
      <t xml:space="preserve"> </t>
    </r>
    <r>
      <rPr>
        <i/>
        <sz val="11"/>
        <color theme="1"/>
        <rFont val="Calibri"/>
        <family val="2"/>
        <scheme val="minor"/>
      </rPr>
      <t>NOPAT is calculated as:</t>
    </r>
  </si>
  <si>
    <r>
      <t>  </t>
    </r>
    <r>
      <rPr>
        <b/>
        <sz val="11"/>
        <color theme="1"/>
        <rFont val="Calibri"/>
        <family val="2"/>
        <scheme val="minor"/>
      </rPr>
      <t>NOPAT = EBIT × (1 − Tax Rate)</t>
    </r>
  </si>
  <si>
    <t> The tax rates used correspond to each specific year as shown in the sheet.</t>
  </si>
  <si>
    <r>
      <t>(5)</t>
    </r>
    <r>
      <rPr>
        <sz val="11"/>
        <color theme="1"/>
        <rFont val="Calibri"/>
        <family val="2"/>
        <scheme val="minor"/>
      </rPr>
      <t xml:space="preserve"> </t>
    </r>
    <r>
      <rPr>
        <i/>
        <sz val="11"/>
        <color theme="1"/>
        <rFont val="Calibri"/>
        <family val="2"/>
        <scheme val="minor"/>
      </rPr>
      <t>FCFF is derived using the formula:</t>
    </r>
  </si>
  <si>
    <r>
      <t>  </t>
    </r>
    <r>
      <rPr>
        <b/>
        <sz val="11"/>
        <color theme="1"/>
        <rFont val="Calibri"/>
        <family val="2"/>
        <scheme val="minor"/>
      </rPr>
      <t>FCFF = NOPAT + Depreciation − Capital Expenditure − Changes in Working Capital</t>
    </r>
  </si>
  <si>
    <t> Positive FCFF indicates available free cash flow for investors; negative values reflect large reinvestment years.</t>
  </si>
  <si>
    <r>
      <t>(6)</t>
    </r>
    <r>
      <rPr>
        <sz val="11"/>
        <color theme="1"/>
        <rFont val="Calibri"/>
        <family val="2"/>
        <scheme val="minor"/>
      </rPr>
      <t xml:space="preserve"> </t>
    </r>
    <r>
      <rPr>
        <i/>
        <sz val="11"/>
        <color theme="1"/>
        <rFont val="Calibri"/>
        <family val="2"/>
        <scheme val="minor"/>
      </rPr>
      <t>Historical Operating, Investing, and Financing Cash Flow values correspond to Infosys’ published cash flow statements. Free Cash Flow shown in the historical section reconciles directly with FCFF.</t>
    </r>
  </si>
  <si>
    <r>
      <t>(7)</t>
    </r>
    <r>
      <rPr>
        <sz val="11"/>
        <color theme="1"/>
        <rFont val="Calibri"/>
        <family val="2"/>
        <scheme val="minor"/>
      </rPr>
      <t xml:space="preserve"> </t>
    </r>
    <r>
      <rPr>
        <i/>
        <sz val="11"/>
        <color theme="1"/>
        <rFont val="Calibri"/>
        <family val="2"/>
        <scheme val="minor"/>
      </rPr>
      <t>Projection years (2026–2030) assume stable cash flows based on FY 2025 levels, unless noted otherwise. These projections illustrate the continuation of operating performance under constant growth conditions.</t>
    </r>
  </si>
  <si>
    <r>
      <t>(8)</t>
    </r>
    <r>
      <rPr>
        <sz val="11"/>
        <color theme="1"/>
        <rFont val="Calibri"/>
        <family val="2"/>
        <scheme val="minor"/>
      </rPr>
      <t xml:space="preserve"> </t>
    </r>
    <r>
      <rPr>
        <i/>
        <sz val="11"/>
        <color theme="1"/>
        <rFont val="Calibri"/>
        <family val="2"/>
        <scheme val="minor"/>
      </rPr>
      <t>Discount factors are computed using the Weighted Average Cost of Capital (WACC) of 12.33% derived earlier:</t>
    </r>
  </si>
  <si>
    <r>
      <t>  </t>
    </r>
    <r>
      <rPr>
        <b/>
        <sz val="11"/>
        <color theme="1"/>
        <rFont val="Calibri"/>
        <family val="2"/>
        <scheme val="minor"/>
      </rPr>
      <t>PV Factor = 1 / (1 + WACC)^t</t>
    </r>
  </si>
  <si>
    <t> These are applied to Projected Free Cash Flows to calculate Present Value of Cash Flows.</t>
  </si>
  <si>
    <r>
      <t>(9)</t>
    </r>
    <r>
      <rPr>
        <sz val="11"/>
        <color theme="1"/>
        <rFont val="Calibri"/>
        <family val="2"/>
        <scheme val="minor"/>
      </rPr>
      <t xml:space="preserve"> </t>
    </r>
    <r>
      <rPr>
        <i/>
        <sz val="11"/>
        <color theme="1"/>
        <rFont val="Calibri"/>
        <family val="2"/>
        <scheme val="minor"/>
      </rPr>
      <t>Projected Free Cash Flow assumes no change in capital structure and follows the same FCFF calculation methodology applied to historical data.</t>
    </r>
  </si>
  <si>
    <r>
      <t>(10)</t>
    </r>
    <r>
      <rPr>
        <sz val="11"/>
        <color theme="1"/>
        <rFont val="Calibri"/>
        <family val="2"/>
        <scheme val="minor"/>
      </rPr>
      <t xml:space="preserve"> </t>
    </r>
    <r>
      <rPr>
        <i/>
        <sz val="11"/>
        <color theme="1"/>
        <rFont val="Calibri"/>
        <family val="2"/>
        <scheme val="minor"/>
      </rPr>
      <t>All monetary values are presented in ₹ (Indian Rupees) and rounded for clarity where appropriate.</t>
    </r>
  </si>
  <si>
    <r>
      <t>(11)</t>
    </r>
    <r>
      <rPr>
        <sz val="11"/>
        <color theme="1"/>
        <rFont val="Calibri"/>
        <family val="2"/>
        <scheme val="minor"/>
      </rPr>
      <t xml:space="preserve"> </t>
    </r>
    <r>
      <rPr>
        <i/>
        <sz val="11"/>
        <color theme="1"/>
        <rFont val="Calibri"/>
        <family val="2"/>
        <scheme val="minor"/>
      </rPr>
      <t>This cash flow model assumes no incremental debt issuance, consistent with Infosys’ historically debt-free balance sheet.</t>
    </r>
  </si>
  <si>
    <t>(12) Base FCF CAGR = 8.05%</t>
  </si>
  <si>
    <t>Formula:</t>
  </si>
  <si>
    <t>CAGR=(FCFF2025/FCFF2021)^1/4-1</t>
  </si>
  <si>
    <r>
      <t xml:space="preserve">FCF grows from </t>
    </r>
    <r>
      <rPr>
        <b/>
        <sz val="11"/>
        <color theme="1"/>
        <rFont val="Calibri"/>
        <family val="2"/>
        <scheme val="minor"/>
      </rPr>
      <t>2021 → 2025</t>
    </r>
    <r>
      <rPr>
        <sz val="11"/>
        <color theme="1"/>
        <rFont val="Calibri"/>
        <family val="2"/>
        <scheme val="minor"/>
      </rPr>
      <t xml:space="preserve"> (4 intervals)</t>
    </r>
  </si>
  <si>
    <t>Using 2021 FCF = 24,797</t>
  </si>
  <si>
    <t>Using 2025 FCF = 33,799</t>
  </si>
  <si>
    <t>Investment Analysis of Infosys</t>
  </si>
  <si>
    <t>Label</t>
  </si>
  <si>
    <t>Value</t>
  </si>
  <si>
    <t>Initial Investment</t>
  </si>
  <si>
    <t>WACC (discount rate)</t>
  </si>
  <si>
    <t>Project Life</t>
  </si>
  <si>
    <t>Revenue Year 1</t>
  </si>
  <si>
    <t>Operating Margin</t>
  </si>
  <si>
    <t>Savings</t>
  </si>
  <si>
    <t>Tax</t>
  </si>
  <si>
    <t>Operating</t>
  </si>
  <si>
    <t>FCF</t>
  </si>
  <si>
    <t>NPV</t>
  </si>
  <si>
    <t>IRR</t>
  </si>
  <si>
    <t>PI</t>
  </si>
  <si>
    <r>
      <t>(1)</t>
    </r>
    <r>
      <rPr>
        <sz val="11"/>
        <color theme="1"/>
        <rFont val="Calibri"/>
        <family val="2"/>
        <scheme val="minor"/>
      </rPr>
      <t xml:space="preserve"> </t>
    </r>
    <r>
      <rPr>
        <i/>
        <sz val="11"/>
        <color theme="1"/>
        <rFont val="Calibri"/>
        <family val="2"/>
        <scheme val="minor"/>
      </rPr>
      <t>Initial Investment of ₹256 is treated as a cash outflow at Year 0 and forms the basis for NPV, IRR, and Free Cash Flow calculations.</t>
    </r>
  </si>
  <si>
    <r>
      <t>(2)</t>
    </r>
    <r>
      <rPr>
        <sz val="11"/>
        <color theme="1"/>
        <rFont val="Calibri"/>
        <family val="2"/>
        <scheme val="minor"/>
      </rPr>
      <t xml:space="preserve"> </t>
    </r>
    <r>
      <rPr>
        <i/>
        <sz val="11"/>
        <color theme="1"/>
        <rFont val="Calibri"/>
        <family val="2"/>
        <scheme val="minor"/>
      </rPr>
      <t xml:space="preserve">Revenue is projected using a constant annual growth rate of </t>
    </r>
    <r>
      <rPr>
        <b/>
        <i/>
        <sz val="11"/>
        <color theme="1"/>
        <rFont val="Calibri"/>
        <family val="2"/>
        <scheme val="minor"/>
      </rPr>
      <t>5%</t>
    </r>
    <r>
      <rPr>
        <i/>
        <sz val="11"/>
        <color theme="1"/>
        <rFont val="Calibri"/>
        <family val="2"/>
        <scheme val="minor"/>
      </rPr>
      <t>, applied multiplicatively each year:</t>
    </r>
  </si>
  <si>
    <r>
      <t>  </t>
    </r>
    <r>
      <rPr>
        <b/>
        <sz val="11"/>
        <color theme="1"/>
        <rFont val="Calibri"/>
        <family val="2"/>
        <scheme val="minor"/>
      </rPr>
      <t>Revenueₜ = Revenueₜ₋₁ × (1 + Growth Rate).</t>
    </r>
  </si>
  <si>
    <r>
      <t>(3)</t>
    </r>
    <r>
      <rPr>
        <sz val="11"/>
        <color theme="1"/>
        <rFont val="Calibri"/>
        <family val="2"/>
        <scheme val="minor"/>
      </rPr>
      <t xml:space="preserve"> </t>
    </r>
    <r>
      <rPr>
        <i/>
        <sz val="11"/>
        <color theme="1"/>
        <rFont val="Calibri"/>
        <family val="2"/>
        <scheme val="minor"/>
      </rPr>
      <t xml:space="preserve">EBIT is calculated using the Operating Margin of </t>
    </r>
    <r>
      <rPr>
        <b/>
        <i/>
        <sz val="11"/>
        <color theme="1"/>
        <rFont val="Calibri"/>
        <family val="2"/>
        <scheme val="minor"/>
      </rPr>
      <t>21.1%</t>
    </r>
    <r>
      <rPr>
        <i/>
        <sz val="11"/>
        <color theme="1"/>
        <rFont val="Calibri"/>
        <family val="2"/>
        <scheme val="minor"/>
      </rPr>
      <t xml:space="preserve"> applied to revenue for each projected year:</t>
    </r>
  </si>
  <si>
    <r>
      <t>  </t>
    </r>
    <r>
      <rPr>
        <b/>
        <sz val="11"/>
        <color theme="1"/>
        <rFont val="Calibri"/>
        <family val="2"/>
        <scheme val="minor"/>
      </rPr>
      <t>EBIT = Revenue × Operating Margin.</t>
    </r>
  </si>
  <si>
    <r>
      <t>(4)</t>
    </r>
    <r>
      <rPr>
        <sz val="11"/>
        <color theme="1"/>
        <rFont val="Calibri"/>
        <family val="2"/>
        <scheme val="minor"/>
      </rPr>
      <t xml:space="preserve"> </t>
    </r>
    <r>
      <rPr>
        <i/>
        <sz val="11"/>
        <color theme="1"/>
        <rFont val="Calibri"/>
        <family val="2"/>
        <scheme val="minor"/>
      </rPr>
      <t xml:space="preserve">Tax expense is based on the assumed corporate tax rate of </t>
    </r>
    <r>
      <rPr>
        <b/>
        <i/>
        <sz val="11"/>
        <color theme="1"/>
        <rFont val="Calibri"/>
        <family val="2"/>
        <scheme val="minor"/>
      </rPr>
      <t>28.9%</t>
    </r>
    <r>
      <rPr>
        <i/>
        <sz val="11"/>
        <color theme="1"/>
        <rFont val="Calibri"/>
        <family val="2"/>
        <scheme val="minor"/>
      </rPr>
      <t>, applied to EBIT:</t>
    </r>
  </si>
  <si>
    <r>
      <t>  </t>
    </r>
    <r>
      <rPr>
        <b/>
        <sz val="11"/>
        <color theme="1"/>
        <rFont val="Calibri"/>
        <family val="2"/>
        <scheme val="minor"/>
      </rPr>
      <t>Tax = EBIT × Tax Rate.</t>
    </r>
  </si>
  <si>
    <r>
      <t>(5)</t>
    </r>
    <r>
      <rPr>
        <sz val="11"/>
        <color theme="1"/>
        <rFont val="Calibri"/>
        <family val="2"/>
        <scheme val="minor"/>
      </rPr>
      <t xml:space="preserve"> </t>
    </r>
    <r>
      <rPr>
        <i/>
        <sz val="11"/>
        <color theme="1"/>
        <rFont val="Calibri"/>
        <family val="2"/>
        <scheme val="minor"/>
      </rPr>
      <t>Operating Income (Net Operating Profit After Tax – NOPAT) is computed as:</t>
    </r>
  </si>
  <si>
    <r>
      <t>  </t>
    </r>
    <r>
      <rPr>
        <b/>
        <sz val="11"/>
        <color theme="1"/>
        <rFont val="Calibri"/>
        <family val="2"/>
        <scheme val="minor"/>
      </rPr>
      <t>Operating Income = EBIT − Tax.</t>
    </r>
  </si>
  <si>
    <r>
      <t>(6)</t>
    </r>
    <r>
      <rPr>
        <sz val="11"/>
        <color theme="1"/>
        <rFont val="Calibri"/>
        <family val="2"/>
        <scheme val="minor"/>
      </rPr>
      <t xml:space="preserve"> </t>
    </r>
    <r>
      <rPr>
        <i/>
        <sz val="11"/>
        <color theme="1"/>
        <rFont val="Calibri"/>
        <family val="2"/>
        <scheme val="minor"/>
      </rPr>
      <t xml:space="preserve">Depreciation is assumed to be </t>
    </r>
    <r>
      <rPr>
        <b/>
        <i/>
        <sz val="11"/>
        <color theme="1"/>
        <rFont val="Calibri"/>
        <family val="2"/>
        <scheme val="minor"/>
      </rPr>
      <t>constant at ₹25.6</t>
    </r>
    <r>
      <rPr>
        <i/>
        <sz val="11"/>
        <color theme="1"/>
        <rFont val="Calibri"/>
        <family val="2"/>
        <scheme val="minor"/>
      </rPr>
      <t xml:space="preserve"> each year for simplicity. This acts as a non-cash expense added back when computing Free Cash Flow.</t>
    </r>
  </si>
  <si>
    <r>
      <t>(7)</t>
    </r>
    <r>
      <rPr>
        <sz val="11"/>
        <color theme="1"/>
        <rFont val="Calibri"/>
        <family val="2"/>
        <scheme val="minor"/>
      </rPr>
      <t xml:space="preserve"> </t>
    </r>
    <r>
      <rPr>
        <i/>
        <sz val="11"/>
        <color theme="1"/>
        <rFont val="Calibri"/>
        <family val="2"/>
        <scheme val="minor"/>
      </rPr>
      <t>Free Cash Flow (FCF) is calculated as:</t>
    </r>
  </si>
  <si>
    <r>
      <t>  </t>
    </r>
    <r>
      <rPr>
        <b/>
        <sz val="11"/>
        <color theme="1"/>
        <rFont val="Calibri"/>
        <family val="2"/>
        <scheme val="minor"/>
      </rPr>
      <t>FCF = Operating Income + Depreciation</t>
    </r>
  </si>
  <si>
    <t> with no working-capital or capital-expenditure adjustments included, consistent with a simplified DCF model.</t>
  </si>
  <si>
    <r>
      <t>(8)</t>
    </r>
    <r>
      <rPr>
        <sz val="11"/>
        <color theme="1"/>
        <rFont val="Calibri"/>
        <family val="2"/>
        <scheme val="minor"/>
      </rPr>
      <t xml:space="preserve"> </t>
    </r>
    <r>
      <rPr>
        <i/>
        <sz val="11"/>
        <color theme="1"/>
        <rFont val="Calibri"/>
        <family val="2"/>
        <scheme val="minor"/>
      </rPr>
      <t xml:space="preserve">WACC of </t>
    </r>
    <r>
      <rPr>
        <b/>
        <i/>
        <sz val="11"/>
        <color theme="1"/>
        <rFont val="Calibri"/>
        <family val="2"/>
        <scheme val="minor"/>
      </rPr>
      <t>12.33%</t>
    </r>
    <r>
      <rPr>
        <i/>
        <sz val="11"/>
        <color theme="1"/>
        <rFont val="Calibri"/>
        <family val="2"/>
        <scheme val="minor"/>
      </rPr>
      <t xml:space="preserve"> is used as the discount rate, consistent with the earlier WACC computation for Infosys.</t>
    </r>
  </si>
  <si>
    <r>
      <t>(9)</t>
    </r>
    <r>
      <rPr>
        <sz val="11"/>
        <color theme="1"/>
        <rFont val="Calibri"/>
        <family val="2"/>
        <scheme val="minor"/>
      </rPr>
      <t xml:space="preserve"> </t>
    </r>
    <r>
      <rPr>
        <i/>
        <sz val="11"/>
        <color theme="1"/>
        <rFont val="Calibri"/>
        <family val="2"/>
        <scheme val="minor"/>
      </rPr>
      <t xml:space="preserve">NPV is computed by discounting all future FCFs over the </t>
    </r>
    <r>
      <rPr>
        <b/>
        <i/>
        <sz val="11"/>
        <color theme="1"/>
        <rFont val="Calibri"/>
        <family val="2"/>
        <scheme val="minor"/>
      </rPr>
      <t>10-year project life</t>
    </r>
    <r>
      <rPr>
        <i/>
        <sz val="11"/>
        <color theme="1"/>
        <rFont val="Calibri"/>
        <family val="2"/>
        <scheme val="minor"/>
      </rPr>
      <t xml:space="preserve"> and subtracting the initial investment. A negative NPV (−₹12.85) indicates the project does not meet the required return.</t>
    </r>
  </si>
  <si>
    <r>
      <t>(10)</t>
    </r>
    <r>
      <rPr>
        <sz val="11"/>
        <color theme="1"/>
        <rFont val="Calibri"/>
        <family val="2"/>
        <scheme val="minor"/>
      </rPr>
      <t xml:space="preserve"> </t>
    </r>
    <r>
      <rPr>
        <i/>
        <sz val="11"/>
        <color theme="1"/>
        <rFont val="Calibri"/>
        <family val="2"/>
        <scheme val="minor"/>
      </rPr>
      <t xml:space="preserve">IRR of </t>
    </r>
    <r>
      <rPr>
        <b/>
        <i/>
        <sz val="11"/>
        <color theme="1"/>
        <rFont val="Calibri"/>
        <family val="2"/>
        <scheme val="minor"/>
      </rPr>
      <t>11.12%</t>
    </r>
    <r>
      <rPr>
        <i/>
        <sz val="11"/>
        <color theme="1"/>
        <rFont val="Calibri"/>
        <family val="2"/>
        <scheme val="minor"/>
      </rPr>
      <t xml:space="preserve"> represents the discount rate at which NPV equals zero. Since IRR &lt; WACC, the project does not create value under the given assumptions.</t>
    </r>
  </si>
  <si>
    <r>
      <t>(11)</t>
    </r>
    <r>
      <rPr>
        <sz val="11"/>
        <color theme="1"/>
        <rFont val="Calibri"/>
        <family val="2"/>
        <scheme val="minor"/>
      </rPr>
      <t xml:space="preserve"> </t>
    </r>
    <r>
      <rPr>
        <i/>
        <sz val="11"/>
        <color theme="1"/>
        <rFont val="Calibri"/>
        <family val="2"/>
        <scheme val="minor"/>
      </rPr>
      <t>All figures are denominated in ₹ (Indian Rupees), and rounding may cause minor deviations when manually reconciling values.</t>
    </r>
  </si>
  <si>
    <t>Dividend Analysis of Infosys</t>
  </si>
  <si>
    <t>No. of Shares</t>
  </si>
  <si>
    <t>Dividend (per share)</t>
  </si>
  <si>
    <t>Total Dividend</t>
  </si>
  <si>
    <t>Net Profit</t>
  </si>
  <si>
    <t>Dividend Payout</t>
  </si>
  <si>
    <t>Share Price</t>
  </si>
  <si>
    <t>Dividend Yield</t>
  </si>
  <si>
    <t>Retention Ratio</t>
  </si>
  <si>
    <t>Retention Ratio = (Net Income - Dividend Paid)/ Net Income</t>
  </si>
  <si>
    <t>g = Retention Ratio (ROE)</t>
  </si>
  <si>
    <t>Dividend Growth Model (RE = (D1/Po)+g)</t>
  </si>
  <si>
    <t>D1</t>
  </si>
  <si>
    <t>Capital Assest Pricing Model ( Re = Rf + B(Rm-Rf))</t>
  </si>
  <si>
    <t>As the Dividends distributed are not stable so we will preffer CAPM Model</t>
  </si>
  <si>
    <t>AQAAWQ</t>
  </si>
  <si>
    <r>
      <t>(1)</t>
    </r>
    <r>
      <rPr>
        <sz val="11"/>
        <color theme="1"/>
        <rFont val="Calibri"/>
        <family val="2"/>
        <scheme val="minor"/>
      </rPr>
      <t xml:space="preserve"> </t>
    </r>
    <r>
      <rPr>
        <i/>
        <sz val="11"/>
        <color theme="1"/>
        <rFont val="Calibri"/>
        <family val="2"/>
        <scheme val="minor"/>
      </rPr>
      <t>Dividend payout is calculated as Total Dividend ÷ Net Profit for each distribution period.</t>
    </r>
  </si>
  <si>
    <r>
      <t>(2)</t>
    </r>
    <r>
      <rPr>
        <sz val="11"/>
        <color theme="1"/>
        <rFont val="Calibri"/>
        <family val="2"/>
        <scheme val="minor"/>
      </rPr>
      <t xml:space="preserve"> </t>
    </r>
    <r>
      <rPr>
        <i/>
        <sz val="11"/>
        <color theme="1"/>
        <rFont val="Calibri"/>
        <family val="2"/>
        <scheme val="minor"/>
      </rPr>
      <t>Dividend yield is computed as Dividend per Share ÷ Share Price on the declaration date.</t>
    </r>
  </si>
  <si>
    <r>
      <t>(3)</t>
    </r>
    <r>
      <rPr>
        <sz val="11"/>
        <color theme="1"/>
        <rFont val="Calibri"/>
        <family val="2"/>
        <scheme val="minor"/>
      </rPr>
      <t xml:space="preserve"> </t>
    </r>
    <r>
      <rPr>
        <i/>
        <sz val="11"/>
        <color theme="1"/>
        <rFont val="Calibri"/>
        <family val="2"/>
        <scheme val="minor"/>
      </rPr>
      <t>Share counts change slightly over time due to buybacks or ESOP issuances.</t>
    </r>
  </si>
  <si>
    <r>
      <t>(4)</t>
    </r>
    <r>
      <rPr>
        <sz val="11"/>
        <color theme="1"/>
        <rFont val="Calibri"/>
        <family val="2"/>
        <scheme val="minor"/>
      </rPr>
      <t xml:space="preserve"> </t>
    </r>
    <r>
      <rPr>
        <i/>
        <sz val="11"/>
        <color theme="1"/>
        <rFont val="Calibri"/>
        <family val="2"/>
        <scheme val="minor"/>
      </rPr>
      <t>Dividend growth is not stable across years; therefore, the Gordon Growth Model is less reliable and CAPM is preferred for estimating the cost of equity.</t>
    </r>
  </si>
  <si>
    <r>
      <t>(5)</t>
    </r>
    <r>
      <rPr>
        <sz val="11"/>
        <color theme="1"/>
        <rFont val="Calibri"/>
        <family val="2"/>
        <scheme val="minor"/>
      </rPr>
      <t xml:space="preserve"> </t>
    </r>
    <r>
      <rPr>
        <i/>
        <sz val="11"/>
        <color theme="1"/>
        <rFont val="Calibri"/>
        <family val="2"/>
        <scheme val="minor"/>
      </rPr>
      <t>All monetary values are in ₹ (Indian Rupees), and rounding may cause minor variation</t>
    </r>
  </si>
  <si>
    <t>A</t>
  </si>
  <si>
    <t>Working Capital Management of Infosys</t>
  </si>
  <si>
    <t>Beginning (in crores)</t>
  </si>
  <si>
    <t>Ending(in crores)</t>
  </si>
  <si>
    <t>Inventory</t>
  </si>
  <si>
    <t>Accounts Payable</t>
  </si>
  <si>
    <t>Accounts Receivable</t>
  </si>
  <si>
    <t>Sales</t>
  </si>
  <si>
    <t>Cost of Sales</t>
  </si>
  <si>
    <t>Average Accounts Payable</t>
  </si>
  <si>
    <t>Average Accounts Receivable</t>
  </si>
  <si>
    <t>Inventory Period (avg inv/COGS * 365)</t>
  </si>
  <si>
    <t>Accounts Receivable Period (avg rec/sales * 365)</t>
  </si>
  <si>
    <t>Accounts Payable Period (avg pay/sales * 365)</t>
  </si>
  <si>
    <t>Operating Cycle</t>
  </si>
  <si>
    <t>Cash Cycle</t>
  </si>
  <si>
    <t>Net Working Capital (CA-CL)</t>
  </si>
  <si>
    <t>*All the calculations are for the year 2024-25</t>
  </si>
  <si>
    <r>
      <t>(1)</t>
    </r>
    <r>
      <rPr>
        <sz val="11"/>
        <color theme="1"/>
        <rFont val="Calibri"/>
        <family val="2"/>
        <scheme val="minor"/>
      </rPr>
      <t xml:space="preserve"> </t>
    </r>
    <r>
      <rPr>
        <i/>
        <sz val="11"/>
        <color theme="1"/>
        <rFont val="Calibri"/>
        <family val="2"/>
        <scheme val="minor"/>
      </rPr>
      <t>Inventory levels are zero because Infosys operates as an IT services company and does not maintain physical inventory.</t>
    </r>
  </si>
  <si>
    <r>
      <t>(2)</t>
    </r>
    <r>
      <rPr>
        <sz val="11"/>
        <color theme="1"/>
        <rFont val="Calibri"/>
        <family val="2"/>
        <scheme val="minor"/>
      </rPr>
      <t xml:space="preserve"> </t>
    </r>
    <r>
      <rPr>
        <i/>
        <sz val="11"/>
        <color theme="1"/>
        <rFont val="Calibri"/>
        <family val="2"/>
        <scheme val="minor"/>
      </rPr>
      <t>Average receivables and payables are calculated using the beginning and ending balances for FY 2024–25.</t>
    </r>
  </si>
  <si>
    <r>
      <t>(3)</t>
    </r>
    <r>
      <rPr>
        <sz val="11"/>
        <color theme="1"/>
        <rFont val="Calibri"/>
        <family val="2"/>
        <scheme val="minor"/>
      </rPr>
      <t xml:space="preserve"> </t>
    </r>
    <r>
      <rPr>
        <i/>
        <sz val="11"/>
        <color theme="1"/>
        <rFont val="Calibri"/>
        <family val="2"/>
        <scheme val="minor"/>
      </rPr>
      <t>Operating Cycle = Inventory Period + Accounts Receivable Period.</t>
    </r>
  </si>
  <si>
    <r>
      <t>(4)</t>
    </r>
    <r>
      <rPr>
        <sz val="11"/>
        <color theme="1"/>
        <rFont val="Calibri"/>
        <family val="2"/>
        <scheme val="minor"/>
      </rPr>
      <t xml:space="preserve"> </t>
    </r>
    <r>
      <rPr>
        <i/>
        <sz val="11"/>
        <color theme="1"/>
        <rFont val="Calibri"/>
        <family val="2"/>
        <scheme val="minor"/>
      </rPr>
      <t>Cash Conversion Cycle = Operating Cycle − Accounts Payable Period.</t>
    </r>
  </si>
  <si>
    <r>
      <t>(5)</t>
    </r>
    <r>
      <rPr>
        <sz val="11"/>
        <color theme="1"/>
        <rFont val="Calibri"/>
        <family val="2"/>
        <scheme val="minor"/>
      </rPr>
      <t xml:space="preserve"> </t>
    </r>
    <r>
      <rPr>
        <i/>
        <sz val="11"/>
        <color theme="1"/>
        <rFont val="Calibri"/>
        <family val="2"/>
        <scheme val="minor"/>
      </rPr>
      <t>Net Working Capital represents Current Assets minus Current Liabilities for the selected year.</t>
    </r>
  </si>
  <si>
    <r>
      <t>(6)</t>
    </r>
    <r>
      <rPr>
        <sz val="11"/>
        <color theme="1"/>
        <rFont val="Calibri"/>
        <family val="2"/>
        <scheme val="minor"/>
      </rPr>
      <t xml:space="preserve"> </t>
    </r>
    <r>
      <rPr>
        <i/>
        <sz val="11"/>
        <color theme="1"/>
        <rFont val="Calibri"/>
        <family val="2"/>
        <scheme val="minor"/>
      </rPr>
      <t>All calculations are based on financial data for FY 2024–25 and values are presented in ₹ crores.</t>
    </r>
  </si>
  <si>
    <t>Comprehensive Corporate Finance Evaluation Dashboard of Infosys Ltd.</t>
  </si>
  <si>
    <r>
      <t xml:space="preserve">Arithmetic Return: </t>
    </r>
    <r>
      <rPr>
        <sz val="10"/>
        <color theme="1"/>
        <rFont val="Arial Unicode MS"/>
      </rPr>
      <t>=(B3 - B2)/B2</t>
    </r>
  </si>
  <si>
    <r>
      <t xml:space="preserve">Log Return: </t>
    </r>
    <r>
      <rPr>
        <sz val="10"/>
        <color theme="1"/>
        <rFont val="Arial Unicode MS"/>
      </rPr>
      <t>=LN(B3/B2)</t>
    </r>
  </si>
  <si>
    <r>
      <t xml:space="preserve">Covariance Beta: </t>
    </r>
    <r>
      <rPr>
        <sz val="10"/>
        <color theme="1"/>
        <rFont val="Arial Unicode MS"/>
      </rPr>
      <t>=COVARIANCE.P(InfoReturnsRange, IndexReturnsRange)/VAR.P(IndexReturnsRange)</t>
    </r>
  </si>
  <si>
    <r>
      <t xml:space="preserve">CAPM: </t>
    </r>
    <r>
      <rPr>
        <sz val="10"/>
        <color theme="1"/>
        <rFont val="Arial Unicode MS"/>
      </rPr>
      <t>=Rf + Beta * MRP</t>
    </r>
  </si>
  <si>
    <r>
      <t xml:space="preserve">WACC: </t>
    </r>
    <r>
      <rPr>
        <sz val="10"/>
        <color theme="1"/>
        <rFont val="Arial Unicode MS"/>
      </rPr>
      <t>=(E/V)*Ke + (D/V)*Kd*(1-T)</t>
    </r>
  </si>
  <si>
    <r>
      <t xml:space="preserve">NOPAT: </t>
    </r>
    <r>
      <rPr>
        <sz val="10"/>
        <color theme="1"/>
        <rFont val="Arial Unicode MS"/>
      </rPr>
      <t>=EBIT*(1-T)</t>
    </r>
  </si>
  <si>
    <r>
      <t xml:space="preserve">Beta (SLOPE): </t>
    </r>
    <r>
      <rPr>
        <sz val="10"/>
        <color theme="1"/>
        <rFont val="Arial Unicode MS"/>
      </rPr>
      <t>=SLOPE(InfoReturnsRange, IndexReturnsRange)</t>
    </r>
  </si>
  <si>
    <r>
      <t xml:space="preserve">FCFF: </t>
    </r>
    <r>
      <rPr>
        <sz val="10"/>
        <color theme="1"/>
        <rFont val="Arial Unicode MS"/>
      </rPr>
      <t>=NOPAT + Depreciation - CapEx - ΔWC</t>
    </r>
  </si>
  <si>
    <r>
      <t xml:space="preserve">Terminal Value: </t>
    </r>
    <r>
      <rPr>
        <sz val="10"/>
        <color theme="1"/>
        <rFont val="Arial Unicode MS"/>
      </rPr>
      <t>=FCFFn*(1+g)/(WACC - g)</t>
    </r>
  </si>
  <si>
    <r>
      <t xml:space="preserve">Enterprise Value (NPV): </t>
    </r>
    <r>
      <rPr>
        <sz val="10"/>
        <color theme="1"/>
        <rFont val="Arial Unicode MS"/>
      </rPr>
      <t>=NPV(WACC,FCFF1:FCFFn) + TV/(1+WACC)^n</t>
    </r>
  </si>
  <si>
    <r>
      <t xml:space="preserve">Equity Value: </t>
    </r>
    <r>
      <rPr>
        <sz val="10"/>
        <color theme="1"/>
        <rFont val="Arial Unicode MS"/>
      </rPr>
      <t>=EnterpriseValue - NetDebt</t>
    </r>
  </si>
  <si>
    <r>
      <t xml:space="preserve">Per share: </t>
    </r>
    <r>
      <rPr>
        <sz val="10"/>
        <color theme="1"/>
        <rFont val="Arial Unicode MS"/>
      </rPr>
      <t>=EquityValue / SharesOutstanding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</si>
</sst>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164" formatCode="_(* #,##0.00_);_(* \(#,##0.00\);_(* &quot;-&quot;??_);_(@_)"/>
    <numFmt numFmtId="165" formatCode="_ [$₹-44E]* #,##0.00_ ;_ [$₹-44E]* \-#,##0.00_ ;_ [$₹-44E]* &quot;-&quot;??_ ;_ @_ "/>
    <numFmt numFmtId="166" formatCode="_ [$₹-445]\ * #,##0.00_ ;_ [$₹-445]\ * \-#,##0.00_ ;_ [$₹-445]\ * &quot;-&quot;??_ ;_ @_ "/>
    <numFmt numFmtId="167" formatCode="_ [$₹-439]* #,##0.00_ ;_ [$₹-439]* \-#,##0.00_ ;_ [$₹-439]* &quot;-&quot;??_ ;_ @_ "/>
    <numFmt numFmtId="168" formatCode="0.0000"/>
    <numFmt numFmtId="169" formatCode="0.0%"/>
    <numFmt numFmtId="170" formatCode="[$-F800]dddd\,\ mmmm\ dd\,\ yyyy"/>
  </numFmts>
  <fonts count="2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Arial Unicode MS"/>
    </font>
    <font>
      <sz val="8"/>
      <name val="Calibri"/>
      <family val="2"/>
      <scheme val="minor"/>
    </font>
    <font>
      <b/>
      <sz val="11"/>
      <color rgb="FF000000"/>
      <name val="Arial"/>
      <family val="2"/>
    </font>
    <font>
      <sz val="11"/>
      <color rgb="FF000000"/>
      <name val="Arial"/>
      <family val="2"/>
    </font>
    <font>
      <b/>
      <sz val="10"/>
      <color rgb="FF000000"/>
      <name val="Arial"/>
      <family val="2"/>
    </font>
    <font>
      <b/>
      <u/>
      <sz val="11"/>
      <color theme="1"/>
      <name val="Calibri"/>
      <family val="2"/>
      <scheme val="minor"/>
    </font>
    <font>
      <b/>
      <u/>
      <sz val="18"/>
      <color rgb="FF000000"/>
      <name val="Arial"/>
      <family val="2"/>
    </font>
    <font>
      <sz val="11"/>
      <color rgb="FF000000"/>
      <name val="Calibri"/>
      <family val="2"/>
    </font>
    <font>
      <b/>
      <sz val="10"/>
      <color theme="1"/>
      <name val="Arial Unicode MS"/>
    </font>
    <font>
      <b/>
      <sz val="11"/>
      <color rgb="FF000000"/>
      <name val="Calibri"/>
      <family val="2"/>
      <scheme val="minor"/>
    </font>
    <font>
      <sz val="11"/>
      <color rgb="FF000000"/>
      <name val="Calibri"/>
      <family val="2"/>
      <scheme val="minor"/>
    </font>
    <font>
      <i/>
      <sz val="11"/>
      <color rgb="FF000000"/>
      <name val="Calibri Light"/>
      <family val="2"/>
    </font>
    <font>
      <b/>
      <i/>
      <u/>
      <sz val="26"/>
      <color theme="1"/>
      <name val="Cambria"/>
      <family val="1"/>
    </font>
    <font>
      <i/>
      <sz val="11"/>
      <color theme="1"/>
      <name val="Calibri Light"/>
      <family val="2"/>
    </font>
    <font>
      <i/>
      <sz val="11"/>
      <color theme="1"/>
      <name val="Calibri"/>
      <family val="2"/>
      <scheme val="minor"/>
    </font>
    <font>
      <b/>
      <i/>
      <sz val="11"/>
      <color theme="1"/>
      <name val="Calibri"/>
      <family val="2"/>
      <scheme val="minor"/>
    </font>
    <font>
      <b/>
      <sz val="13.5"/>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C000"/>
        <bgColor rgb="FF000000"/>
      </patternFill>
    </fill>
    <fill>
      <patternFill patternType="solid">
        <fgColor rgb="FFFFFF00"/>
        <bgColor rgb="FF000000"/>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9" tint="0.39997558519241921"/>
        <bgColor indexed="64"/>
      </patternFill>
    </fill>
    <fill>
      <patternFill patternType="solid">
        <fgColor theme="2" tint="-9.9978637043366805E-2"/>
        <bgColor indexed="64"/>
      </patternFill>
    </fill>
  </fills>
  <borders count="50">
    <border>
      <left/>
      <right/>
      <top/>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bottom style="thin">
        <color rgb="FFCCCCCC"/>
      </bottom>
      <diagonal/>
    </border>
    <border>
      <left style="thin">
        <color rgb="FF000000"/>
      </left>
      <right style="thin">
        <color rgb="FF000000"/>
      </right>
      <top/>
      <bottom style="thin">
        <color rgb="FFCCCCCC"/>
      </bottom>
      <diagonal/>
    </border>
    <border>
      <left style="thin">
        <color rgb="FF000000"/>
      </left>
      <right style="thin">
        <color rgb="FF000000"/>
      </right>
      <top/>
      <bottom style="thin">
        <color rgb="FF000000"/>
      </bottom>
      <diagonal/>
    </border>
    <border>
      <left style="thin">
        <color rgb="FFCCCCCC"/>
      </left>
      <right style="thin">
        <color rgb="FF000000"/>
      </right>
      <top/>
      <bottom style="thin">
        <color rgb="FF000000"/>
      </bottom>
      <diagonal/>
    </border>
    <border>
      <left/>
      <right style="thin">
        <color rgb="FF000000"/>
      </right>
      <top style="thin">
        <color rgb="FFCCCCCC"/>
      </top>
      <bottom/>
      <diagonal/>
    </border>
    <border>
      <left/>
      <right style="thin">
        <color rgb="FF000000"/>
      </right>
      <top/>
      <bottom style="thin">
        <color rgb="FFCCCCCC"/>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rgb="FFCCCCCC"/>
      </left>
      <right style="thin">
        <color rgb="FF000000"/>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85">
    <xf numFmtId="0" fontId="0" fillId="0" borderId="0" xfId="0"/>
    <xf numFmtId="44"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1" fontId="0" fillId="0" borderId="0" xfId="0" applyNumberFormat="1"/>
    <xf numFmtId="10" fontId="0" fillId="0" borderId="0" xfId="1" applyNumberFormat="1" applyFont="1"/>
    <xf numFmtId="0" fontId="0" fillId="0" borderId="0" xfId="0" applyAlignment="1">
      <alignment horizontal="left" vertical="center" indent="1"/>
    </xf>
    <xf numFmtId="0" fontId="2" fillId="0" borderId="0" xfId="0" applyFont="1"/>
    <xf numFmtId="14" fontId="0" fillId="0" borderId="0" xfId="0" applyNumberFormat="1"/>
    <xf numFmtId="15" fontId="0" fillId="0" borderId="0" xfId="0" applyNumberFormat="1"/>
    <xf numFmtId="0" fontId="3" fillId="0" borderId="3" xfId="0" applyFont="1" applyBorder="1" applyAlignment="1">
      <alignment readingOrder="1"/>
    </xf>
    <xf numFmtId="0" fontId="7" fillId="0" borderId="4" xfId="0" applyFont="1" applyBorder="1" applyAlignment="1">
      <alignment readingOrder="1"/>
    </xf>
    <xf numFmtId="0" fontId="3" fillId="0" borderId="6" xfId="0" applyFont="1" applyBorder="1" applyAlignment="1">
      <alignment readingOrder="1"/>
    </xf>
    <xf numFmtId="0" fontId="3" fillId="0" borderId="7" xfId="0" applyFont="1" applyBorder="1" applyAlignment="1">
      <alignment readingOrder="1"/>
    </xf>
    <xf numFmtId="0" fontId="7" fillId="0" borderId="6" xfId="0" applyFont="1" applyBorder="1" applyAlignment="1">
      <alignment readingOrder="1"/>
    </xf>
    <xf numFmtId="0" fontId="7" fillId="0" borderId="7" xfId="0" applyFont="1" applyBorder="1" applyAlignment="1">
      <alignment readingOrder="1"/>
    </xf>
    <xf numFmtId="0" fontId="6" fillId="0" borderId="8" xfId="0" applyFont="1" applyBorder="1" applyAlignment="1">
      <alignment readingOrder="1"/>
    </xf>
    <xf numFmtId="0" fontId="7" fillId="0" borderId="9" xfId="0" applyFont="1" applyBorder="1" applyAlignment="1">
      <alignment readingOrder="1"/>
    </xf>
    <xf numFmtId="0" fontId="3" fillId="0" borderId="10" xfId="0" applyFont="1" applyBorder="1" applyAlignment="1">
      <alignment readingOrder="1"/>
    </xf>
    <xf numFmtId="0" fontId="7" fillId="0" borderId="10" xfId="0" applyFont="1" applyBorder="1" applyAlignment="1">
      <alignment readingOrder="1"/>
    </xf>
    <xf numFmtId="0" fontId="7" fillId="0" borderId="13" xfId="0" applyFont="1" applyBorder="1" applyAlignment="1">
      <alignment readingOrder="1"/>
    </xf>
    <xf numFmtId="167" fontId="0" fillId="0" borderId="0" xfId="0" applyNumberFormat="1"/>
    <xf numFmtId="2" fontId="0" fillId="0" borderId="0" xfId="0" applyNumberFormat="1"/>
    <xf numFmtId="10" fontId="0" fillId="0" borderId="0" xfId="0" applyNumberFormat="1"/>
    <xf numFmtId="10" fontId="7" fillId="0" borderId="9" xfId="1" applyNumberFormat="1" applyFont="1" applyBorder="1" applyAlignment="1">
      <alignment readingOrder="1"/>
    </xf>
    <xf numFmtId="10" fontId="7" fillId="0" borderId="4" xfId="1" applyNumberFormat="1" applyFont="1" applyBorder="1" applyAlignment="1">
      <alignment readingOrder="1"/>
    </xf>
    <xf numFmtId="10" fontId="7" fillId="0" borderId="13" xfId="1" applyNumberFormat="1" applyFont="1" applyBorder="1" applyAlignment="1">
      <alignment readingOrder="1"/>
    </xf>
    <xf numFmtId="10" fontId="7" fillId="0" borderId="14" xfId="1" applyNumberFormat="1" applyFont="1" applyBorder="1" applyAlignment="1">
      <alignment readingOrder="1"/>
    </xf>
    <xf numFmtId="10" fontId="7" fillId="0" borderId="5" xfId="1" applyNumberFormat="1" applyFont="1" applyBorder="1" applyAlignment="1">
      <alignment readingOrder="1"/>
    </xf>
    <xf numFmtId="0" fontId="2" fillId="0" borderId="11" xfId="0" applyFont="1" applyBorder="1" applyAlignment="1">
      <alignment horizontal="center" vertical="center" wrapText="1"/>
    </xf>
    <xf numFmtId="0" fontId="0" fillId="0" borderId="11" xfId="0" applyBorder="1" applyAlignment="1">
      <alignment vertical="center" wrapText="1"/>
    </xf>
    <xf numFmtId="0" fontId="0" fillId="2" borderId="11" xfId="0" applyFill="1" applyBorder="1" applyAlignment="1">
      <alignment vertical="center" wrapText="1"/>
    </xf>
    <xf numFmtId="44" fontId="0" fillId="0" borderId="11" xfId="0" applyNumberFormat="1" applyBorder="1" applyAlignment="1">
      <alignment vertical="center" wrapText="1"/>
    </xf>
    <xf numFmtId="0" fontId="9" fillId="2" borderId="15" xfId="0" applyFont="1" applyFill="1" applyBorder="1"/>
    <xf numFmtId="0" fontId="2" fillId="0" borderId="11" xfId="0" applyFont="1" applyBorder="1" applyAlignment="1">
      <alignment vertical="center" wrapText="1"/>
    </xf>
    <xf numFmtId="14" fontId="0" fillId="0" borderId="11" xfId="0" applyNumberFormat="1" applyBorder="1"/>
    <xf numFmtId="0" fontId="0" fillId="0" borderId="11" xfId="0" applyBorder="1"/>
    <xf numFmtId="44" fontId="0" fillId="0" borderId="11" xfId="0" applyNumberFormat="1" applyBorder="1"/>
    <xf numFmtId="10" fontId="0" fillId="0" borderId="11" xfId="1" applyNumberFormat="1" applyFont="1" applyBorder="1"/>
    <xf numFmtId="14" fontId="2" fillId="2" borderId="11" xfId="0" applyNumberFormat="1" applyFont="1" applyFill="1" applyBorder="1"/>
    <xf numFmtId="0" fontId="2" fillId="2" borderId="11" xfId="0" applyFont="1" applyFill="1" applyBorder="1"/>
    <xf numFmtId="14" fontId="0" fillId="0" borderId="11" xfId="0" applyNumberFormat="1" applyBorder="1" applyAlignment="1">
      <alignment horizontal="right"/>
    </xf>
    <xf numFmtId="44" fontId="2" fillId="2" borderId="11" xfId="0" applyNumberFormat="1" applyFont="1" applyFill="1" applyBorder="1"/>
    <xf numFmtId="9" fontId="2" fillId="2" borderId="11" xfId="1" applyFont="1" applyFill="1" applyBorder="1"/>
    <xf numFmtId="169" fontId="0" fillId="0" borderId="11" xfId="0" applyNumberFormat="1" applyBorder="1"/>
    <xf numFmtId="1" fontId="2" fillId="2" borderId="11" xfId="0" applyNumberFormat="1" applyFont="1" applyFill="1" applyBorder="1"/>
    <xf numFmtId="167" fontId="0" fillId="0" borderId="11" xfId="0" applyNumberFormat="1" applyBorder="1"/>
    <xf numFmtId="165" fontId="0" fillId="0" borderId="11" xfId="0" applyNumberFormat="1" applyBorder="1"/>
    <xf numFmtId="167" fontId="2" fillId="2" borderId="11" xfId="0" applyNumberFormat="1" applyFont="1" applyFill="1" applyBorder="1"/>
    <xf numFmtId="166" fontId="0" fillId="0" borderId="11" xfId="0" applyNumberFormat="1" applyBorder="1"/>
    <xf numFmtId="0" fontId="8" fillId="2" borderId="10" xfId="0" applyFont="1" applyFill="1" applyBorder="1" applyAlignment="1">
      <alignment readingOrder="1"/>
    </xf>
    <xf numFmtId="0" fontId="6" fillId="5" borderId="7" xfId="0" applyFont="1" applyFill="1" applyBorder="1" applyAlignment="1">
      <alignment readingOrder="1"/>
    </xf>
    <xf numFmtId="0" fontId="6" fillId="2" borderId="2" xfId="0" applyFont="1" applyFill="1" applyBorder="1" applyAlignment="1">
      <alignment readingOrder="1"/>
    </xf>
    <xf numFmtId="0" fontId="7" fillId="2" borderId="1" xfId="0" applyFont="1" applyFill="1" applyBorder="1" applyAlignment="1">
      <alignment readingOrder="1"/>
    </xf>
    <xf numFmtId="0" fontId="7" fillId="2" borderId="5" xfId="0" applyFont="1" applyFill="1" applyBorder="1" applyAlignment="1">
      <alignment readingOrder="1"/>
    </xf>
    <xf numFmtId="0" fontId="7" fillId="2" borderId="12" xfId="0" applyFont="1" applyFill="1" applyBorder="1" applyAlignment="1">
      <alignment readingOrder="1"/>
    </xf>
    <xf numFmtId="0" fontId="7" fillId="2" borderId="1" xfId="0" applyFont="1" applyFill="1" applyBorder="1" applyAlignment="1">
      <alignment wrapText="1" readingOrder="1"/>
    </xf>
    <xf numFmtId="170" fontId="2" fillId="2" borderId="11" xfId="0" applyNumberFormat="1" applyFont="1" applyFill="1" applyBorder="1"/>
    <xf numFmtId="2" fontId="0" fillId="0" borderId="11" xfId="0" applyNumberFormat="1" applyBorder="1"/>
    <xf numFmtId="10" fontId="0" fillId="0" borderId="11" xfId="0" applyNumberFormat="1" applyBorder="1"/>
    <xf numFmtId="0" fontId="2" fillId="0" borderId="11" xfId="0" applyFont="1" applyBorder="1"/>
    <xf numFmtId="0" fontId="0" fillId="2" borderId="11" xfId="0" applyFill="1" applyBorder="1"/>
    <xf numFmtId="0" fontId="0" fillId="0" borderId="0" xfId="0" applyAlignment="1">
      <alignment horizontal="right"/>
    </xf>
    <xf numFmtId="164" fontId="0" fillId="0" borderId="0" xfId="0" applyNumberFormat="1"/>
    <xf numFmtId="0" fontId="11" fillId="0" borderId="0" xfId="0" applyFont="1"/>
    <xf numFmtId="44" fontId="11" fillId="0" borderId="0" xfId="0" applyNumberFormat="1" applyFont="1"/>
    <xf numFmtId="49" fontId="0" fillId="0" borderId="35" xfId="0" applyNumberFormat="1" applyBorder="1" applyAlignment="1">
      <alignment horizontal="center"/>
    </xf>
    <xf numFmtId="0" fontId="0" fillId="0" borderId="35" xfId="0" applyBorder="1"/>
    <xf numFmtId="0" fontId="2" fillId="0" borderId="35" xfId="0" applyFont="1" applyBorder="1"/>
    <xf numFmtId="10" fontId="0" fillId="0" borderId="11" xfId="0" applyNumberFormat="1" applyBorder="1" applyAlignment="1">
      <alignment wrapText="1"/>
    </xf>
    <xf numFmtId="0" fontId="0" fillId="0" borderId="11" xfId="0" applyBorder="1" applyAlignment="1">
      <alignment horizontal="center"/>
    </xf>
    <xf numFmtId="0" fontId="2" fillId="2" borderId="11" xfId="0" applyFont="1" applyFill="1" applyBorder="1" applyAlignment="1">
      <alignment horizontal="left" vertical="center" indent="1"/>
    </xf>
    <xf numFmtId="0" fontId="13" fillId="2" borderId="11" xfId="0" applyFont="1" applyFill="1" applyBorder="1" applyAlignment="1">
      <alignment horizontal="left" vertical="center" indent="1"/>
    </xf>
    <xf numFmtId="167" fontId="11" fillId="0" borderId="0" xfId="0" applyNumberFormat="1" applyFont="1"/>
    <xf numFmtId="9" fontId="0" fillId="0" borderId="0" xfId="0" applyNumberFormat="1"/>
    <xf numFmtId="169" fontId="0" fillId="0" borderId="0" xfId="0" applyNumberFormat="1"/>
    <xf numFmtId="9" fontId="0" fillId="0" borderId="0" xfId="1" applyFont="1"/>
    <xf numFmtId="2" fontId="11" fillId="0" borderId="0" xfId="0" applyNumberFormat="1" applyFont="1"/>
    <xf numFmtId="0" fontId="0" fillId="0" borderId="0" xfId="0" quotePrefix="1"/>
    <xf numFmtId="0" fontId="0" fillId="8" borderId="0" xfId="0" applyFill="1"/>
    <xf numFmtId="49" fontId="0" fillId="0" borderId="35" xfId="0" applyNumberFormat="1" applyBorder="1" applyAlignment="1">
      <alignment horizontal="left"/>
    </xf>
    <xf numFmtId="0" fontId="11" fillId="0" borderId="26" xfId="0" applyFont="1" applyBorder="1" applyAlignment="1">
      <alignment vertical="center" wrapText="1"/>
    </xf>
    <xf numFmtId="0" fontId="0" fillId="0" borderId="13" xfId="0" applyBorder="1"/>
    <xf numFmtId="0" fontId="0" fillId="0" borderId="40" xfId="0" applyBorder="1"/>
    <xf numFmtId="0" fontId="0" fillId="0" borderId="6" xfId="0" applyBorder="1"/>
    <xf numFmtId="0" fontId="14" fillId="0" borderId="36" xfId="0" applyFont="1" applyBorder="1"/>
    <xf numFmtId="0" fontId="14" fillId="0" borderId="12" xfId="0" applyFont="1" applyBorder="1"/>
    <xf numFmtId="0" fontId="14" fillId="0" borderId="37" xfId="0" applyFont="1" applyBorder="1"/>
    <xf numFmtId="0" fontId="14" fillId="0" borderId="13" xfId="0" applyFont="1" applyBorder="1"/>
    <xf numFmtId="0" fontId="14" fillId="0" borderId="10" xfId="0" applyFont="1" applyBorder="1"/>
    <xf numFmtId="0" fontId="14" fillId="0" borderId="6" xfId="0" applyFont="1" applyBorder="1"/>
    <xf numFmtId="0" fontId="0" fillId="0" borderId="35" xfId="0" applyBorder="1" applyAlignment="1">
      <alignment wrapText="1"/>
    </xf>
    <xf numFmtId="0" fontId="0" fillId="0" borderId="41" xfId="0" applyBorder="1" applyAlignment="1">
      <alignment wrapText="1"/>
    </xf>
    <xf numFmtId="0" fontId="0" fillId="0" borderId="35" xfId="0" applyBorder="1" applyAlignment="1">
      <alignment horizontal="left" vertical="center" wrapText="1" indent="1"/>
    </xf>
    <xf numFmtId="49" fontId="0" fillId="0" borderId="6" xfId="0" applyNumberFormat="1" applyBorder="1" applyAlignment="1">
      <alignment horizontal="center"/>
    </xf>
    <xf numFmtId="0" fontId="0" fillId="0" borderId="36" xfId="0" applyBorder="1" applyAlignment="1">
      <alignment wrapText="1"/>
    </xf>
    <xf numFmtId="0" fontId="0" fillId="9" borderId="35" xfId="0" applyFill="1" applyBorder="1"/>
    <xf numFmtId="0" fontId="0" fillId="7" borderId="42" xfId="0" applyFill="1" applyBorder="1"/>
    <xf numFmtId="0" fontId="11" fillId="10" borderId="11" xfId="0" applyFont="1" applyFill="1" applyBorder="1" applyAlignment="1">
      <alignment horizontal="center" vertical="center"/>
    </xf>
    <xf numFmtId="0" fontId="0" fillId="10" borderId="36" xfId="0" applyFill="1" applyBorder="1" applyAlignment="1">
      <alignment horizontal="center" vertical="center"/>
    </xf>
    <xf numFmtId="0" fontId="0" fillId="10" borderId="12" xfId="0" applyFill="1" applyBorder="1" applyAlignment="1">
      <alignment horizontal="center" vertical="center"/>
    </xf>
    <xf numFmtId="49" fontId="0" fillId="10" borderId="12" xfId="0" applyNumberFormat="1" applyFill="1" applyBorder="1" applyAlignment="1">
      <alignment horizontal="center" vertical="center"/>
    </xf>
    <xf numFmtId="0" fontId="0" fillId="10" borderId="6" xfId="0" applyFill="1" applyBorder="1"/>
    <xf numFmtId="49" fontId="0" fillId="10" borderId="38" xfId="0" applyNumberFormat="1" applyFill="1" applyBorder="1" applyAlignment="1">
      <alignment horizontal="center" vertical="center"/>
    </xf>
    <xf numFmtId="0" fontId="0" fillId="10" borderId="40" xfId="0" applyFill="1" applyBorder="1" applyAlignment="1">
      <alignment horizontal="center" vertical="center"/>
    </xf>
    <xf numFmtId="0" fontId="0" fillId="10" borderId="38" xfId="0" applyFill="1" applyBorder="1"/>
    <xf numFmtId="0" fontId="0" fillId="10" borderId="39" xfId="0" applyFill="1" applyBorder="1" applyAlignment="1">
      <alignment horizontal="center"/>
    </xf>
    <xf numFmtId="0" fontId="0" fillId="10" borderId="40" xfId="0" applyFill="1" applyBorder="1" applyAlignment="1">
      <alignment horizontal="left"/>
    </xf>
    <xf numFmtId="0" fontId="0" fillId="10" borderId="35" xfId="0" applyFill="1" applyBorder="1" applyAlignment="1">
      <alignment horizontal="center" vertical="center"/>
    </xf>
    <xf numFmtId="0" fontId="0" fillId="10" borderId="42" xfId="0" applyFill="1" applyBorder="1" applyAlignment="1">
      <alignment horizontal="center" vertical="center"/>
    </xf>
    <xf numFmtId="0" fontId="0" fillId="10" borderId="38" xfId="0" applyFill="1" applyBorder="1" applyAlignment="1">
      <alignment horizontal="center" vertical="center"/>
    </xf>
    <xf numFmtId="0" fontId="0" fillId="0" borderId="43" xfId="0" applyBorder="1"/>
    <xf numFmtId="0" fontId="15" fillId="0" borderId="36" xfId="0" applyFont="1" applyBorder="1"/>
    <xf numFmtId="0" fontId="17" fillId="0" borderId="35" xfId="0" applyFont="1" applyBorder="1"/>
    <xf numFmtId="0" fontId="0" fillId="11" borderId="0" xfId="0" applyFill="1"/>
    <xf numFmtId="0" fontId="2" fillId="11" borderId="0" xfId="0" applyFont="1" applyFill="1"/>
    <xf numFmtId="0" fontId="0" fillId="2" borderId="35" xfId="0" applyFill="1" applyBorder="1"/>
    <xf numFmtId="0" fontId="0" fillId="8" borderId="35" xfId="0" applyFill="1" applyBorder="1"/>
    <xf numFmtId="0" fontId="7" fillId="8" borderId="6" xfId="0" applyFont="1" applyFill="1" applyBorder="1" applyAlignment="1">
      <alignment readingOrder="1"/>
    </xf>
    <xf numFmtId="0" fontId="2" fillId="2" borderId="0" xfId="0" applyFont="1" applyFill="1"/>
    <xf numFmtId="0" fontId="0" fillId="12" borderId="0" xfId="0" applyFill="1"/>
    <xf numFmtId="0" fontId="2" fillId="12" borderId="0" xfId="0" applyFont="1" applyFill="1"/>
    <xf numFmtId="0" fontId="11" fillId="12" borderId="0" xfId="0" applyFont="1" applyFill="1"/>
    <xf numFmtId="167" fontId="11" fillId="12" borderId="0" xfId="0" applyNumberFormat="1" applyFont="1" applyFill="1"/>
    <xf numFmtId="167" fontId="0" fillId="12" borderId="0" xfId="0" applyNumberFormat="1" applyFill="1"/>
    <xf numFmtId="9" fontId="11" fillId="12" borderId="0" xfId="0" applyNumberFormat="1" applyFont="1" applyFill="1"/>
    <xf numFmtId="0" fontId="0" fillId="12" borderId="0" xfId="0" applyFill="1" applyAlignment="1">
      <alignment wrapText="1"/>
    </xf>
    <xf numFmtId="44" fontId="0" fillId="0" borderId="0" xfId="0" applyNumberFormat="1" applyAlignment="1">
      <alignment horizontal="center"/>
    </xf>
    <xf numFmtId="0" fontId="20" fillId="12" borderId="0" xfId="0" applyFont="1" applyFill="1"/>
    <xf numFmtId="0" fontId="11" fillId="10" borderId="39" xfId="0" applyFont="1" applyFill="1" applyBorder="1" applyAlignment="1">
      <alignment horizontal="center"/>
    </xf>
    <xf numFmtId="10" fontId="7" fillId="2" borderId="6" xfId="0" applyNumberFormat="1" applyFont="1" applyFill="1" applyBorder="1" applyAlignment="1">
      <alignment readingOrder="1"/>
    </xf>
    <xf numFmtId="10" fontId="7" fillId="0" borderId="10" xfId="0" applyNumberFormat="1" applyFont="1" applyBorder="1" applyAlignment="1">
      <alignment readingOrder="1"/>
    </xf>
    <xf numFmtId="10" fontId="7" fillId="0" borderId="7" xfId="0" applyNumberFormat="1" applyFont="1" applyBorder="1" applyAlignment="1">
      <alignment readingOrder="1"/>
    </xf>
    <xf numFmtId="10" fontId="7" fillId="0" borderId="6" xfId="0" applyNumberFormat="1" applyFont="1" applyBorder="1" applyAlignment="1">
      <alignment readingOrder="1"/>
    </xf>
    <xf numFmtId="0" fontId="0" fillId="0" borderId="0" xfId="0" applyAlignment="1">
      <alignment horizontal="left"/>
    </xf>
    <xf numFmtId="2" fontId="0" fillId="0" borderId="0" xfId="0" applyNumberFormat="1" applyAlignment="1">
      <alignment horizontal="left"/>
    </xf>
    <xf numFmtId="0" fontId="2" fillId="3" borderId="44" xfId="0" applyFont="1" applyFill="1" applyBorder="1" applyAlignment="1">
      <alignment horizontal="center" vertical="center"/>
    </xf>
    <xf numFmtId="0" fontId="2" fillId="3" borderId="45" xfId="0" applyFont="1" applyFill="1" applyBorder="1" applyAlignment="1">
      <alignment horizontal="center" vertical="center"/>
    </xf>
    <xf numFmtId="0" fontId="2" fillId="3" borderId="46" xfId="0" applyFont="1" applyFill="1" applyBorder="1" applyAlignment="1">
      <alignment horizontal="center" vertical="center"/>
    </xf>
    <xf numFmtId="0" fontId="2" fillId="3" borderId="47" xfId="0" applyFont="1" applyFill="1" applyBorder="1" applyAlignment="1">
      <alignment horizontal="center" vertical="center"/>
    </xf>
    <xf numFmtId="0" fontId="2" fillId="3" borderId="48" xfId="0" applyFont="1" applyFill="1" applyBorder="1" applyAlignment="1">
      <alignment horizontal="center" vertical="center"/>
    </xf>
    <xf numFmtId="0" fontId="2" fillId="3" borderId="49" xfId="0" applyFont="1" applyFill="1" applyBorder="1" applyAlignment="1">
      <alignment horizontal="center" vertical="center"/>
    </xf>
    <xf numFmtId="0" fontId="0" fillId="2" borderId="0" xfId="0" applyFill="1"/>
    <xf numFmtId="10" fontId="0" fillId="0" borderId="35" xfId="0" applyNumberFormat="1" applyBorder="1"/>
    <xf numFmtId="10" fontId="0" fillId="0" borderId="24" xfId="1" applyNumberFormat="1" applyFont="1" applyBorder="1"/>
    <xf numFmtId="0" fontId="2" fillId="2" borderId="15" xfId="0" applyFont="1" applyFill="1" applyBorder="1"/>
    <xf numFmtId="168" fontId="0" fillId="0" borderId="35" xfId="0" applyNumberFormat="1" applyBorder="1"/>
    <xf numFmtId="10" fontId="0" fillId="0" borderId="42" xfId="1" applyNumberFormat="1" applyFont="1" applyBorder="1"/>
    <xf numFmtId="2" fontId="0" fillId="0" borderId="41" xfId="0" applyNumberFormat="1" applyBorder="1"/>
    <xf numFmtId="0" fontId="16" fillId="6" borderId="0" xfId="0" applyFont="1" applyFill="1" applyAlignment="1">
      <alignment horizontal="center" vertical="center"/>
    </xf>
    <xf numFmtId="0" fontId="2" fillId="3" borderId="11" xfId="0" applyFont="1" applyFill="1" applyBorder="1" applyAlignment="1">
      <alignment horizontal="center" vertical="center"/>
    </xf>
    <xf numFmtId="0" fontId="0" fillId="2" borderId="16"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3" xfId="0" applyFill="1" applyBorder="1" applyAlignment="1">
      <alignment horizontal="center" vertical="center" wrapText="1"/>
    </xf>
    <xf numFmtId="0" fontId="0" fillId="2" borderId="27" xfId="0" applyFill="1" applyBorder="1" applyAlignment="1">
      <alignment horizontal="center" wrapText="1"/>
    </xf>
    <xf numFmtId="0" fontId="0" fillId="2" borderId="28" xfId="0" applyFill="1" applyBorder="1" applyAlignment="1">
      <alignment horizontal="center" wrapText="1"/>
    </xf>
    <xf numFmtId="0" fontId="0" fillId="2" borderId="29" xfId="0" applyFill="1" applyBorder="1" applyAlignment="1">
      <alignment horizontal="center" wrapText="1"/>
    </xf>
    <xf numFmtId="0" fontId="0" fillId="2" borderId="30" xfId="0" applyFill="1" applyBorder="1" applyAlignment="1">
      <alignment horizontal="center" wrapText="1"/>
    </xf>
    <xf numFmtId="0" fontId="0" fillId="2" borderId="0" xfId="0" applyFill="1" applyAlignment="1">
      <alignment horizontal="center" wrapText="1"/>
    </xf>
    <xf numFmtId="0" fontId="0" fillId="2" borderId="31" xfId="0" applyFill="1" applyBorder="1" applyAlignment="1">
      <alignment horizontal="center" wrapText="1"/>
    </xf>
    <xf numFmtId="0" fontId="0" fillId="2" borderId="32" xfId="0" applyFill="1" applyBorder="1" applyAlignment="1">
      <alignment horizontal="center" wrapText="1"/>
    </xf>
    <xf numFmtId="0" fontId="0" fillId="2" borderId="33" xfId="0" applyFill="1" applyBorder="1" applyAlignment="1">
      <alignment horizontal="center" wrapText="1"/>
    </xf>
    <xf numFmtId="0" fontId="0" fillId="2" borderId="34" xfId="0" applyFill="1" applyBorder="1" applyAlignment="1">
      <alignment horizontal="center" wrapText="1"/>
    </xf>
    <xf numFmtId="0" fontId="2" fillId="0" borderId="11" xfId="0" applyFont="1" applyBorder="1" applyAlignment="1">
      <alignment horizontal="center" vertical="center"/>
    </xf>
    <xf numFmtId="0" fontId="10" fillId="4" borderId="24" xfId="0" applyFont="1" applyFill="1" applyBorder="1" applyAlignment="1">
      <alignment horizontal="center" vertical="center" readingOrder="1"/>
    </xf>
    <xf numFmtId="0" fontId="10" fillId="4" borderId="25" xfId="0" applyFont="1" applyFill="1" applyBorder="1" applyAlignment="1">
      <alignment horizontal="center" vertical="center" readingOrder="1"/>
    </xf>
    <xf numFmtId="0" fontId="10" fillId="4" borderId="26" xfId="0" applyFont="1" applyFill="1" applyBorder="1" applyAlignment="1">
      <alignment horizontal="center" vertical="center" readingOrder="1"/>
    </xf>
    <xf numFmtId="0" fontId="10" fillId="4" borderId="11" xfId="0" applyFont="1" applyFill="1" applyBorder="1" applyAlignment="1">
      <alignment horizontal="center" vertical="center" readingOrder="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0" fillId="0" borderId="0" xfId="0" applyAlignment="1">
      <alignment horizontal="left"/>
    </xf>
    <xf numFmtId="0" fontId="16" fillId="11" borderId="0" xfId="0" applyFont="1" applyFill="1" applyAlignment="1">
      <alignment horizontal="center" vertical="center"/>
    </xf>
  </cellXfs>
  <cellStyles count="2">
    <cellStyle name="Normal" xfId="0" builtinId="0"/>
    <cellStyle name="Percent" xfId="1" builtinId="5"/>
  </cellStyles>
  <dxfs count="3">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border outline="0">
        <bottom style="thin">
          <color rgb="FF0000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Cash_Flow_Statement!$B$2</c:f>
              <c:strCache>
                <c:ptCount val="1"/>
                <c:pt idx="0">
                  <c:v>Net Income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Cash_Flow_Statement!$A$3:$A$13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Cash_Flow_Statement!$B$3:$B$13</c:f>
              <c:numCache>
                <c:formatCode>_("₹"* #,##0.00_);_("₹"* \(#,##0.00\);_("₹"* "-"??_);_(@_)</c:formatCode>
                <c:ptCount val="11"/>
                <c:pt idx="0">
                  <c:v>17283</c:v>
                </c:pt>
                <c:pt idx="1">
                  <c:v>18979</c:v>
                </c:pt>
                <c:pt idx="2">
                  <c:v>14353</c:v>
                </c:pt>
                <c:pt idx="3">
                  <c:v>16029</c:v>
                </c:pt>
                <c:pt idx="4">
                  <c:v>15410</c:v>
                </c:pt>
                <c:pt idx="5">
                  <c:v>16639</c:v>
                </c:pt>
                <c:pt idx="6">
                  <c:v>19423</c:v>
                </c:pt>
                <c:pt idx="7">
                  <c:v>22146</c:v>
                </c:pt>
                <c:pt idx="8">
                  <c:v>24108</c:v>
                </c:pt>
                <c:pt idx="9">
                  <c:v>26248</c:v>
                </c:pt>
                <c:pt idx="10">
                  <c:v>26750</c:v>
                </c:pt>
              </c:numCache>
            </c:numRef>
          </c:val>
          <c:extLst>
            <c:ext xmlns:c16="http://schemas.microsoft.com/office/drawing/2014/chart" uri="{C3380CC4-5D6E-409C-BE32-E72D297353CC}">
              <c16:uniqueId val="{00000000-A09A-4532-96F9-DB80E2E04A81}"/>
            </c:ext>
          </c:extLst>
        </c:ser>
        <c:dLbls>
          <c:dLblPos val="outEnd"/>
          <c:showLegendKey val="0"/>
          <c:showVal val="1"/>
          <c:showCatName val="0"/>
          <c:showSerName val="0"/>
          <c:showPercent val="0"/>
          <c:showBubbleSize val="0"/>
        </c:dLbls>
        <c:gapWidth val="444"/>
        <c:overlap val="-90"/>
        <c:axId val="1068928575"/>
        <c:axId val="1068933855"/>
      </c:barChart>
      <c:catAx>
        <c:axId val="106892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68933855"/>
        <c:crosses val="autoZero"/>
        <c:auto val="1"/>
        <c:lblAlgn val="ctr"/>
        <c:lblOffset val="100"/>
        <c:noMultiLvlLbl val="0"/>
      </c:catAx>
      <c:valAx>
        <c:axId val="1068933855"/>
        <c:scaling>
          <c:orientation val="minMax"/>
        </c:scaling>
        <c:delete val="1"/>
        <c:axPos val="l"/>
        <c:numFmt formatCode="_(&quot;₹&quot;* #,##0.00_);_(&quot;₹&quot;* \(#,##0.00\);_(&quot;₹&quot;* &quot;-&quot;??_);_(@_)" sourceLinked="1"/>
        <c:majorTickMark val="none"/>
        <c:minorTickMark val="none"/>
        <c:tickLblPos val="nextTo"/>
        <c:crossAx val="1068928575"/>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Infosys Vs Sensex Return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RawPrice_Monthly!$K$3</c:f>
              <c:strCache>
                <c:ptCount val="1"/>
                <c:pt idx="0">
                  <c:v>Infosys Return</c:v>
                </c:pt>
              </c:strCache>
            </c:strRef>
          </c:tx>
          <c:spPr>
            <a:ln w="28575" cap="rnd">
              <a:solidFill>
                <a:srgbClr val="637CEF"/>
              </a:solidFill>
              <a:round/>
            </a:ln>
            <a:effectLst/>
          </c:spPr>
          <c:marker>
            <c:symbol val="none"/>
          </c:marker>
          <c:cat>
            <c:numRef>
              <c:f>RawPrice_Monthly!$H$4:$H$64</c:f>
              <c:numCache>
                <c:formatCode>m/d/yyyy</c:formatCode>
                <c:ptCount val="61"/>
                <c:pt idx="0">
                  <c:v>44136</c:v>
                </c:pt>
                <c:pt idx="1">
                  <c:v>44166</c:v>
                </c:pt>
                <c:pt idx="2">
                  <c:v>44197</c:v>
                </c:pt>
                <c:pt idx="3">
                  <c:v>44228</c:v>
                </c:pt>
                <c:pt idx="4">
                  <c:v>44256</c:v>
                </c:pt>
                <c:pt idx="5">
                  <c:v>44287</c:v>
                </c:pt>
                <c:pt idx="6">
                  <c:v>44317</c:v>
                </c:pt>
                <c:pt idx="7">
                  <c:v>44348</c:v>
                </c:pt>
                <c:pt idx="8">
                  <c:v>44378</c:v>
                </c:pt>
                <c:pt idx="9">
                  <c:v>44409</c:v>
                </c:pt>
                <c:pt idx="10">
                  <c:v>44440</c:v>
                </c:pt>
                <c:pt idx="11">
                  <c:v>44470</c:v>
                </c:pt>
                <c:pt idx="12">
                  <c:v>44501</c:v>
                </c:pt>
                <c:pt idx="13">
                  <c:v>44531</c:v>
                </c:pt>
                <c:pt idx="14">
                  <c:v>44562</c:v>
                </c:pt>
                <c:pt idx="15">
                  <c:v>44593</c:v>
                </c:pt>
                <c:pt idx="16">
                  <c:v>44621</c:v>
                </c:pt>
                <c:pt idx="17">
                  <c:v>44652</c:v>
                </c:pt>
                <c:pt idx="18">
                  <c:v>44682</c:v>
                </c:pt>
                <c:pt idx="19">
                  <c:v>44713</c:v>
                </c:pt>
                <c:pt idx="20">
                  <c:v>44743</c:v>
                </c:pt>
                <c:pt idx="21">
                  <c:v>44774</c:v>
                </c:pt>
                <c:pt idx="22">
                  <c:v>44805</c:v>
                </c:pt>
                <c:pt idx="23">
                  <c:v>44835</c:v>
                </c:pt>
                <c:pt idx="24">
                  <c:v>44866</c:v>
                </c:pt>
                <c:pt idx="25">
                  <c:v>44896</c:v>
                </c:pt>
                <c:pt idx="26">
                  <c:v>44927</c:v>
                </c:pt>
                <c:pt idx="27">
                  <c:v>44958</c:v>
                </c:pt>
                <c:pt idx="28">
                  <c:v>44986</c:v>
                </c:pt>
                <c:pt idx="29">
                  <c:v>45017</c:v>
                </c:pt>
                <c:pt idx="30">
                  <c:v>45047</c:v>
                </c:pt>
                <c:pt idx="31">
                  <c:v>45078</c:v>
                </c:pt>
                <c:pt idx="32">
                  <c:v>45108</c:v>
                </c:pt>
                <c:pt idx="33">
                  <c:v>45139</c:v>
                </c:pt>
                <c:pt idx="34">
                  <c:v>45170</c:v>
                </c:pt>
                <c:pt idx="35">
                  <c:v>45200</c:v>
                </c:pt>
                <c:pt idx="36">
                  <c:v>45231</c:v>
                </c:pt>
                <c:pt idx="37">
                  <c:v>45261</c:v>
                </c:pt>
                <c:pt idx="38">
                  <c:v>45292</c:v>
                </c:pt>
                <c:pt idx="39">
                  <c:v>45323</c:v>
                </c:pt>
                <c:pt idx="40">
                  <c:v>45352</c:v>
                </c:pt>
                <c:pt idx="41">
                  <c:v>45383</c:v>
                </c:pt>
                <c:pt idx="42">
                  <c:v>45413</c:v>
                </c:pt>
                <c:pt idx="43">
                  <c:v>45444</c:v>
                </c:pt>
                <c:pt idx="44">
                  <c:v>45474</c:v>
                </c:pt>
                <c:pt idx="45">
                  <c:v>45505</c:v>
                </c:pt>
                <c:pt idx="46">
                  <c:v>45536</c:v>
                </c:pt>
                <c:pt idx="47">
                  <c:v>45566</c:v>
                </c:pt>
                <c:pt idx="48">
                  <c:v>45597</c:v>
                </c:pt>
                <c:pt idx="49">
                  <c:v>45627</c:v>
                </c:pt>
                <c:pt idx="50">
                  <c:v>45658</c:v>
                </c:pt>
                <c:pt idx="51">
                  <c:v>45689</c:v>
                </c:pt>
                <c:pt idx="52">
                  <c:v>45717</c:v>
                </c:pt>
                <c:pt idx="53">
                  <c:v>45748</c:v>
                </c:pt>
                <c:pt idx="54">
                  <c:v>45778</c:v>
                </c:pt>
                <c:pt idx="55">
                  <c:v>45809</c:v>
                </c:pt>
                <c:pt idx="56">
                  <c:v>45839</c:v>
                </c:pt>
                <c:pt idx="57">
                  <c:v>45870</c:v>
                </c:pt>
                <c:pt idx="58">
                  <c:v>45901</c:v>
                </c:pt>
                <c:pt idx="59">
                  <c:v>45931</c:v>
                </c:pt>
                <c:pt idx="60">
                  <c:v>45962</c:v>
                </c:pt>
              </c:numCache>
            </c:numRef>
          </c:cat>
          <c:val>
            <c:numRef>
              <c:f>RawPrice_Monthly!$K$4:$K$63</c:f>
              <c:numCache>
                <c:formatCode>0.00%</c:formatCode>
                <c:ptCount val="60"/>
                <c:pt idx="0">
                  <c:v>0.13200257931649628</c:v>
                </c:pt>
                <c:pt idx="1">
                  <c:v>-1.2983552452347571E-2</c:v>
                </c:pt>
                <c:pt idx="2">
                  <c:v>1.019270461585745E-2</c:v>
                </c:pt>
                <c:pt idx="3">
                  <c:v>8.8145267635816121E-2</c:v>
                </c:pt>
                <c:pt idx="4">
                  <c:v>-1.0177737442870068E-2</c:v>
                </c:pt>
                <c:pt idx="5">
                  <c:v>2.8936888254366001E-2</c:v>
                </c:pt>
                <c:pt idx="6">
                  <c:v>0.1262894687203992</c:v>
                </c:pt>
                <c:pt idx="7">
                  <c:v>1.8173772951169721E-2</c:v>
                </c:pt>
                <c:pt idx="8">
                  <c:v>5.6677006257023134E-2</c:v>
                </c:pt>
                <c:pt idx="9">
                  <c:v>-1.7014509964314101E-2</c:v>
                </c:pt>
                <c:pt idx="10">
                  <c:v>-4.0669912517350641E-3</c:v>
                </c:pt>
                <c:pt idx="11">
                  <c:v>2.7107377988462703E-2</c:v>
                </c:pt>
                <c:pt idx="12">
                  <c:v>9.729929726317238E-2</c:v>
                </c:pt>
                <c:pt idx="13">
                  <c:v>-8.4404865966540704E-2</c:v>
                </c:pt>
                <c:pt idx="14">
                  <c:v>-1.1233470763252325E-2</c:v>
                </c:pt>
                <c:pt idx="15">
                  <c:v>0.10488290788121435</c:v>
                </c:pt>
                <c:pt idx="16">
                  <c:v>-0.19589905350462578</c:v>
                </c:pt>
                <c:pt idx="17">
                  <c:v>-4.1642164090087336E-2</c:v>
                </c:pt>
                <c:pt idx="18">
                  <c:v>-2.8836964355189971E-2</c:v>
                </c:pt>
                <c:pt idx="19">
                  <c:v>5.873881717165861E-2</c:v>
                </c:pt>
                <c:pt idx="20">
                  <c:v>-3.7075365052357243E-2</c:v>
                </c:pt>
                <c:pt idx="21">
                  <c:v>-5.5135595451728373E-2</c:v>
                </c:pt>
                <c:pt idx="22">
                  <c:v>8.4631976857177368E-2</c:v>
                </c:pt>
                <c:pt idx="23">
                  <c:v>5.96334750857727E-2</c:v>
                </c:pt>
                <c:pt idx="24">
                  <c:v>-7.8802971685621934E-2</c:v>
                </c:pt>
                <c:pt idx="25">
                  <c:v>1.6076089597166183E-2</c:v>
                </c:pt>
                <c:pt idx="26">
                  <c:v>-3.0362046844642745E-2</c:v>
                </c:pt>
                <c:pt idx="27">
                  <c:v>-4.0897637803377761E-2</c:v>
                </c:pt>
                <c:pt idx="28">
                  <c:v>-0.13088328447326239</c:v>
                </c:pt>
                <c:pt idx="29">
                  <c:v>5.4039908194138807E-2</c:v>
                </c:pt>
                <c:pt idx="30">
                  <c:v>9.8597118315743738E-3</c:v>
                </c:pt>
                <c:pt idx="31">
                  <c:v>1.4794158981042808E-2</c:v>
                </c:pt>
                <c:pt idx="32">
                  <c:v>5.6662222406498437E-2</c:v>
                </c:pt>
                <c:pt idx="33">
                  <c:v>6.6221705711941954E-4</c:v>
                </c:pt>
                <c:pt idx="34">
                  <c:v>-4.7374839257170648E-2</c:v>
                </c:pt>
                <c:pt idx="35">
                  <c:v>6.138721238416512E-2</c:v>
                </c:pt>
                <c:pt idx="36">
                  <c:v>5.8419290497370741E-2</c:v>
                </c:pt>
                <c:pt idx="37">
                  <c:v>7.4450507660413057E-2</c:v>
                </c:pt>
                <c:pt idx="38">
                  <c:v>7.7611524828462945E-3</c:v>
                </c:pt>
                <c:pt idx="39">
                  <c:v>-0.11117822764037855</c:v>
                </c:pt>
                <c:pt idx="40">
                  <c:v>-5.3233568321716496E-2</c:v>
                </c:pt>
                <c:pt idx="41">
                  <c:v>-1.0504632645085407E-2</c:v>
                </c:pt>
                <c:pt idx="42">
                  <c:v>0.1082044677895577</c:v>
                </c:pt>
                <c:pt idx="43">
                  <c:v>0.17576405128357014</c:v>
                </c:pt>
                <c:pt idx="44">
                  <c:v>3.9492452844799589E-2</c:v>
                </c:pt>
                <c:pt idx="45">
                  <c:v>-3.5245708304487686E-2</c:v>
                </c:pt>
                <c:pt idx="46">
                  <c:v>-6.5448672228586247E-2</c:v>
                </c:pt>
                <c:pt idx="47">
                  <c:v>5.6049628621085722E-2</c:v>
                </c:pt>
                <c:pt idx="48">
                  <c:v>1.1901240989363005E-2</c:v>
                </c:pt>
                <c:pt idx="49">
                  <c:v>-3.4567573301737481E-4</c:v>
                </c:pt>
                <c:pt idx="50">
                  <c:v>-0.10772435564472098</c:v>
                </c:pt>
                <c:pt idx="51">
                  <c:v>-7.2243652608042747E-2</c:v>
                </c:pt>
                <c:pt idx="52">
                  <c:v>-4.659885822570127E-2</c:v>
                </c:pt>
                <c:pt idx="53">
                  <c:v>4.1747578444365434E-2</c:v>
                </c:pt>
                <c:pt idx="54">
                  <c:v>2.4336715147515613E-2</c:v>
                </c:pt>
                <c:pt idx="55">
                  <c:v>-5.963373090890061E-2</c:v>
                </c:pt>
                <c:pt idx="56">
                  <c:v>-2.6293887318060108E-2</c:v>
                </c:pt>
                <c:pt idx="57">
                  <c:v>-1.8822468793907199E-2</c:v>
                </c:pt>
                <c:pt idx="58">
                  <c:v>2.7664139564317371E-2</c:v>
                </c:pt>
                <c:pt idx="59">
                  <c:v>3.1537883514600733E-2</c:v>
                </c:pt>
              </c:numCache>
            </c:numRef>
          </c:val>
          <c:smooth val="0"/>
          <c:extLst>
            <c:ext xmlns:c16="http://schemas.microsoft.com/office/drawing/2014/chart" uri="{C3380CC4-5D6E-409C-BE32-E72D297353CC}">
              <c16:uniqueId val="{00000000-59C2-4010-AEB5-86049FA7BB02}"/>
            </c:ext>
          </c:extLst>
        </c:ser>
        <c:ser>
          <c:idx val="1"/>
          <c:order val="1"/>
          <c:tx>
            <c:strRef>
              <c:f>RawPrice_Monthly!$L$3</c:f>
              <c:strCache>
                <c:ptCount val="1"/>
                <c:pt idx="0">
                  <c:v>Sensex Return</c:v>
                </c:pt>
              </c:strCache>
            </c:strRef>
          </c:tx>
          <c:spPr>
            <a:ln w="28575" cap="rnd">
              <a:solidFill>
                <a:srgbClr val="E3008C"/>
              </a:solidFill>
              <a:round/>
            </a:ln>
            <a:effectLst/>
          </c:spPr>
          <c:marker>
            <c:symbol val="none"/>
          </c:marker>
          <c:cat>
            <c:numRef>
              <c:f>RawPrice_Monthly!$H$4:$H$64</c:f>
              <c:numCache>
                <c:formatCode>m/d/yyyy</c:formatCode>
                <c:ptCount val="61"/>
                <c:pt idx="0">
                  <c:v>44136</c:v>
                </c:pt>
                <c:pt idx="1">
                  <c:v>44166</c:v>
                </c:pt>
                <c:pt idx="2">
                  <c:v>44197</c:v>
                </c:pt>
                <c:pt idx="3">
                  <c:v>44228</c:v>
                </c:pt>
                <c:pt idx="4">
                  <c:v>44256</c:v>
                </c:pt>
                <c:pt idx="5">
                  <c:v>44287</c:v>
                </c:pt>
                <c:pt idx="6">
                  <c:v>44317</c:v>
                </c:pt>
                <c:pt idx="7">
                  <c:v>44348</c:v>
                </c:pt>
                <c:pt idx="8">
                  <c:v>44378</c:v>
                </c:pt>
                <c:pt idx="9">
                  <c:v>44409</c:v>
                </c:pt>
                <c:pt idx="10">
                  <c:v>44440</c:v>
                </c:pt>
                <c:pt idx="11">
                  <c:v>44470</c:v>
                </c:pt>
                <c:pt idx="12">
                  <c:v>44501</c:v>
                </c:pt>
                <c:pt idx="13">
                  <c:v>44531</c:v>
                </c:pt>
                <c:pt idx="14">
                  <c:v>44562</c:v>
                </c:pt>
                <c:pt idx="15">
                  <c:v>44593</c:v>
                </c:pt>
                <c:pt idx="16">
                  <c:v>44621</c:v>
                </c:pt>
                <c:pt idx="17">
                  <c:v>44652</c:v>
                </c:pt>
                <c:pt idx="18">
                  <c:v>44682</c:v>
                </c:pt>
                <c:pt idx="19">
                  <c:v>44713</c:v>
                </c:pt>
                <c:pt idx="20">
                  <c:v>44743</c:v>
                </c:pt>
                <c:pt idx="21">
                  <c:v>44774</c:v>
                </c:pt>
                <c:pt idx="22">
                  <c:v>44805</c:v>
                </c:pt>
                <c:pt idx="23">
                  <c:v>44835</c:v>
                </c:pt>
                <c:pt idx="24">
                  <c:v>44866</c:v>
                </c:pt>
                <c:pt idx="25">
                  <c:v>44896</c:v>
                </c:pt>
                <c:pt idx="26">
                  <c:v>44927</c:v>
                </c:pt>
                <c:pt idx="27">
                  <c:v>44958</c:v>
                </c:pt>
                <c:pt idx="28">
                  <c:v>44986</c:v>
                </c:pt>
                <c:pt idx="29">
                  <c:v>45017</c:v>
                </c:pt>
                <c:pt idx="30">
                  <c:v>45047</c:v>
                </c:pt>
                <c:pt idx="31">
                  <c:v>45078</c:v>
                </c:pt>
                <c:pt idx="32">
                  <c:v>45108</c:v>
                </c:pt>
                <c:pt idx="33">
                  <c:v>45139</c:v>
                </c:pt>
                <c:pt idx="34">
                  <c:v>45170</c:v>
                </c:pt>
                <c:pt idx="35">
                  <c:v>45200</c:v>
                </c:pt>
                <c:pt idx="36">
                  <c:v>45231</c:v>
                </c:pt>
                <c:pt idx="37">
                  <c:v>45261</c:v>
                </c:pt>
                <c:pt idx="38">
                  <c:v>45292</c:v>
                </c:pt>
                <c:pt idx="39">
                  <c:v>45323</c:v>
                </c:pt>
                <c:pt idx="40">
                  <c:v>45352</c:v>
                </c:pt>
                <c:pt idx="41">
                  <c:v>45383</c:v>
                </c:pt>
                <c:pt idx="42">
                  <c:v>45413</c:v>
                </c:pt>
                <c:pt idx="43">
                  <c:v>45444</c:v>
                </c:pt>
                <c:pt idx="44">
                  <c:v>45474</c:v>
                </c:pt>
                <c:pt idx="45">
                  <c:v>45505</c:v>
                </c:pt>
                <c:pt idx="46">
                  <c:v>45536</c:v>
                </c:pt>
                <c:pt idx="47">
                  <c:v>45566</c:v>
                </c:pt>
                <c:pt idx="48">
                  <c:v>45597</c:v>
                </c:pt>
                <c:pt idx="49">
                  <c:v>45627</c:v>
                </c:pt>
                <c:pt idx="50">
                  <c:v>45658</c:v>
                </c:pt>
                <c:pt idx="51">
                  <c:v>45689</c:v>
                </c:pt>
                <c:pt idx="52">
                  <c:v>45717</c:v>
                </c:pt>
                <c:pt idx="53">
                  <c:v>45748</c:v>
                </c:pt>
                <c:pt idx="54">
                  <c:v>45778</c:v>
                </c:pt>
                <c:pt idx="55">
                  <c:v>45809</c:v>
                </c:pt>
                <c:pt idx="56">
                  <c:v>45839</c:v>
                </c:pt>
                <c:pt idx="57">
                  <c:v>45870</c:v>
                </c:pt>
                <c:pt idx="58">
                  <c:v>45901</c:v>
                </c:pt>
                <c:pt idx="59">
                  <c:v>45931</c:v>
                </c:pt>
                <c:pt idx="60">
                  <c:v>45962</c:v>
                </c:pt>
              </c:numCache>
            </c:numRef>
          </c:cat>
          <c:val>
            <c:numRef>
              <c:f>RawPrice_Monthly!$L$4:$L$63</c:f>
              <c:numCache>
                <c:formatCode>0.00%</c:formatCode>
                <c:ptCount val="60"/>
                <c:pt idx="0">
                  <c:v>7.8420334927978397E-2</c:v>
                </c:pt>
                <c:pt idx="1">
                  <c:v>-3.1172349501986572E-2</c:v>
                </c:pt>
                <c:pt idx="2">
                  <c:v>5.9024260694471163E-2</c:v>
                </c:pt>
                <c:pt idx="3">
                  <c:v>8.2986698426506366E-3</c:v>
                </c:pt>
                <c:pt idx="4">
                  <c:v>-1.4788728875835783E-2</c:v>
                </c:pt>
                <c:pt idx="5">
                  <c:v>6.2671145279061508E-2</c:v>
                </c:pt>
                <c:pt idx="6">
                  <c:v>1.044386464177028E-2</c:v>
                </c:pt>
                <c:pt idx="7">
                  <c:v>1.9821163047147997E-3</c:v>
                </c:pt>
                <c:pt idx="8">
                  <c:v>9.0229765083880378E-2</c:v>
                </c:pt>
                <c:pt idx="9">
                  <c:v>2.6981185251009142E-2</c:v>
                </c:pt>
                <c:pt idx="10">
                  <c:v>3.0493139203745284E-3</c:v>
                </c:pt>
                <c:pt idx="11">
                  <c:v>-3.8537471683040066E-2</c:v>
                </c:pt>
                <c:pt idx="12">
                  <c:v>2.0620978795664852E-2</c:v>
                </c:pt>
                <c:pt idx="13">
                  <c:v>-4.1223786423822866E-3</c:v>
                </c:pt>
                <c:pt idx="14">
                  <c:v>-3.092960669252813E-2</c:v>
                </c:pt>
                <c:pt idx="15">
                  <c:v>4.0439495773421867E-2</c:v>
                </c:pt>
                <c:pt idx="16">
                  <c:v>-2.6078587355803259E-2</c:v>
                </c:pt>
                <c:pt idx="17">
                  <c:v>-2.6539710775639064E-2</c:v>
                </c:pt>
                <c:pt idx="18">
                  <c:v>-4.6929673796435291E-2</c:v>
                </c:pt>
                <c:pt idx="19">
                  <c:v>8.2356733012455843E-2</c:v>
                </c:pt>
                <c:pt idx="20">
                  <c:v>3.3593202544228998E-2</c:v>
                </c:pt>
                <c:pt idx="21">
                  <c:v>-3.6085960830701286E-2</c:v>
                </c:pt>
                <c:pt idx="22">
                  <c:v>5.6197766026638681E-2</c:v>
                </c:pt>
                <c:pt idx="23">
                  <c:v>3.8004273822622829E-2</c:v>
                </c:pt>
                <c:pt idx="24">
                  <c:v>-3.6455592412848278E-2</c:v>
                </c:pt>
                <c:pt idx="25">
                  <c:v>-2.1445013828973288E-2</c:v>
                </c:pt>
                <c:pt idx="26">
                  <c:v>-9.9194127233825542E-3</c:v>
                </c:pt>
                <c:pt idx="27">
                  <c:v>4.9850094679280998E-4</c:v>
                </c:pt>
                <c:pt idx="28">
                  <c:v>3.5321741346229396E-2</c:v>
                </c:pt>
                <c:pt idx="29">
                  <c:v>2.4405040469134852E-2</c:v>
                </c:pt>
                <c:pt idx="30">
                  <c:v>3.2927536234183027E-2</c:v>
                </c:pt>
                <c:pt idx="31">
                  <c:v>2.7569928534107949E-2</c:v>
                </c:pt>
                <c:pt idx="32">
                  <c:v>-2.5827743205255813E-2</c:v>
                </c:pt>
                <c:pt idx="33">
                  <c:v>1.5261299925833091E-2</c:v>
                </c:pt>
                <c:pt idx="34">
                  <c:v>-3.0124555433559918E-2</c:v>
                </c:pt>
                <c:pt idx="35">
                  <c:v>4.7593114558401692E-2</c:v>
                </c:pt>
                <c:pt idx="36">
                  <c:v>7.5477441025058684E-2</c:v>
                </c:pt>
                <c:pt idx="37">
                  <c:v>-6.7802463434785704E-3</c:v>
                </c:pt>
                <c:pt idx="38">
                  <c:v>1.0373437910263655E-2</c:v>
                </c:pt>
                <c:pt idx="39">
                  <c:v>1.5751772896445967E-2</c:v>
                </c:pt>
                <c:pt idx="40">
                  <c:v>1.1225485049184242E-2</c:v>
                </c:pt>
                <c:pt idx="41">
                  <c:v>-7.0258390897624638E-3</c:v>
                </c:pt>
                <c:pt idx="42">
                  <c:v>6.6319951825398904E-2</c:v>
                </c:pt>
                <c:pt idx="43">
                  <c:v>3.3697800980014361E-2</c:v>
                </c:pt>
                <c:pt idx="44">
                  <c:v>7.6100665419577039E-3</c:v>
                </c:pt>
                <c:pt idx="45">
                  <c:v>2.3209317290898722E-2</c:v>
                </c:pt>
                <c:pt idx="46">
                  <c:v>-6.0018679892465641E-2</c:v>
                </c:pt>
                <c:pt idx="47">
                  <c:v>5.1978908658334511E-3</c:v>
                </c:pt>
                <c:pt idx="48">
                  <c:v>-2.1069046271385661E-2</c:v>
                </c:pt>
                <c:pt idx="49">
                  <c:v>-8.2041288082573289E-3</c:v>
                </c:pt>
                <c:pt idx="50">
                  <c:v>-5.7115826824721654E-2</c:v>
                </c:pt>
                <c:pt idx="51">
                  <c:v>5.6010062530561719E-2</c:v>
                </c:pt>
                <c:pt idx="52">
                  <c:v>3.5870532638470627E-2</c:v>
                </c:pt>
                <c:pt idx="53">
                  <c:v>1.4951675701445904E-2</c:v>
                </c:pt>
                <c:pt idx="54">
                  <c:v>2.6119054615824297E-2</c:v>
                </c:pt>
                <c:pt idx="55">
                  <c:v>-2.9383144642107083E-2</c:v>
                </c:pt>
                <c:pt idx="56">
                  <c:v>-1.7093220727498189E-2</c:v>
                </c:pt>
                <c:pt idx="57">
                  <c:v>5.7218773094962309E-3</c:v>
                </c:pt>
                <c:pt idx="58">
                  <c:v>4.4720587894832166E-2</c:v>
                </c:pt>
                <c:pt idx="59">
                  <c:v>7.6938190562092432E-3</c:v>
                </c:pt>
              </c:numCache>
            </c:numRef>
          </c:val>
          <c:smooth val="0"/>
          <c:extLst>
            <c:ext xmlns:c16="http://schemas.microsoft.com/office/drawing/2014/chart" uri="{C3380CC4-5D6E-409C-BE32-E72D297353CC}">
              <c16:uniqueId val="{00000001-59C2-4010-AEB5-86049FA7BB02}"/>
            </c:ext>
          </c:extLst>
        </c:ser>
        <c:dLbls>
          <c:showLegendKey val="0"/>
          <c:showVal val="0"/>
          <c:showCatName val="0"/>
          <c:showSerName val="0"/>
          <c:showPercent val="0"/>
          <c:showBubbleSize val="0"/>
        </c:dLbls>
        <c:smooth val="0"/>
        <c:axId val="296510472"/>
        <c:axId val="296512520"/>
      </c:lineChart>
      <c:dateAx>
        <c:axId val="296510472"/>
        <c:scaling>
          <c:orientation val="minMax"/>
        </c:scaling>
        <c:delete val="0"/>
        <c:axPos val="b"/>
        <c:numFmt formatCode="m/d/yyyy" sourceLinked="1"/>
        <c:majorTickMark val="none"/>
        <c:minorTickMark val="none"/>
        <c:tickLblPos val="low"/>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512520"/>
        <c:crosses val="autoZero"/>
        <c:auto val="1"/>
        <c:lblOffset val="100"/>
        <c:baseTimeUnit val="months"/>
      </c:dateAx>
      <c:valAx>
        <c:axId val="2965125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510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Ratio_Analysis!$A$6</c:f>
              <c:strCache>
                <c:ptCount val="1"/>
                <c:pt idx="0">
                  <c:v>EBIT Margin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Ratio_Analysis!$B$2:$F$2</c:f>
              <c:numCache>
                <c:formatCode>General</c:formatCode>
                <c:ptCount val="5"/>
                <c:pt idx="0">
                  <c:v>2025</c:v>
                </c:pt>
                <c:pt idx="1">
                  <c:v>2024</c:v>
                </c:pt>
                <c:pt idx="2">
                  <c:v>2023</c:v>
                </c:pt>
                <c:pt idx="3">
                  <c:v>2022</c:v>
                </c:pt>
                <c:pt idx="4">
                  <c:v>2021</c:v>
                </c:pt>
              </c:numCache>
            </c:numRef>
          </c:cat>
          <c:val>
            <c:numRef>
              <c:f>Ratio_Analysis!$B$6:$F$6</c:f>
              <c:numCache>
                <c:formatCode>0.00%</c:formatCode>
                <c:ptCount val="5"/>
                <c:pt idx="0">
                  <c:v>0.22575184584909058</c:v>
                </c:pt>
                <c:pt idx="1">
                  <c:v>0.2272242251280141</c:v>
                </c:pt>
                <c:pt idx="2">
                  <c:v>0.22293735113870528</c:v>
                </c:pt>
                <c:pt idx="3">
                  <c:v>0.24294797314743094</c:v>
                </c:pt>
                <c:pt idx="4">
                  <c:v>0.25934763764572966</c:v>
                </c:pt>
              </c:numCache>
            </c:numRef>
          </c:val>
          <c:smooth val="1"/>
          <c:extLst>
            <c:ext xmlns:c16="http://schemas.microsoft.com/office/drawing/2014/chart" uri="{C3380CC4-5D6E-409C-BE32-E72D297353CC}">
              <c16:uniqueId val="{00000000-0CC6-49F2-A8FE-DC92B34264A0}"/>
            </c:ext>
          </c:extLst>
        </c:ser>
        <c:dLbls>
          <c:dLblPos val="t"/>
          <c:showLegendKey val="0"/>
          <c:showVal val="1"/>
          <c:showCatName val="0"/>
          <c:showSerName val="0"/>
          <c:showPercent val="0"/>
          <c:showBubbleSize val="0"/>
        </c:dLbls>
        <c:smooth val="0"/>
        <c:axId val="1104825359"/>
        <c:axId val="1104841679"/>
      </c:lineChart>
      <c:catAx>
        <c:axId val="11048253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841679"/>
        <c:crosses val="autoZero"/>
        <c:auto val="1"/>
        <c:lblAlgn val="ctr"/>
        <c:lblOffset val="100"/>
        <c:noMultiLvlLbl val="0"/>
      </c:catAx>
      <c:valAx>
        <c:axId val="110484167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825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Ratio_Analysis!$A$5</c:f>
              <c:strCache>
                <c:ptCount val="1"/>
                <c:pt idx="0">
                  <c:v>Return on Equity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Ratio_Analysis!$B$2:$F$2</c:f>
              <c:numCache>
                <c:formatCode>General</c:formatCode>
                <c:ptCount val="5"/>
                <c:pt idx="0">
                  <c:v>2025</c:v>
                </c:pt>
                <c:pt idx="1">
                  <c:v>2024</c:v>
                </c:pt>
                <c:pt idx="2">
                  <c:v>2023</c:v>
                </c:pt>
                <c:pt idx="3">
                  <c:v>2022</c:v>
                </c:pt>
                <c:pt idx="4">
                  <c:v>2021</c:v>
                </c:pt>
              </c:numCache>
            </c:numRef>
          </c:cat>
          <c:val>
            <c:numRef>
              <c:f>Ratio_Analysis!$B$5:$F$5</c:f>
              <c:numCache>
                <c:formatCode>0.00%</c:formatCode>
                <c:ptCount val="5"/>
                <c:pt idx="0">
                  <c:v>0.2780578568235918</c:v>
                </c:pt>
                <c:pt idx="1">
                  <c:v>0.40682334588123581</c:v>
                </c:pt>
                <c:pt idx="2">
                  <c:v>0.43963322118873277</c:v>
                </c:pt>
                <c:pt idx="3">
                  <c:v>0.39756522657652899</c:v>
                </c:pt>
                <c:pt idx="4">
                  <c:v>0.34680003125732595</c:v>
                </c:pt>
              </c:numCache>
            </c:numRef>
          </c:val>
          <c:smooth val="1"/>
          <c:extLst>
            <c:ext xmlns:c16="http://schemas.microsoft.com/office/drawing/2014/chart" uri="{C3380CC4-5D6E-409C-BE32-E72D297353CC}">
              <c16:uniqueId val="{00000000-4399-4CE8-8D43-4BC1914AB0A1}"/>
            </c:ext>
          </c:extLst>
        </c:ser>
        <c:dLbls>
          <c:dLblPos val="t"/>
          <c:showLegendKey val="0"/>
          <c:showVal val="1"/>
          <c:showCatName val="0"/>
          <c:showSerName val="0"/>
          <c:showPercent val="0"/>
          <c:showBubbleSize val="0"/>
        </c:dLbls>
        <c:smooth val="0"/>
        <c:axId val="1104851759"/>
        <c:axId val="1104841199"/>
      </c:lineChart>
      <c:catAx>
        <c:axId val="11048517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841199"/>
        <c:crosses val="autoZero"/>
        <c:auto val="1"/>
        <c:lblAlgn val="ctr"/>
        <c:lblOffset val="100"/>
        <c:noMultiLvlLbl val="0"/>
      </c:catAx>
      <c:valAx>
        <c:axId val="110484119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851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Regression Line Representing Beta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Beta_Calculations!$I$11</c:f>
              <c:strCache>
                <c:ptCount val="1"/>
                <c:pt idx="0">
                  <c:v>B (Beta)</c:v>
                </c:pt>
              </c:strCache>
            </c:strRef>
          </c:tx>
          <c:spPr>
            <a:ln w="25400" cap="rnd">
              <a:noFill/>
              <a:round/>
            </a:ln>
            <a:effectLst/>
          </c:spPr>
          <c:marker>
            <c:symbol val="circle"/>
            <c:size val="5"/>
            <c:spPr>
              <a:solidFill>
                <a:srgbClr val="637CEF"/>
              </a:solidFill>
              <a:ln w="9525">
                <a:solidFill>
                  <a:srgbClr val="637CEF"/>
                </a:solidFill>
              </a:ln>
              <a:effectLst/>
            </c:spPr>
          </c:marker>
          <c:trendline>
            <c:spPr>
              <a:ln w="19050" cap="rnd">
                <a:solidFill>
                  <a:srgbClr val="637CEF"/>
                </a:solidFill>
                <a:prstDash val="sysDot"/>
              </a:ln>
              <a:effectLst/>
            </c:spPr>
            <c:trendlineType val="linear"/>
            <c:dispRSqr val="1"/>
            <c:dispEq val="1"/>
            <c:trendlineLbl>
              <c:layout>
                <c:manualLayout>
                  <c:x val="0.1469009186351706"/>
                  <c:y val="0.478847331583552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Beta_Calculations!$H$12:$H$17</c:f>
              <c:strCache>
                <c:ptCount val="6"/>
                <c:pt idx="0">
                  <c:v>5 years - Daily</c:v>
                </c:pt>
                <c:pt idx="1">
                  <c:v>10 years - Daily</c:v>
                </c:pt>
                <c:pt idx="2">
                  <c:v>5 years - Weekly</c:v>
                </c:pt>
                <c:pt idx="3">
                  <c:v>10 years - Weekly</c:v>
                </c:pt>
                <c:pt idx="4">
                  <c:v>5 years - Monhtly</c:v>
                </c:pt>
                <c:pt idx="5">
                  <c:v>10 years - Monthly</c:v>
                </c:pt>
              </c:strCache>
            </c:strRef>
          </c:xVal>
          <c:yVal>
            <c:numRef>
              <c:f>Beta_Calculations!$I$12:$I$17</c:f>
              <c:numCache>
                <c:formatCode>General</c:formatCode>
                <c:ptCount val="6"/>
                <c:pt idx="0">
                  <c:v>0.96900415318599242</c:v>
                </c:pt>
                <c:pt idx="1">
                  <c:v>-4.3684183821273087E-3</c:v>
                </c:pt>
                <c:pt idx="2">
                  <c:v>-4.2086233061497509E-2</c:v>
                </c:pt>
                <c:pt idx="3">
                  <c:v>1.7434808525026123E-2</c:v>
                </c:pt>
                <c:pt idx="4">
                  <c:v>0.90217394691295139</c:v>
                </c:pt>
                <c:pt idx="5">
                  <c:v>0.86302424657033872</c:v>
                </c:pt>
              </c:numCache>
            </c:numRef>
          </c:yVal>
          <c:smooth val="0"/>
          <c:extLst>
            <c:ext xmlns:c16="http://schemas.microsoft.com/office/drawing/2014/chart" uri="{C3380CC4-5D6E-409C-BE32-E72D297353CC}">
              <c16:uniqueId val="{00000001-875A-4838-B432-588BEFFCE178}"/>
            </c:ext>
          </c:extLst>
        </c:ser>
        <c:dLbls>
          <c:showLegendKey val="0"/>
          <c:showVal val="0"/>
          <c:showCatName val="0"/>
          <c:showSerName val="0"/>
          <c:showPercent val="0"/>
          <c:showBubbleSize val="0"/>
        </c:dLbls>
        <c:axId val="2146160647"/>
        <c:axId val="1739772936"/>
      </c:scatterChart>
      <c:valAx>
        <c:axId val="2146160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772936"/>
        <c:crosses val="autoZero"/>
        <c:crossBetween val="midCat"/>
      </c:valAx>
      <c:valAx>
        <c:axId val="1739772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1606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u="sng"/>
              <a:t>YoY Revenue Growth</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Ratio_Analysis!$A$25</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Ratio_Analysis!$B$2:$F$2</c:f>
              <c:numCache>
                <c:formatCode>General</c:formatCode>
                <c:ptCount val="5"/>
                <c:pt idx="0">
                  <c:v>2025</c:v>
                </c:pt>
                <c:pt idx="1">
                  <c:v>2024</c:v>
                </c:pt>
                <c:pt idx="2">
                  <c:v>2023</c:v>
                </c:pt>
                <c:pt idx="3">
                  <c:v>2022</c:v>
                </c:pt>
                <c:pt idx="4">
                  <c:v>2021</c:v>
                </c:pt>
              </c:numCache>
            </c:numRef>
          </c:cat>
          <c:val>
            <c:numRef>
              <c:f>Ratio_Analysis!$B$25:$F$25</c:f>
              <c:numCache>
                <c:formatCode>0.00%</c:formatCode>
                <c:ptCount val="5"/>
                <c:pt idx="0">
                  <c:v>5.1830712017224286E-2</c:v>
                </c:pt>
                <c:pt idx="1">
                  <c:v>5.963149302860813E-2</c:v>
                </c:pt>
                <c:pt idx="2">
                  <c:v>0.20600955331784146</c:v>
                </c:pt>
                <c:pt idx="3">
                  <c:v>0.20709436755524821</c:v>
                </c:pt>
                <c:pt idx="4">
                  <c:v>9.700408145821314E-2</c:v>
                </c:pt>
              </c:numCache>
            </c:numRef>
          </c:val>
          <c:smooth val="1"/>
          <c:extLst>
            <c:ext xmlns:c16="http://schemas.microsoft.com/office/drawing/2014/chart" uri="{C3380CC4-5D6E-409C-BE32-E72D297353CC}">
              <c16:uniqueId val="{00000000-6E05-4A7A-8B95-0454B1272978}"/>
            </c:ext>
          </c:extLst>
        </c:ser>
        <c:dLbls>
          <c:dLblPos val="t"/>
          <c:showLegendKey val="0"/>
          <c:showVal val="1"/>
          <c:showCatName val="0"/>
          <c:showSerName val="0"/>
          <c:showPercent val="0"/>
          <c:showBubbleSize val="0"/>
        </c:dLbls>
        <c:smooth val="0"/>
        <c:axId val="2137068959"/>
        <c:axId val="2137061759"/>
      </c:lineChart>
      <c:catAx>
        <c:axId val="21370689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61759"/>
        <c:crosses val="autoZero"/>
        <c:auto val="1"/>
        <c:lblAlgn val="ctr"/>
        <c:lblOffset val="100"/>
        <c:noMultiLvlLbl val="0"/>
      </c:catAx>
      <c:valAx>
        <c:axId val="213706175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68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Dividend per Share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Dividend per Share </a:t>
          </a:r>
        </a:p>
      </cx:txPr>
    </cx:title>
    <cx:plotArea>
      <cx:plotAreaRegion>
        <cx:series layoutId="funnel" uniqueId="{44933DCB-7CEF-4088-BABE-06E6012DDAE7}">
          <cx:tx>
            <cx:txData>
              <cx:f>_xlchart.v2.1</cx:f>
              <cx:v>Dividend (per share)</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1074420</xdr:colOff>
      <xdr:row>0</xdr:row>
      <xdr:rowOff>36195</xdr:rowOff>
    </xdr:from>
    <xdr:to>
      <xdr:col>11</xdr:col>
      <xdr:colOff>996833</xdr:colOff>
      <xdr:row>3</xdr:row>
      <xdr:rowOff>129540</xdr:rowOff>
    </xdr:to>
    <xdr:pic>
      <xdr:nvPicPr>
        <xdr:cNvPr id="4" name="Picture 1" descr="Infosys Case Study | LinkedIn Sales ...">
          <a:extLst>
            <a:ext uri="{FF2B5EF4-FFF2-40B4-BE49-F238E27FC236}">
              <a16:creationId xmlns:a16="http://schemas.microsoft.com/office/drawing/2014/main" id="{B30554B4-8F94-2C93-8B3B-8FA0FEBF5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1295" y="36195"/>
          <a:ext cx="1389263" cy="664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4</xdr:row>
      <xdr:rowOff>123825</xdr:rowOff>
    </xdr:from>
    <xdr:to>
      <xdr:col>13</xdr:col>
      <xdr:colOff>9525</xdr:colOff>
      <xdr:row>17</xdr:row>
      <xdr:rowOff>76200</xdr:rowOff>
    </xdr:to>
    <xdr:pic>
      <xdr:nvPicPr>
        <xdr:cNvPr id="2" name="Picture 1">
          <a:extLst>
            <a:ext uri="{FF2B5EF4-FFF2-40B4-BE49-F238E27FC236}">
              <a16:creationId xmlns:a16="http://schemas.microsoft.com/office/drawing/2014/main" id="{A1542F40-9685-964D-7822-5F04CB90E479}"/>
            </a:ext>
            <a:ext uri="{147F2762-F138-4A5C-976F-8EAC2B608ADB}">
              <a16:predDERef xmlns:a16="http://schemas.microsoft.com/office/drawing/2014/main" pred="{B30554B4-8F94-2C93-8B3B-8FA0FEBF530E}"/>
            </a:ext>
          </a:extLst>
        </xdr:cNvPr>
        <xdr:cNvPicPr>
          <a:picLocks noChangeAspect="1"/>
        </xdr:cNvPicPr>
      </xdr:nvPicPr>
      <xdr:blipFill>
        <a:blip xmlns:r="http://schemas.openxmlformats.org/officeDocument/2006/relationships" r:embed="rId2"/>
        <a:stretch>
          <a:fillRect/>
        </a:stretch>
      </xdr:blipFill>
      <xdr:spPr>
        <a:xfrm>
          <a:off x="7648575" y="885825"/>
          <a:ext cx="4162425" cy="2362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1104900</xdr:colOff>
      <xdr:row>39</xdr:row>
      <xdr:rowOff>47625</xdr:rowOff>
    </xdr:from>
    <xdr:to>
      <xdr:col>17</xdr:col>
      <xdr:colOff>485775</xdr:colOff>
      <xdr:row>56</xdr:row>
      <xdr:rowOff>38100</xdr:rowOff>
    </xdr:to>
    <xdr:graphicFrame macro="">
      <xdr:nvGraphicFramePr>
        <xdr:cNvPr id="17" name="Chart 1">
          <a:extLst>
            <a:ext uri="{FF2B5EF4-FFF2-40B4-BE49-F238E27FC236}">
              <a16:creationId xmlns:a16="http://schemas.microsoft.com/office/drawing/2014/main" id="{A704C98D-5337-4457-8D63-39F790326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698500</xdr:colOff>
      <xdr:row>4</xdr:row>
      <xdr:rowOff>49143</xdr:rowOff>
    </xdr:from>
    <xdr:to>
      <xdr:col>17</xdr:col>
      <xdr:colOff>482600</xdr:colOff>
      <xdr:row>23</xdr:row>
      <xdr:rowOff>101600</xdr:rowOff>
    </xdr:to>
    <xdr:graphicFrame macro="">
      <xdr:nvGraphicFramePr>
        <xdr:cNvPr id="3" name="Chart 4">
          <a:extLst>
            <a:ext uri="{FF2B5EF4-FFF2-40B4-BE49-F238E27FC236}">
              <a16:creationId xmlns:a16="http://schemas.microsoft.com/office/drawing/2014/main" id="{5FD084CC-FF20-4AAA-824C-8928904D5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698500</xdr:colOff>
      <xdr:row>23</xdr:row>
      <xdr:rowOff>105832</xdr:rowOff>
    </xdr:from>
    <xdr:to>
      <xdr:col>6</xdr:col>
      <xdr:colOff>304800</xdr:colOff>
      <xdr:row>39</xdr:row>
      <xdr:rowOff>12699</xdr:rowOff>
    </xdr:to>
    <xdr:graphicFrame macro="">
      <xdr:nvGraphicFramePr>
        <xdr:cNvPr id="4" name="Chart 6">
          <a:extLst>
            <a:ext uri="{FF2B5EF4-FFF2-40B4-BE49-F238E27FC236}">
              <a16:creationId xmlns:a16="http://schemas.microsoft.com/office/drawing/2014/main" id="{23CD75E8-22D4-462D-93D6-8AF12736E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355600</xdr:colOff>
      <xdr:row>23</xdr:row>
      <xdr:rowOff>114302</xdr:rowOff>
    </xdr:from>
    <xdr:to>
      <xdr:col>11</xdr:col>
      <xdr:colOff>1079500</xdr:colOff>
      <xdr:row>39</xdr:row>
      <xdr:rowOff>12700</xdr:rowOff>
    </xdr:to>
    <xdr:graphicFrame macro="">
      <xdr:nvGraphicFramePr>
        <xdr:cNvPr id="5" name="Chart 7">
          <a:extLst>
            <a:ext uri="{FF2B5EF4-FFF2-40B4-BE49-F238E27FC236}">
              <a16:creationId xmlns:a16="http://schemas.microsoft.com/office/drawing/2014/main" id="{CF5E15BE-2125-4DD2-BEE8-48A4F8149144}"/>
            </a:ext>
            <a:ext uri="{147F2762-F138-4A5C-976F-8EAC2B608ADB}">
              <a16:predDERef xmlns:a16="http://schemas.microsoft.com/office/drawing/2014/main" pred="{BC35B2EE-53DA-CAA8-7F74-E946D92EF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695325</xdr:colOff>
      <xdr:row>39</xdr:row>
      <xdr:rowOff>47625</xdr:rowOff>
    </xdr:from>
    <xdr:to>
      <xdr:col>6</xdr:col>
      <xdr:colOff>304800</xdr:colOff>
      <xdr:row>56</xdr:row>
      <xdr:rowOff>19050</xdr:rowOff>
    </xdr:to>
    <mc:AlternateContent xmlns:mc="http://schemas.openxmlformats.org/markup-compatibility/2006">
      <mc:Choice xmlns:cx2="http://schemas.microsoft.com/office/drawing/2015/10/21/chartex" Requires="cx2">
        <xdr:graphicFrame macro="">
          <xdr:nvGraphicFramePr>
            <xdr:cNvPr id="20" name="Chart 6">
              <a:extLst>
                <a:ext uri="{FF2B5EF4-FFF2-40B4-BE49-F238E27FC236}">
                  <a16:creationId xmlns:a16="http://schemas.microsoft.com/office/drawing/2014/main" id="{56E58253-5A2A-408A-8968-F2EC2A771CEC}"/>
                </a:ext>
                <a:ext uri="{147F2762-F138-4A5C-976F-8EAC2B608ADB}">
                  <a16:predDERef xmlns:a16="http://schemas.microsoft.com/office/drawing/2014/main" pred="{CF5E15BE-2125-4DD2-BEE8-48A4F81491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5325" y="7179945"/>
              <a:ext cx="6467475" cy="30803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352425</xdr:colOff>
      <xdr:row>39</xdr:row>
      <xdr:rowOff>38100</xdr:rowOff>
    </xdr:from>
    <xdr:to>
      <xdr:col>11</xdr:col>
      <xdr:colOff>1076325</xdr:colOff>
      <xdr:row>56</xdr:row>
      <xdr:rowOff>28575</xdr:rowOff>
    </xdr:to>
    <xdr:graphicFrame macro="">
      <xdr:nvGraphicFramePr>
        <xdr:cNvPr id="12" name="Chart 2">
          <a:extLst>
            <a:ext uri="{FF2B5EF4-FFF2-40B4-BE49-F238E27FC236}">
              <a16:creationId xmlns:a16="http://schemas.microsoft.com/office/drawing/2014/main" id="{8C2FFE14-A118-4E84-B163-53A4EBACCCCD}"/>
            </a:ext>
            <a:ext uri="{147F2762-F138-4A5C-976F-8EAC2B608ADB}">
              <a16:predDERef xmlns:a16="http://schemas.microsoft.com/office/drawing/2014/main" pred="{56E58253-5A2A-408A-8968-F2EC2A771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1132950</xdr:colOff>
      <xdr:row>0</xdr:row>
      <xdr:rowOff>86995</xdr:rowOff>
    </xdr:from>
    <xdr:to>
      <xdr:col>15</xdr:col>
      <xdr:colOff>283645</xdr:colOff>
      <xdr:row>4</xdr:row>
      <xdr:rowOff>2540</xdr:rowOff>
    </xdr:to>
    <xdr:pic>
      <xdr:nvPicPr>
        <xdr:cNvPr id="9" name="Picture 1" descr="Infosys Case Study | LinkedIn Sales ...">
          <a:extLst>
            <a:ext uri="{FF2B5EF4-FFF2-40B4-BE49-F238E27FC236}">
              <a16:creationId xmlns:a16="http://schemas.microsoft.com/office/drawing/2014/main" id="{83964880-7E3B-4F2B-BF30-7DA0E82DE15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991950" y="86995"/>
          <a:ext cx="1436695" cy="626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1117600</xdr:colOff>
      <xdr:row>23</xdr:row>
      <xdr:rowOff>101600</xdr:rowOff>
    </xdr:from>
    <xdr:to>
      <xdr:col>17</xdr:col>
      <xdr:colOff>495300</xdr:colOff>
      <xdr:row>39</xdr:row>
      <xdr:rowOff>0</xdr:rowOff>
    </xdr:to>
    <xdr:graphicFrame macro="">
      <xdr:nvGraphicFramePr>
        <xdr:cNvPr id="21" name="Chart 9">
          <a:extLst>
            <a:ext uri="{FF2B5EF4-FFF2-40B4-BE49-F238E27FC236}">
              <a16:creationId xmlns:a16="http://schemas.microsoft.com/office/drawing/2014/main" id="{7DF6045A-84E5-427F-B29B-4EA92FE12EC3}"/>
            </a:ext>
            <a:ext uri="{147F2762-F138-4A5C-976F-8EAC2B608ADB}">
              <a16:predDERef xmlns:a16="http://schemas.microsoft.com/office/drawing/2014/main" pred="{83964880-7E3B-4F2B-BF30-7DA0E82DE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228D84-4BBF-493C-AA72-7CDD66193952}" name="Table1" displayName="Table1" ref="A9:B54" totalsRowShown="0" tableBorderDxfId="2">
  <autoFilter ref="A9:B54" xr:uid="{B5228D84-4BBF-493C-AA72-7CDD66193952}"/>
  <tableColumns count="2">
    <tableColumn id="1" xr3:uid="{9A3762E8-8F87-481B-BDCB-BAE5A1001A31}" name="ROLL NO" dataDxfId="1"/>
    <tableColumn id="2" xr3:uid="{EC109419-3516-4A78-A2EB-E77D126DF6EA}" name="GROUP MEMBERS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4"/>
  <sheetViews>
    <sheetView showGridLines="0" tabSelected="1" workbookViewId="0">
      <selection sqref="A1:M4"/>
    </sheetView>
  </sheetViews>
  <sheetFormatPr defaultRowHeight="14.4"/>
  <cols>
    <col min="1" max="1" width="23.109375" customWidth="1"/>
    <col min="2" max="2" width="89.33203125" customWidth="1"/>
    <col min="3" max="3" width="0" hidden="1" customWidth="1"/>
    <col min="4" max="4" width="4" customWidth="1"/>
    <col min="5" max="5" width="0" hidden="1" customWidth="1"/>
    <col min="6" max="6" width="4.5546875" customWidth="1"/>
    <col min="7" max="7" width="0" hidden="1" customWidth="1"/>
    <col min="9" max="9" width="0" hidden="1" customWidth="1"/>
    <col min="11" max="11" width="22" customWidth="1"/>
    <col min="12" max="12" width="15.6640625" customWidth="1"/>
    <col min="13" max="13" width="17.6640625" hidden="1" customWidth="1"/>
  </cols>
  <sheetData>
    <row r="1" spans="1:13">
      <c r="A1" s="149" t="s">
        <v>0</v>
      </c>
      <c r="B1" s="149"/>
      <c r="C1" s="149"/>
      <c r="D1" s="149"/>
      <c r="E1" s="149"/>
      <c r="F1" s="149"/>
      <c r="G1" s="149"/>
      <c r="H1" s="149"/>
      <c r="I1" s="149"/>
      <c r="J1" s="149"/>
      <c r="K1" s="149"/>
      <c r="L1" s="149"/>
      <c r="M1" s="149"/>
    </row>
    <row r="2" spans="1:13">
      <c r="A2" s="149"/>
      <c r="B2" s="149"/>
      <c r="C2" s="149"/>
      <c r="D2" s="149"/>
      <c r="E2" s="149"/>
      <c r="F2" s="149"/>
      <c r="G2" s="149"/>
      <c r="H2" s="149"/>
      <c r="I2" s="149"/>
      <c r="J2" s="149"/>
      <c r="K2" s="149"/>
      <c r="L2" s="149"/>
      <c r="M2" s="149"/>
    </row>
    <row r="3" spans="1:13">
      <c r="A3" s="149"/>
      <c r="B3" s="149"/>
      <c r="C3" s="149"/>
      <c r="D3" s="149"/>
      <c r="E3" s="149"/>
      <c r="F3" s="149"/>
      <c r="G3" s="149"/>
      <c r="H3" s="149"/>
      <c r="I3" s="149"/>
      <c r="J3" s="149"/>
      <c r="K3" s="149"/>
      <c r="L3" s="149"/>
      <c r="M3" s="149"/>
    </row>
    <row r="4" spans="1:13">
      <c r="A4" s="149"/>
      <c r="B4" s="149"/>
      <c r="C4" s="149"/>
      <c r="D4" s="149"/>
      <c r="E4" s="149"/>
      <c r="F4" s="149"/>
      <c r="G4" s="149"/>
      <c r="H4" s="149"/>
      <c r="I4" s="149"/>
      <c r="J4" s="149"/>
      <c r="K4" s="149"/>
      <c r="L4" s="149"/>
      <c r="M4" s="149"/>
    </row>
    <row r="6" spans="1:13">
      <c r="A6" s="67" t="s">
        <v>1</v>
      </c>
      <c r="B6" s="112" t="s">
        <v>2</v>
      </c>
    </row>
    <row r="7" spans="1:13">
      <c r="A7" s="111" t="s">
        <v>3</v>
      </c>
      <c r="B7" s="113" t="s">
        <v>4</v>
      </c>
    </row>
    <row r="9" spans="1:13">
      <c r="A9" s="97" t="s">
        <v>5</v>
      </c>
      <c r="B9" s="96" t="s">
        <v>6</v>
      </c>
    </row>
    <row r="10" spans="1:13">
      <c r="A10" s="94" t="s">
        <v>7</v>
      </c>
      <c r="B10" s="84" t="s">
        <v>8</v>
      </c>
    </row>
    <row r="11" spans="1:13">
      <c r="A11" s="66" t="s">
        <v>9</v>
      </c>
      <c r="B11" s="67" t="s">
        <v>10</v>
      </c>
    </row>
    <row r="12" spans="1:13">
      <c r="A12" s="66" t="s">
        <v>11</v>
      </c>
      <c r="B12" s="67" t="s">
        <v>12</v>
      </c>
    </row>
    <row r="13" spans="1:13">
      <c r="A13" s="66" t="s">
        <v>13</v>
      </c>
      <c r="B13" s="67" t="s">
        <v>14</v>
      </c>
    </row>
    <row r="14" spans="1:13">
      <c r="A14" s="66" t="s">
        <v>15</v>
      </c>
      <c r="B14" s="67" t="s">
        <v>16</v>
      </c>
    </row>
    <row r="15" spans="1:13">
      <c r="A15" s="66" t="s">
        <v>17</v>
      </c>
      <c r="B15" s="67" t="s">
        <v>18</v>
      </c>
    </row>
    <row r="17" spans="1:13">
      <c r="A17" s="80" t="s">
        <v>19</v>
      </c>
      <c r="B17" s="67" t="s">
        <v>20</v>
      </c>
      <c r="J17" s="134"/>
    </row>
    <row r="18" spans="1:13" ht="114.75" customHeight="1">
      <c r="A18" s="98" t="s">
        <v>21</v>
      </c>
      <c r="B18" s="81" t="s">
        <v>22</v>
      </c>
      <c r="C18" s="64"/>
      <c r="D18" s="64"/>
      <c r="E18" s="64"/>
      <c r="F18" s="64"/>
      <c r="G18" s="64"/>
      <c r="H18" s="64"/>
      <c r="I18" s="64"/>
      <c r="J18" s="64"/>
      <c r="K18" s="64"/>
      <c r="L18" s="64"/>
      <c r="M18" s="64"/>
    </row>
    <row r="19" spans="1:13">
      <c r="B19" s="6"/>
    </row>
    <row r="20" spans="1:13">
      <c r="A20" s="99"/>
      <c r="B20" s="87" t="s">
        <v>23</v>
      </c>
    </row>
    <row r="21" spans="1:13">
      <c r="A21" s="100"/>
      <c r="B21" s="88"/>
    </row>
    <row r="22" spans="1:13">
      <c r="A22" s="101" t="s">
        <v>24</v>
      </c>
      <c r="B22" s="88" t="s">
        <v>25</v>
      </c>
    </row>
    <row r="23" spans="1:13" hidden="1">
      <c r="A23" s="100"/>
      <c r="B23" s="82"/>
    </row>
    <row r="24" spans="1:13" ht="31.5" customHeight="1">
      <c r="A24" s="102"/>
      <c r="B24" s="89" t="s">
        <v>26</v>
      </c>
    </row>
    <row r="25" spans="1:13" ht="39" hidden="1" customHeight="1">
      <c r="A25" s="83"/>
      <c r="B25" s="84"/>
    </row>
    <row r="26" spans="1:13" hidden="1">
      <c r="A26" s="83"/>
      <c r="B26" s="84"/>
    </row>
    <row r="28" spans="1:13" ht="15.75" customHeight="1">
      <c r="A28" s="103"/>
      <c r="B28" s="85" t="s">
        <v>27</v>
      </c>
    </row>
    <row r="29" spans="1:13" ht="27" customHeight="1">
      <c r="A29" s="129" t="s">
        <v>28</v>
      </c>
      <c r="B29" s="86" t="s">
        <v>29</v>
      </c>
    </row>
    <row r="30" spans="1:13" ht="27" customHeight="1">
      <c r="A30" s="104"/>
      <c r="B30" s="90" t="s">
        <v>30</v>
      </c>
    </row>
    <row r="32" spans="1:13" ht="22.5" customHeight="1">
      <c r="A32" s="105"/>
      <c r="B32" s="85" t="s">
        <v>31</v>
      </c>
    </row>
    <row r="33" spans="1:2" ht="23.25" customHeight="1">
      <c r="A33" s="106" t="s">
        <v>32</v>
      </c>
      <c r="B33" s="86" t="s">
        <v>33</v>
      </c>
    </row>
    <row r="34" spans="1:2" ht="24" customHeight="1">
      <c r="A34" s="107"/>
      <c r="B34" s="90" t="s">
        <v>34</v>
      </c>
    </row>
    <row r="35" spans="1:2">
      <c r="A35" s="134"/>
    </row>
    <row r="36" spans="1:2" ht="72">
      <c r="A36" s="108" t="s">
        <v>35</v>
      </c>
      <c r="B36" s="92" t="s">
        <v>36</v>
      </c>
    </row>
    <row r="37" spans="1:2">
      <c r="A37" s="134"/>
    </row>
    <row r="38" spans="1:2" ht="72">
      <c r="A38" s="109" t="s">
        <v>37</v>
      </c>
      <c r="B38" s="91" t="s">
        <v>38</v>
      </c>
    </row>
    <row r="39" spans="1:2">
      <c r="A39" s="134"/>
    </row>
    <row r="40" spans="1:2" ht="72">
      <c r="A40" s="109" t="s">
        <v>39</v>
      </c>
      <c r="B40" s="91" t="s">
        <v>40</v>
      </c>
    </row>
    <row r="41" spans="1:2">
      <c r="A41" s="134"/>
    </row>
    <row r="42" spans="1:2" ht="72">
      <c r="A42" s="109" t="s">
        <v>41</v>
      </c>
      <c r="B42" s="93" t="s">
        <v>42</v>
      </c>
    </row>
    <row r="43" spans="1:2">
      <c r="A43" s="134"/>
      <c r="B43" s="6"/>
    </row>
    <row r="44" spans="1:2" ht="72">
      <c r="A44" s="109" t="s">
        <v>43</v>
      </c>
      <c r="B44" s="91" t="s">
        <v>44</v>
      </c>
    </row>
    <row r="45" spans="1:2">
      <c r="B45" s="6"/>
    </row>
    <row r="46" spans="1:2" ht="72">
      <c r="A46" s="109" t="s">
        <v>45</v>
      </c>
      <c r="B46" s="91" t="s">
        <v>46</v>
      </c>
    </row>
    <row r="48" spans="1:2" ht="72">
      <c r="A48" s="109" t="s">
        <v>47</v>
      </c>
      <c r="B48" s="91" t="s">
        <v>48</v>
      </c>
    </row>
    <row r="50" spans="1:2" ht="72">
      <c r="A50" s="109" t="s">
        <v>49</v>
      </c>
      <c r="B50" s="91" t="s">
        <v>50</v>
      </c>
    </row>
    <row r="52" spans="1:2" ht="72">
      <c r="A52" s="109" t="s">
        <v>51</v>
      </c>
      <c r="B52" s="91" t="s">
        <v>50</v>
      </c>
    </row>
    <row r="54" spans="1:2" ht="72">
      <c r="A54" s="110" t="s">
        <v>52</v>
      </c>
      <c r="B54" s="95" t="s">
        <v>53</v>
      </c>
    </row>
  </sheetData>
  <mergeCells count="1">
    <mergeCell ref="A1:M4"/>
  </mergeCells>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82"/>
  <sheetViews>
    <sheetView topLeftCell="F12" zoomScaleNormal="100" workbookViewId="0">
      <selection activeCell="F4" sqref="F4"/>
    </sheetView>
  </sheetViews>
  <sheetFormatPr defaultColWidth="17.88671875" defaultRowHeight="14.4"/>
  <cols>
    <col min="1" max="1" width="17.88671875" style="8"/>
    <col min="8" max="8" width="17.88671875" style="8"/>
  </cols>
  <sheetData>
    <row r="1" spans="1:12">
      <c r="A1" s="150" t="s">
        <v>54</v>
      </c>
      <c r="B1" s="150"/>
      <c r="C1" s="150"/>
      <c r="D1" s="150"/>
      <c r="E1" s="150"/>
      <c r="H1" s="150" t="s">
        <v>55</v>
      </c>
      <c r="I1" s="150"/>
      <c r="J1" s="150"/>
      <c r="K1" s="150"/>
      <c r="L1" s="150"/>
    </row>
    <row r="2" spans="1:12">
      <c r="A2" s="150"/>
      <c r="B2" s="150"/>
      <c r="C2" s="150"/>
      <c r="D2" s="150"/>
      <c r="E2" s="150"/>
      <c r="H2" s="150"/>
      <c r="I2" s="150"/>
      <c r="J2" s="150"/>
      <c r="K2" s="150"/>
      <c r="L2" s="150"/>
    </row>
    <row r="3" spans="1:12">
      <c r="A3" s="39" t="s">
        <v>56</v>
      </c>
      <c r="B3" s="40" t="s">
        <v>57</v>
      </c>
      <c r="C3" s="40" t="s">
        <v>58</v>
      </c>
      <c r="D3" s="40" t="s">
        <v>59</v>
      </c>
      <c r="E3" s="40" t="s">
        <v>60</v>
      </c>
      <c r="H3" s="39" t="s">
        <v>56</v>
      </c>
      <c r="I3" s="40" t="s">
        <v>57</v>
      </c>
      <c r="J3" s="40" t="s">
        <v>58</v>
      </c>
      <c r="K3" s="40" t="s">
        <v>59</v>
      </c>
      <c r="L3" s="40" t="s">
        <v>60</v>
      </c>
    </row>
    <row r="4" spans="1:12">
      <c r="A4" s="35">
        <v>42332</v>
      </c>
      <c r="B4" s="37">
        <v>1041</v>
      </c>
      <c r="C4" s="37">
        <v>25958.63</v>
      </c>
      <c r="D4" s="38">
        <f>LN(B5/B4)</f>
        <v>1.1651359007185511E-2</v>
      </c>
      <c r="E4" s="38">
        <f>LN(C5/C4)</f>
        <v>6.5110738765749507E-3</v>
      </c>
      <c r="H4" s="35">
        <v>44160</v>
      </c>
      <c r="I4" s="37">
        <v>1116.2</v>
      </c>
      <c r="J4" s="37">
        <v>43828.1</v>
      </c>
      <c r="K4" s="38">
        <f>LN(I5/I4)</f>
        <v>-2.2871503568395817E-3</v>
      </c>
      <c r="L4" s="38">
        <f>LN(J5/J4)</f>
        <v>9.800296039997821E-3</v>
      </c>
    </row>
    <row r="5" spans="1:12">
      <c r="A5" s="35">
        <v>42334</v>
      </c>
      <c r="B5" s="37">
        <v>1053.2</v>
      </c>
      <c r="C5" s="37">
        <v>26128.2</v>
      </c>
      <c r="D5" s="38">
        <f t="shared" ref="D5:D68" si="0">LN(B6/B5)</f>
        <v>1.2361563401979459E-2</v>
      </c>
      <c r="E5" s="38">
        <f t="shared" ref="E5:E68" si="1">LN(C6/C5)</f>
        <v>6.6840280432305956E-4</v>
      </c>
      <c r="H5" s="35">
        <v>44161</v>
      </c>
      <c r="I5" s="37">
        <v>1113.6500000000001</v>
      </c>
      <c r="J5" s="37">
        <v>44259.74</v>
      </c>
      <c r="K5" s="38">
        <f t="shared" ref="K5:K68" si="2">LN(I6/I5)</f>
        <v>-1.183285416938064E-2</v>
      </c>
      <c r="L5" s="38">
        <f t="shared" ref="L5:L68" si="3">LN(J6/J5)</f>
        <v>-2.488875212974508E-3</v>
      </c>
    </row>
    <row r="6" spans="1:12">
      <c r="A6" s="35">
        <v>42335</v>
      </c>
      <c r="B6" s="37">
        <v>1066.3</v>
      </c>
      <c r="C6" s="37">
        <v>26145.67</v>
      </c>
      <c r="D6" s="38">
        <f t="shared" si="0"/>
        <v>2.0559953822811495E-2</v>
      </c>
      <c r="E6" s="38">
        <f t="shared" si="1"/>
        <v>9.0757776264703289E-4</v>
      </c>
      <c r="H6" s="35">
        <v>44162</v>
      </c>
      <c r="I6" s="37">
        <v>1100.55</v>
      </c>
      <c r="J6" s="37">
        <v>44149.72</v>
      </c>
      <c r="K6" s="38">
        <f t="shared" si="2"/>
        <v>3.2803012622000645E-2</v>
      </c>
      <c r="L6" s="38">
        <f t="shared" si="3"/>
        <v>1.1389551393199497E-2</v>
      </c>
    </row>
    <row r="7" spans="1:12">
      <c r="A7" s="35">
        <v>42338</v>
      </c>
      <c r="B7" s="37">
        <v>1088.45</v>
      </c>
      <c r="C7" s="37">
        <v>26169.41</v>
      </c>
      <c r="D7" s="38">
        <f t="shared" si="0"/>
        <v>-1.09002972943282E-2</v>
      </c>
      <c r="E7" s="38">
        <f t="shared" si="1"/>
        <v>-1.9721827730849579E-3</v>
      </c>
      <c r="H7" s="35">
        <v>44166</v>
      </c>
      <c r="I7" s="37">
        <v>1137.25</v>
      </c>
      <c r="J7" s="37">
        <v>44655.44</v>
      </c>
      <c r="K7" s="38">
        <f t="shared" si="2"/>
        <v>3.3358236613063403E-3</v>
      </c>
      <c r="L7" s="38">
        <f t="shared" si="3"/>
        <v>-8.378748579759255E-4</v>
      </c>
    </row>
    <row r="8" spans="1:12">
      <c r="A8" s="35">
        <v>42339</v>
      </c>
      <c r="B8" s="37">
        <v>1076.6500000000001</v>
      </c>
      <c r="C8" s="37">
        <v>26117.85</v>
      </c>
      <c r="D8" s="38">
        <f t="shared" si="0"/>
        <v>-1.5396798998911389E-2</v>
      </c>
      <c r="E8" s="38">
        <f t="shared" si="1"/>
        <v>-8.8927557121518969E-3</v>
      </c>
      <c r="H8" s="35">
        <v>44167</v>
      </c>
      <c r="I8" s="37">
        <v>1141.05</v>
      </c>
      <c r="J8" s="37">
        <v>44618.04</v>
      </c>
      <c r="K8" s="38">
        <f t="shared" si="2"/>
        <v>-1.2789025960025163E-2</v>
      </c>
      <c r="L8" s="38">
        <f t="shared" si="3"/>
        <v>3.2739242980650286E-4</v>
      </c>
    </row>
    <row r="9" spans="1:12">
      <c r="A9" s="35">
        <v>42340</v>
      </c>
      <c r="B9" s="37">
        <v>1060.2</v>
      </c>
      <c r="C9" s="37">
        <v>25886.62</v>
      </c>
      <c r="D9" s="38">
        <f t="shared" si="0"/>
        <v>-3.9693842874989694E-3</v>
      </c>
      <c r="E9" s="38">
        <f t="shared" si="1"/>
        <v>-9.6463165169200678E-3</v>
      </c>
      <c r="H9" s="35">
        <v>44168</v>
      </c>
      <c r="I9" s="37">
        <v>1126.55</v>
      </c>
      <c r="J9" s="37">
        <v>44632.65</v>
      </c>
      <c r="K9" s="38">
        <f t="shared" si="2"/>
        <v>7.1643681642367864E-3</v>
      </c>
      <c r="L9" s="38">
        <f t="shared" si="3"/>
        <v>9.9630528889481963E-3</v>
      </c>
    </row>
    <row r="10" spans="1:12">
      <c r="A10" s="35">
        <v>42341</v>
      </c>
      <c r="B10" s="37">
        <v>1056</v>
      </c>
      <c r="C10" s="37">
        <v>25638.11</v>
      </c>
      <c r="D10" s="38">
        <f t="shared" si="0"/>
        <v>-7.7954572920874822E-3</v>
      </c>
      <c r="E10" s="38">
        <f t="shared" si="1"/>
        <v>-4.2213764864256487E-3</v>
      </c>
      <c r="H10" s="35">
        <v>44169</v>
      </c>
      <c r="I10" s="37">
        <v>1134.6500000000001</v>
      </c>
      <c r="J10" s="37">
        <v>45079.55</v>
      </c>
      <c r="K10" s="38">
        <f t="shared" si="2"/>
        <v>8.2503649627258761E-3</v>
      </c>
      <c r="L10" s="38">
        <f t="shared" si="3"/>
        <v>7.6772746632036157E-3</v>
      </c>
    </row>
    <row r="11" spans="1:12">
      <c r="A11" s="35">
        <v>42342</v>
      </c>
      <c r="B11" s="37">
        <v>1047.8</v>
      </c>
      <c r="C11" s="37">
        <v>25530.11</v>
      </c>
      <c r="D11" s="38">
        <f t="shared" si="0"/>
        <v>-1.8627760741903813E-3</v>
      </c>
      <c r="E11" s="38">
        <f t="shared" si="1"/>
        <v>-8.6459271037854762E-3</v>
      </c>
      <c r="H11" s="35">
        <v>44172</v>
      </c>
      <c r="I11" s="37">
        <v>1144.05</v>
      </c>
      <c r="J11" s="37">
        <v>45426.97</v>
      </c>
      <c r="K11" s="38">
        <f t="shared" si="2"/>
        <v>8.5295786722308451E-3</v>
      </c>
      <c r="L11" s="38">
        <f t="shared" si="3"/>
        <v>3.9883403843030719E-3</v>
      </c>
    </row>
    <row r="12" spans="1:12">
      <c r="A12" s="35">
        <v>42345</v>
      </c>
      <c r="B12" s="37">
        <v>1045.8499999999999</v>
      </c>
      <c r="C12" s="37">
        <v>25310.33</v>
      </c>
      <c r="D12" s="38">
        <f t="shared" si="0"/>
        <v>-8.6091453566860068E-4</v>
      </c>
      <c r="E12" s="38">
        <f t="shared" si="1"/>
        <v>-1.0895826612205355E-2</v>
      </c>
      <c r="H12" s="35">
        <v>44173</v>
      </c>
      <c r="I12" s="37">
        <v>1153.8499999999999</v>
      </c>
      <c r="J12" s="37">
        <v>45608.51</v>
      </c>
      <c r="K12" s="38">
        <f t="shared" si="2"/>
        <v>1.8291622054349407E-2</v>
      </c>
      <c r="L12" s="38">
        <f t="shared" si="3"/>
        <v>1.0794547114085994E-2</v>
      </c>
    </row>
    <row r="13" spans="1:12">
      <c r="A13" s="35">
        <v>42346</v>
      </c>
      <c r="B13" s="37">
        <v>1044.95</v>
      </c>
      <c r="C13" s="37">
        <v>25036.05</v>
      </c>
      <c r="D13" s="38">
        <f t="shared" si="0"/>
        <v>-1.5041502308943105E-2</v>
      </c>
      <c r="E13" s="38">
        <f t="shared" si="1"/>
        <v>8.6012465040678394E-3</v>
      </c>
      <c r="H13" s="35">
        <v>44174</v>
      </c>
      <c r="I13" s="37">
        <v>1175.1500000000001</v>
      </c>
      <c r="J13" s="37">
        <v>46103.5</v>
      </c>
      <c r="K13" s="38">
        <f t="shared" si="2"/>
        <v>-6.5310884618850727E-3</v>
      </c>
      <c r="L13" s="38">
        <f t="shared" si="3"/>
        <v>-3.1200270184854081E-3</v>
      </c>
    </row>
    <row r="14" spans="1:12">
      <c r="A14" s="35">
        <v>42347</v>
      </c>
      <c r="B14" s="37">
        <v>1029.3499999999999</v>
      </c>
      <c r="C14" s="37">
        <v>25252.32</v>
      </c>
      <c r="D14" s="38">
        <f t="shared" si="0"/>
        <v>1.6428166647616999E-2</v>
      </c>
      <c r="E14" s="38">
        <f t="shared" si="1"/>
        <v>-8.2665851718196851E-3</v>
      </c>
      <c r="H14" s="35">
        <v>44175</v>
      </c>
      <c r="I14" s="37">
        <v>1167.5</v>
      </c>
      <c r="J14" s="37">
        <v>45959.88</v>
      </c>
      <c r="K14" s="38">
        <f t="shared" si="2"/>
        <v>-3.8188456871357697E-3</v>
      </c>
      <c r="L14" s="38">
        <f t="shared" si="3"/>
        <v>3.0226327066919189E-3</v>
      </c>
    </row>
    <row r="15" spans="1:12">
      <c r="A15" s="35">
        <v>42348</v>
      </c>
      <c r="B15" s="37">
        <v>1046.4000000000001</v>
      </c>
      <c r="C15" s="37">
        <v>25044.43</v>
      </c>
      <c r="D15" s="38">
        <f t="shared" si="0"/>
        <v>5.6700568822464752E-3</v>
      </c>
      <c r="E15" s="38">
        <f t="shared" si="1"/>
        <v>4.2203654330585172E-3</v>
      </c>
      <c r="H15" s="35">
        <v>44176</v>
      </c>
      <c r="I15" s="37">
        <v>1163.05</v>
      </c>
      <c r="J15" s="37">
        <v>46099.01</v>
      </c>
      <c r="K15" s="38">
        <f t="shared" si="2"/>
        <v>1.2888814294997307E-3</v>
      </c>
      <c r="L15" s="38">
        <f t="shared" si="3"/>
        <v>3.3447972532752229E-3</v>
      </c>
    </row>
    <row r="16" spans="1:12">
      <c r="A16" s="35">
        <v>42349</v>
      </c>
      <c r="B16" s="37">
        <v>1052.3499999999999</v>
      </c>
      <c r="C16" s="37">
        <v>25150.35</v>
      </c>
      <c r="D16" s="38">
        <f t="shared" si="0"/>
        <v>1.6165490937279526E-2</v>
      </c>
      <c r="E16" s="38">
        <f t="shared" si="1"/>
        <v>6.7401617422192727E-3</v>
      </c>
      <c r="F16" s="78" t="s">
        <v>61</v>
      </c>
      <c r="H16" s="35">
        <v>44179</v>
      </c>
      <c r="I16" s="37">
        <v>1164.55</v>
      </c>
      <c r="J16" s="37">
        <v>46253.46</v>
      </c>
      <c r="K16" s="38">
        <f t="shared" si="2"/>
        <v>-8.7540178257551459E-3</v>
      </c>
      <c r="L16" s="38">
        <f t="shared" si="3"/>
        <v>2.0990820862485851E-4</v>
      </c>
    </row>
    <row r="17" spans="1:12">
      <c r="A17" s="35">
        <v>42352</v>
      </c>
      <c r="B17" s="37">
        <v>1069.5</v>
      </c>
      <c r="C17" s="37">
        <v>25320.44</v>
      </c>
      <c r="D17" s="38">
        <f t="shared" si="0"/>
        <v>6.8952938123750598E-3</v>
      </c>
      <c r="E17" s="38">
        <f t="shared" si="1"/>
        <v>6.8456687820824431E-3</v>
      </c>
      <c r="H17" s="35">
        <v>44180</v>
      </c>
      <c r="I17" s="37">
        <v>1154.4000000000001</v>
      </c>
      <c r="J17" s="37">
        <v>46263.17</v>
      </c>
      <c r="K17" s="38">
        <f t="shared" si="2"/>
        <v>9.7839282287690479E-3</v>
      </c>
      <c r="L17" s="38">
        <f t="shared" si="3"/>
        <v>8.6795251802792572E-3</v>
      </c>
    </row>
    <row r="18" spans="1:12">
      <c r="A18" s="35">
        <v>42353</v>
      </c>
      <c r="B18" s="37">
        <v>1076.9000000000001</v>
      </c>
      <c r="C18" s="37">
        <v>25494.37</v>
      </c>
      <c r="D18" s="38">
        <f t="shared" si="0"/>
        <v>1.7033050014785622E-2</v>
      </c>
      <c r="E18" s="38">
        <f t="shared" si="1"/>
        <v>1.2063349349487955E-2</v>
      </c>
      <c r="H18" s="35">
        <v>44181</v>
      </c>
      <c r="I18" s="37">
        <v>1165.75</v>
      </c>
      <c r="J18" s="37">
        <v>46666.46</v>
      </c>
      <c r="K18" s="38">
        <f t="shared" si="2"/>
        <v>-5.7208147937309606E-3</v>
      </c>
      <c r="L18" s="38">
        <f t="shared" si="3"/>
        <v>4.7859787282557992E-3</v>
      </c>
    </row>
    <row r="19" spans="1:12">
      <c r="A19" s="35">
        <v>42354</v>
      </c>
      <c r="B19" s="37">
        <v>1095.4000000000001</v>
      </c>
      <c r="C19" s="37">
        <v>25803.78</v>
      </c>
      <c r="D19" s="38">
        <f t="shared" si="0"/>
        <v>1.0488892220613005E-2</v>
      </c>
      <c r="E19" s="38">
        <f t="shared" si="1"/>
        <v>-1.1089099077528686E-2</v>
      </c>
      <c r="H19" s="35">
        <v>44182</v>
      </c>
      <c r="I19" s="37">
        <v>1159.0999999999999</v>
      </c>
      <c r="J19" s="37">
        <v>46890.34</v>
      </c>
      <c r="K19" s="38">
        <f t="shared" si="2"/>
        <v>2.6099359106520659E-2</v>
      </c>
      <c r="L19" s="38">
        <f t="shared" si="3"/>
        <v>1.4991846797270001E-3</v>
      </c>
    </row>
    <row r="20" spans="1:12">
      <c r="A20" s="35">
        <v>42355</v>
      </c>
      <c r="B20" s="37">
        <v>1106.95</v>
      </c>
      <c r="C20" s="37">
        <v>25519.22</v>
      </c>
      <c r="D20" s="38">
        <f t="shared" si="0"/>
        <v>-1.9153305651904116E-2</v>
      </c>
      <c r="E20" s="38">
        <f t="shared" si="1"/>
        <v>8.4550105752974874E-3</v>
      </c>
      <c r="H20" s="35">
        <v>44183</v>
      </c>
      <c r="I20" s="37">
        <v>1189.75</v>
      </c>
      <c r="J20" s="37">
        <v>46960.69</v>
      </c>
      <c r="K20" s="38">
        <f t="shared" si="2"/>
        <v>-1.136928203482422E-2</v>
      </c>
      <c r="L20" s="38">
        <f t="shared" si="3"/>
        <v>-3.041331140942052E-2</v>
      </c>
    </row>
    <row r="21" spans="1:12">
      <c r="A21" s="35">
        <v>42356</v>
      </c>
      <c r="B21" s="37">
        <v>1085.95</v>
      </c>
      <c r="C21" s="37">
        <v>25735.9</v>
      </c>
      <c r="D21" s="38">
        <f t="shared" si="0"/>
        <v>1.467153079452984E-2</v>
      </c>
      <c r="E21" s="38">
        <f t="shared" si="1"/>
        <v>-5.6598539252694993E-3</v>
      </c>
      <c r="H21" s="35">
        <v>44186</v>
      </c>
      <c r="I21" s="37">
        <v>1176.3</v>
      </c>
      <c r="J21" s="37">
        <v>45553.96</v>
      </c>
      <c r="K21" s="38">
        <f t="shared" si="2"/>
        <v>3.7091504975374126E-2</v>
      </c>
      <c r="L21" s="38">
        <f t="shared" si="3"/>
        <v>9.8892633385691056E-3</v>
      </c>
    </row>
    <row r="22" spans="1:12">
      <c r="A22" s="35">
        <v>42359</v>
      </c>
      <c r="B22" s="37">
        <v>1102</v>
      </c>
      <c r="C22" s="37">
        <v>25590.65</v>
      </c>
      <c r="D22" s="38">
        <f t="shared" si="0"/>
        <v>-1.683787950191986E-2</v>
      </c>
      <c r="E22" s="38">
        <f t="shared" si="1"/>
        <v>1.0095155906758777E-2</v>
      </c>
      <c r="H22" s="35">
        <v>44187</v>
      </c>
      <c r="I22" s="37">
        <v>1220.75</v>
      </c>
      <c r="J22" s="37">
        <v>46006.69</v>
      </c>
      <c r="K22" s="38">
        <f t="shared" si="2"/>
        <v>2.6035346928255404E-2</v>
      </c>
      <c r="L22" s="38">
        <f t="shared" si="3"/>
        <v>9.4643406953320297E-3</v>
      </c>
    </row>
    <row r="23" spans="1:12">
      <c r="A23" s="35">
        <v>42360</v>
      </c>
      <c r="B23" s="37">
        <v>1083.5999999999999</v>
      </c>
      <c r="C23" s="37">
        <v>25850.3</v>
      </c>
      <c r="D23" s="38">
        <f t="shared" si="0"/>
        <v>1.3201511858535981E-2</v>
      </c>
      <c r="E23" s="38">
        <f t="shared" si="1"/>
        <v>-4.4845123534917992E-4</v>
      </c>
      <c r="H23" s="35">
        <v>44188</v>
      </c>
      <c r="I23" s="37">
        <v>1252.95</v>
      </c>
      <c r="J23" s="37">
        <v>46444.18</v>
      </c>
      <c r="K23" s="38">
        <f t="shared" si="2"/>
        <v>-1.3337280416841396E-2</v>
      </c>
      <c r="L23" s="38">
        <f t="shared" si="3"/>
        <v>1.133330306220692E-2</v>
      </c>
    </row>
    <row r="24" spans="1:12">
      <c r="A24" s="35">
        <v>42361</v>
      </c>
      <c r="B24" s="37">
        <v>1098</v>
      </c>
      <c r="C24" s="37">
        <v>25838.71</v>
      </c>
      <c r="D24" s="38">
        <f t="shared" si="0"/>
        <v>-1.9600252417480441E-3</v>
      </c>
      <c r="E24" s="38">
        <f t="shared" si="1"/>
        <v>7.534614434271527E-3</v>
      </c>
      <c r="H24" s="35">
        <v>44189</v>
      </c>
      <c r="I24" s="37">
        <v>1236.3499999999999</v>
      </c>
      <c r="J24" s="37">
        <v>46973.54</v>
      </c>
      <c r="K24" s="38">
        <f t="shared" si="2"/>
        <v>3.0285310555429735E-3</v>
      </c>
      <c r="L24" s="38">
        <f t="shared" si="3"/>
        <v>8.0615495071847017E-3</v>
      </c>
    </row>
    <row r="25" spans="1:12">
      <c r="A25" s="35">
        <v>42362</v>
      </c>
      <c r="B25" s="37">
        <v>1095.8499999999999</v>
      </c>
      <c r="C25" s="37">
        <v>26034.13</v>
      </c>
      <c r="D25" s="38">
        <f t="shared" si="0"/>
        <v>5.2787380824699344E-3</v>
      </c>
      <c r="E25" s="38">
        <f t="shared" si="1"/>
        <v>1.7404287074889477E-3</v>
      </c>
      <c r="H25" s="35">
        <v>44193</v>
      </c>
      <c r="I25" s="37">
        <v>1240.0999999999999</v>
      </c>
      <c r="J25" s="37">
        <v>47353.75</v>
      </c>
      <c r="K25" s="38">
        <f t="shared" si="2"/>
        <v>8.0715225881961648E-3</v>
      </c>
      <c r="L25" s="38">
        <f t="shared" si="3"/>
        <v>5.4614994436921506E-3</v>
      </c>
    </row>
    <row r="26" spans="1:12">
      <c r="A26" s="35">
        <v>42366</v>
      </c>
      <c r="B26" s="37">
        <v>1101.6500000000001</v>
      </c>
      <c r="C26" s="37">
        <v>26079.48</v>
      </c>
      <c r="D26" s="38">
        <f t="shared" si="0"/>
        <v>1.9044170079718628E-3</v>
      </c>
      <c r="E26" s="38">
        <f t="shared" si="1"/>
        <v>-4.5907507501094418E-3</v>
      </c>
      <c r="H26" s="35">
        <v>44194</v>
      </c>
      <c r="I26" s="37">
        <v>1250.1500000000001</v>
      </c>
      <c r="J26" s="37">
        <v>47613.08</v>
      </c>
      <c r="K26" s="38">
        <f t="shared" si="2"/>
        <v>-3.164622986801183E-3</v>
      </c>
      <c r="L26" s="38">
        <f t="shared" si="3"/>
        <v>2.7923880840669663E-3</v>
      </c>
    </row>
    <row r="27" spans="1:12">
      <c r="A27" s="35">
        <v>42367</v>
      </c>
      <c r="B27" s="37">
        <v>1103.75</v>
      </c>
      <c r="C27" s="37">
        <v>25960.03</v>
      </c>
      <c r="D27" s="38">
        <f t="shared" si="0"/>
        <v>-1.6166211968467261E-2</v>
      </c>
      <c r="E27" s="38">
        <f t="shared" si="1"/>
        <v>6.0490718092498369E-3</v>
      </c>
      <c r="H27" s="35">
        <v>44195</v>
      </c>
      <c r="I27" s="37">
        <v>1246.2</v>
      </c>
      <c r="J27" s="37">
        <v>47746.22</v>
      </c>
      <c r="K27" s="38">
        <f t="shared" si="2"/>
        <v>7.7137130344874759E-3</v>
      </c>
      <c r="L27" s="38">
        <f t="shared" si="3"/>
        <v>1.0701845240794921E-4</v>
      </c>
    </row>
    <row r="28" spans="1:12">
      <c r="A28" s="35">
        <v>42368</v>
      </c>
      <c r="B28" s="37">
        <v>1086.05</v>
      </c>
      <c r="C28" s="37">
        <v>26117.54</v>
      </c>
      <c r="D28" s="38">
        <f t="shared" si="0"/>
        <v>1.6890751238491333E-2</v>
      </c>
      <c r="E28" s="38">
        <f t="shared" si="1"/>
        <v>1.658810398421766E-3</v>
      </c>
      <c r="H28" s="35">
        <v>44196</v>
      </c>
      <c r="I28" s="37">
        <v>1255.8499999999999</v>
      </c>
      <c r="J28" s="37">
        <v>47751.33</v>
      </c>
      <c r="K28" s="38">
        <f t="shared" si="2"/>
        <v>3.6164967385104337E-3</v>
      </c>
      <c r="L28" s="38">
        <f t="shared" si="3"/>
        <v>2.46077552704662E-3</v>
      </c>
    </row>
    <row r="29" spans="1:12">
      <c r="A29" s="35">
        <v>42369</v>
      </c>
      <c r="B29" s="37">
        <v>1104.55</v>
      </c>
      <c r="C29" s="37">
        <v>26160.9</v>
      </c>
      <c r="D29" s="38">
        <f t="shared" si="0"/>
        <v>-1.2682884338132117E-3</v>
      </c>
      <c r="E29" s="38">
        <f t="shared" si="1"/>
        <v>-2.0761884525401099E-2</v>
      </c>
      <c r="H29" s="35">
        <v>44197</v>
      </c>
      <c r="I29" s="37">
        <v>1260.4000000000001</v>
      </c>
      <c r="J29" s="37">
        <v>47868.98</v>
      </c>
      <c r="K29" s="38">
        <f t="shared" si="2"/>
        <v>2.2088424268209585E-2</v>
      </c>
      <c r="L29" s="38">
        <f t="shared" si="3"/>
        <v>6.4098819112863538E-3</v>
      </c>
    </row>
    <row r="30" spans="1:12">
      <c r="A30" s="35">
        <v>42370</v>
      </c>
      <c r="B30" s="37">
        <v>1103.1500000000001</v>
      </c>
      <c r="C30" s="37">
        <v>25623.35</v>
      </c>
      <c r="D30" s="38">
        <f t="shared" si="0"/>
        <v>-2.0653281344415363E-2</v>
      </c>
      <c r="E30" s="38">
        <f t="shared" si="1"/>
        <v>-1.6799574450762243E-3</v>
      </c>
      <c r="H30" s="35">
        <v>44200</v>
      </c>
      <c r="I30" s="37">
        <v>1288.55</v>
      </c>
      <c r="J30" s="37">
        <v>48176.800000000003</v>
      </c>
      <c r="K30" s="38">
        <f t="shared" si="2"/>
        <v>3.8341674747546508E-3</v>
      </c>
      <c r="L30" s="38">
        <f t="shared" si="3"/>
        <v>5.4025103617045848E-3</v>
      </c>
    </row>
    <row r="31" spans="1:12">
      <c r="A31" s="35">
        <v>42373</v>
      </c>
      <c r="B31" s="37">
        <v>1080.5999999999999</v>
      </c>
      <c r="C31" s="37">
        <v>25580.34</v>
      </c>
      <c r="D31" s="38">
        <f t="shared" si="0"/>
        <v>-5.3818446686292303E-3</v>
      </c>
      <c r="E31" s="38">
        <f t="shared" si="1"/>
        <v>-6.8257321218379114E-3</v>
      </c>
      <c r="H31" s="35">
        <v>44201</v>
      </c>
      <c r="I31" s="37">
        <v>1293.5</v>
      </c>
      <c r="J31" s="37">
        <v>48437.78</v>
      </c>
      <c r="K31" s="38">
        <f t="shared" si="2"/>
        <v>-9.2424253119891726E-3</v>
      </c>
      <c r="L31" s="38">
        <f t="shared" si="3"/>
        <v>-5.4593858270763724E-3</v>
      </c>
    </row>
    <row r="32" spans="1:12">
      <c r="A32" s="35">
        <v>42374</v>
      </c>
      <c r="B32" s="37">
        <v>1074.8</v>
      </c>
      <c r="C32" s="37">
        <v>25406.33</v>
      </c>
      <c r="D32" s="38">
        <f t="shared" si="0"/>
        <v>-4.9901001298686349E-3</v>
      </c>
      <c r="E32" s="38">
        <f t="shared" si="1"/>
        <v>-2.206696389229848E-2</v>
      </c>
      <c r="H32" s="35">
        <v>44202</v>
      </c>
      <c r="I32" s="37">
        <v>1281.5999999999999</v>
      </c>
      <c r="J32" s="37">
        <v>48174.06</v>
      </c>
      <c r="K32" s="38">
        <f t="shared" si="2"/>
        <v>-1.5451153649162398E-2</v>
      </c>
      <c r="L32" s="38">
        <f t="shared" si="3"/>
        <v>-1.6774117864551438E-3</v>
      </c>
    </row>
    <row r="33" spans="1:12">
      <c r="A33" s="35">
        <v>42375</v>
      </c>
      <c r="B33" s="37">
        <v>1069.45</v>
      </c>
      <c r="C33" s="37">
        <v>24851.83</v>
      </c>
      <c r="D33" s="38">
        <f t="shared" si="0"/>
        <v>-1.71645653243097E-2</v>
      </c>
      <c r="E33" s="38">
        <f t="shared" si="1"/>
        <v>3.3141770931279686E-3</v>
      </c>
      <c r="H33" s="35">
        <v>44203</v>
      </c>
      <c r="I33" s="37">
        <v>1261.95</v>
      </c>
      <c r="J33" s="37">
        <v>48093.32</v>
      </c>
      <c r="K33" s="38">
        <f t="shared" si="2"/>
        <v>3.8742096194702799E-2</v>
      </c>
      <c r="L33" s="38">
        <f t="shared" si="3"/>
        <v>1.4228556850052339E-2</v>
      </c>
    </row>
    <row r="34" spans="1:12">
      <c r="A34" s="35">
        <v>42376</v>
      </c>
      <c r="B34" s="37">
        <v>1051.25</v>
      </c>
      <c r="C34" s="37">
        <v>24934.33</v>
      </c>
      <c r="D34" s="38">
        <f t="shared" si="0"/>
        <v>1.0785856017542363E-2</v>
      </c>
      <c r="E34" s="38">
        <f t="shared" si="1"/>
        <v>-4.3927475665536354E-3</v>
      </c>
      <c r="H34" s="35">
        <v>44204</v>
      </c>
      <c r="I34" s="37">
        <v>1311.8</v>
      </c>
      <c r="J34" s="37">
        <v>48782.51</v>
      </c>
      <c r="K34" s="38">
        <f t="shared" si="2"/>
        <v>4.7853171411600809E-2</v>
      </c>
      <c r="L34" s="38">
        <f t="shared" si="3"/>
        <v>9.9297279801621816E-3</v>
      </c>
    </row>
    <row r="35" spans="1:12">
      <c r="A35" s="35">
        <v>42377</v>
      </c>
      <c r="B35" s="37">
        <v>1062.6500000000001</v>
      </c>
      <c r="C35" s="37">
        <v>24825.040000000001</v>
      </c>
      <c r="D35" s="38">
        <f t="shared" si="0"/>
        <v>-5.236478530082897E-3</v>
      </c>
      <c r="E35" s="38">
        <f t="shared" si="1"/>
        <v>-5.7773727179781954E-3</v>
      </c>
      <c r="H35" s="35">
        <v>44207</v>
      </c>
      <c r="I35" s="37">
        <v>1376.1</v>
      </c>
      <c r="J35" s="37">
        <v>49269.32</v>
      </c>
      <c r="K35" s="38">
        <f t="shared" si="2"/>
        <v>-3.093217408369096E-3</v>
      </c>
      <c r="L35" s="38">
        <f t="shared" si="3"/>
        <v>5.0166914561312094E-3</v>
      </c>
    </row>
    <row r="36" spans="1:12">
      <c r="A36" s="35">
        <v>42380</v>
      </c>
      <c r="B36" s="37">
        <v>1057.0999999999999</v>
      </c>
      <c r="C36" s="37">
        <v>24682.03</v>
      </c>
      <c r="D36" s="38">
        <f t="shared" si="0"/>
        <v>-6.6915277091801105E-3</v>
      </c>
      <c r="E36" s="38">
        <f t="shared" si="1"/>
        <v>6.9476827300423427E-3</v>
      </c>
      <c r="H36" s="35">
        <v>44208</v>
      </c>
      <c r="I36" s="37">
        <v>1371.85</v>
      </c>
      <c r="J36" s="37">
        <v>49517.11</v>
      </c>
      <c r="K36" s="38">
        <f t="shared" si="2"/>
        <v>1.1487506514097958E-2</v>
      </c>
      <c r="L36" s="38">
        <f t="shared" si="3"/>
        <v>-5.0076039258137198E-4</v>
      </c>
    </row>
    <row r="37" spans="1:12">
      <c r="A37" s="35">
        <v>42381</v>
      </c>
      <c r="B37" s="37">
        <v>1050.05</v>
      </c>
      <c r="C37" s="37">
        <v>24854.11</v>
      </c>
      <c r="D37" s="38">
        <f t="shared" si="0"/>
        <v>3.0296821080427229E-2</v>
      </c>
      <c r="E37" s="38">
        <f t="shared" si="1"/>
        <v>-3.2699917988908206E-3</v>
      </c>
      <c r="H37" s="35">
        <v>44209</v>
      </c>
      <c r="I37" s="37">
        <v>1387.7</v>
      </c>
      <c r="J37" s="37">
        <v>49492.32</v>
      </c>
      <c r="K37" s="38">
        <f t="shared" si="2"/>
        <v>-1.2399100225241594E-2</v>
      </c>
      <c r="L37" s="38">
        <f t="shared" si="3"/>
        <v>1.8539218653046649E-3</v>
      </c>
    </row>
    <row r="38" spans="1:12">
      <c r="A38" s="35">
        <v>42382</v>
      </c>
      <c r="B38" s="37">
        <v>1082.3499999999999</v>
      </c>
      <c r="C38" s="37">
        <v>24772.97</v>
      </c>
      <c r="D38" s="38">
        <f t="shared" si="0"/>
        <v>4.1931924815716302E-2</v>
      </c>
      <c r="E38" s="38">
        <f t="shared" si="1"/>
        <v>-1.29168097747515E-2</v>
      </c>
      <c r="H38" s="35">
        <v>44210</v>
      </c>
      <c r="I38" s="37">
        <v>1370.6</v>
      </c>
      <c r="J38" s="37">
        <v>49584.160000000003</v>
      </c>
      <c r="K38" s="38">
        <f t="shared" si="2"/>
        <v>-1.878024043718747E-2</v>
      </c>
      <c r="L38" s="38">
        <f t="shared" si="3"/>
        <v>-1.1143828952734134E-2</v>
      </c>
    </row>
    <row r="39" spans="1:12">
      <c r="A39" s="35">
        <v>42383</v>
      </c>
      <c r="B39" s="37">
        <v>1128.7</v>
      </c>
      <c r="C39" s="37">
        <v>24455.040000000001</v>
      </c>
      <c r="D39" s="38">
        <f t="shared" si="0"/>
        <v>1.0137157635900845E-2</v>
      </c>
      <c r="E39" s="38">
        <f t="shared" si="1"/>
        <v>-1.0964390511932737E-2</v>
      </c>
      <c r="H39" s="35">
        <v>44211</v>
      </c>
      <c r="I39" s="37">
        <v>1345.1</v>
      </c>
      <c r="J39" s="37">
        <v>49034.67</v>
      </c>
      <c r="K39" s="38">
        <f t="shared" si="2"/>
        <v>-2.5182473092174772E-2</v>
      </c>
      <c r="L39" s="38">
        <f t="shared" si="3"/>
        <v>-9.6395235947159229E-3</v>
      </c>
    </row>
    <row r="40" spans="1:12">
      <c r="A40" s="35">
        <v>42384</v>
      </c>
      <c r="B40" s="37">
        <v>1140.2</v>
      </c>
      <c r="C40" s="37">
        <v>24188.37</v>
      </c>
      <c r="D40" s="38">
        <f t="shared" si="0"/>
        <v>-7.2618764211666992E-3</v>
      </c>
      <c r="E40" s="38">
        <f t="shared" si="1"/>
        <v>1.1977982539673677E-2</v>
      </c>
      <c r="H40" s="35">
        <v>44214</v>
      </c>
      <c r="I40" s="37">
        <v>1311.65</v>
      </c>
      <c r="J40" s="37">
        <v>48564.27</v>
      </c>
      <c r="K40" s="38">
        <f t="shared" si="2"/>
        <v>4.1085004723986169E-3</v>
      </c>
      <c r="L40" s="38">
        <f t="shared" si="3"/>
        <v>1.7027732870028803E-2</v>
      </c>
    </row>
    <row r="41" spans="1:12">
      <c r="A41" s="35">
        <v>42387</v>
      </c>
      <c r="B41" s="37">
        <v>1131.95</v>
      </c>
      <c r="C41" s="37">
        <v>24479.84</v>
      </c>
      <c r="D41" s="38">
        <f t="shared" si="0"/>
        <v>6.2966677295514624E-3</v>
      </c>
      <c r="E41" s="38">
        <f t="shared" si="1"/>
        <v>-1.7214426692897279E-2</v>
      </c>
      <c r="H41" s="35">
        <v>44215</v>
      </c>
      <c r="I41" s="37">
        <v>1317.05</v>
      </c>
      <c r="J41" s="37">
        <v>49398.29</v>
      </c>
      <c r="K41" s="38">
        <f t="shared" si="2"/>
        <v>1.686469483226501E-2</v>
      </c>
      <c r="L41" s="38">
        <f t="shared" si="3"/>
        <v>7.9409303685940274E-3</v>
      </c>
    </row>
    <row r="42" spans="1:12">
      <c r="A42" s="35">
        <v>42388</v>
      </c>
      <c r="B42" s="37">
        <v>1139.0999999999999</v>
      </c>
      <c r="C42" s="37">
        <v>24062.04</v>
      </c>
      <c r="D42" s="38">
        <f t="shared" si="0"/>
        <v>-1.543766144655178E-2</v>
      </c>
      <c r="E42" s="38">
        <f t="shared" si="1"/>
        <v>-4.1574889267142045E-3</v>
      </c>
      <c r="H42" s="35">
        <v>44216</v>
      </c>
      <c r="I42" s="37">
        <v>1339.45</v>
      </c>
      <c r="J42" s="37">
        <v>49792.12</v>
      </c>
      <c r="K42" s="38">
        <f t="shared" si="2"/>
        <v>-1.4932616595491837E-4</v>
      </c>
      <c r="L42" s="38">
        <f t="shared" si="3"/>
        <v>-3.366835855109899E-3</v>
      </c>
    </row>
    <row r="43" spans="1:12">
      <c r="A43" s="35">
        <v>42389</v>
      </c>
      <c r="B43" s="37">
        <v>1121.6500000000001</v>
      </c>
      <c r="C43" s="37">
        <v>23962.21</v>
      </c>
      <c r="D43" s="38">
        <f t="shared" si="0"/>
        <v>1.3152548833283486E-2</v>
      </c>
      <c r="E43" s="38">
        <f t="shared" si="1"/>
        <v>1.9565534737751071E-2</v>
      </c>
      <c r="H43" s="35">
        <v>44217</v>
      </c>
      <c r="I43" s="37">
        <v>1339.25</v>
      </c>
      <c r="J43" s="37">
        <v>49624.76</v>
      </c>
      <c r="K43" s="38">
        <f t="shared" si="2"/>
        <v>8.9562270419383616E-4</v>
      </c>
      <c r="L43" s="38">
        <f t="shared" si="3"/>
        <v>-1.515145737347208E-2</v>
      </c>
    </row>
    <row r="44" spans="1:12">
      <c r="A44" s="35">
        <v>42390</v>
      </c>
      <c r="B44" s="37">
        <v>1136.5</v>
      </c>
      <c r="C44" s="37">
        <v>24435.66</v>
      </c>
      <c r="D44" s="38">
        <f t="shared" si="0"/>
        <v>-5.2807605522189492E-4</v>
      </c>
      <c r="E44" s="38">
        <f t="shared" si="1"/>
        <v>2.0559428732717386E-3</v>
      </c>
      <c r="H44" s="35">
        <v>44218</v>
      </c>
      <c r="I44" s="37">
        <v>1340.45</v>
      </c>
      <c r="J44" s="37">
        <v>48878.54</v>
      </c>
      <c r="K44" s="38">
        <f t="shared" si="2"/>
        <v>-1.3405882224701611E-2</v>
      </c>
      <c r="L44" s="38">
        <f t="shared" si="3"/>
        <v>-1.0922069574216877E-2</v>
      </c>
    </row>
    <row r="45" spans="1:12">
      <c r="A45" s="35">
        <v>42391</v>
      </c>
      <c r="B45" s="37">
        <v>1135.9000000000001</v>
      </c>
      <c r="C45" s="37">
        <v>24485.95</v>
      </c>
      <c r="D45" s="38">
        <f t="shared" si="0"/>
        <v>1.5394430257598894E-3</v>
      </c>
      <c r="E45" s="38">
        <f t="shared" si="1"/>
        <v>2.6297338934350042E-4</v>
      </c>
      <c r="H45" s="35">
        <v>44221</v>
      </c>
      <c r="I45" s="37">
        <v>1322.6</v>
      </c>
      <c r="J45" s="37">
        <v>48347.59</v>
      </c>
      <c r="K45" s="38">
        <f t="shared" si="2"/>
        <v>-1.5889983197553432E-2</v>
      </c>
      <c r="L45" s="38">
        <f t="shared" si="3"/>
        <v>-1.9584675344748361E-2</v>
      </c>
    </row>
    <row r="46" spans="1:12">
      <c r="A46" s="35">
        <v>42394</v>
      </c>
      <c r="B46" s="37">
        <v>1137.6500000000001</v>
      </c>
      <c r="C46" s="37">
        <v>24492.39</v>
      </c>
      <c r="D46" s="38">
        <f t="shared" si="0"/>
        <v>6.1511425489550785E-4</v>
      </c>
      <c r="E46" s="38">
        <f t="shared" si="1"/>
        <v>-9.3215229342835865E-4</v>
      </c>
      <c r="H46" s="35">
        <v>44223</v>
      </c>
      <c r="I46" s="37">
        <v>1301.75</v>
      </c>
      <c r="J46" s="37">
        <v>47409.93</v>
      </c>
      <c r="K46" s="38">
        <f t="shared" si="2"/>
        <v>-1.9744246054363434E-2</v>
      </c>
      <c r="L46" s="38">
        <f t="shared" si="3"/>
        <v>-1.1360869567148102E-2</v>
      </c>
    </row>
    <row r="47" spans="1:12">
      <c r="A47" s="35">
        <v>42396</v>
      </c>
      <c r="B47" s="37">
        <v>1138.3499999999999</v>
      </c>
      <c r="C47" s="37">
        <v>24469.57</v>
      </c>
      <c r="D47" s="38">
        <f t="shared" si="0"/>
        <v>-6.1682356206948247E-3</v>
      </c>
      <c r="E47" s="38">
        <f t="shared" si="1"/>
        <v>1.6259696938273095E-2</v>
      </c>
      <c r="H47" s="35">
        <v>44224</v>
      </c>
      <c r="I47" s="37">
        <v>1276.3</v>
      </c>
      <c r="J47" s="37">
        <v>46874.36</v>
      </c>
      <c r="K47" s="38">
        <f t="shared" si="2"/>
        <v>-2.9136185296383409E-2</v>
      </c>
      <c r="L47" s="38">
        <f t="shared" si="3"/>
        <v>-1.2636260424038752E-2</v>
      </c>
    </row>
    <row r="48" spans="1:12">
      <c r="A48" s="35">
        <v>42397</v>
      </c>
      <c r="B48" s="37">
        <v>1131.3499999999999</v>
      </c>
      <c r="C48" s="37">
        <v>24870.69</v>
      </c>
      <c r="D48" s="38">
        <f t="shared" si="0"/>
        <v>2.9180713447973849E-2</v>
      </c>
      <c r="E48" s="38">
        <f t="shared" si="1"/>
        <v>-1.8456397284128756E-3</v>
      </c>
      <c r="H48" s="35">
        <v>44225</v>
      </c>
      <c r="I48" s="37">
        <v>1239.6500000000001</v>
      </c>
      <c r="J48" s="37">
        <v>46285.77</v>
      </c>
      <c r="K48" s="38">
        <f t="shared" si="2"/>
        <v>1.7432771248613053E-2</v>
      </c>
      <c r="L48" s="38">
        <f t="shared" si="3"/>
        <v>4.8801511828013282E-2</v>
      </c>
    </row>
    <row r="49" spans="1:12">
      <c r="A49" s="35">
        <v>42398</v>
      </c>
      <c r="B49" s="37">
        <v>1164.8499999999999</v>
      </c>
      <c r="C49" s="37">
        <v>24824.83</v>
      </c>
      <c r="D49" s="38">
        <f t="shared" si="0"/>
        <v>5.5219197305185234E-3</v>
      </c>
      <c r="E49" s="38">
        <f t="shared" si="1"/>
        <v>-1.1580673316021422E-2</v>
      </c>
      <c r="H49" s="35">
        <v>44228</v>
      </c>
      <c r="I49" s="37">
        <v>1261.45</v>
      </c>
      <c r="J49" s="37">
        <v>48600.61</v>
      </c>
      <c r="K49" s="38">
        <f t="shared" si="2"/>
        <v>7.384770454486364E-3</v>
      </c>
      <c r="L49" s="38">
        <f t="shared" si="3"/>
        <v>2.4333117581988854E-2</v>
      </c>
    </row>
    <row r="50" spans="1:12">
      <c r="A50" s="35">
        <v>42401</v>
      </c>
      <c r="B50" s="37">
        <v>1171.3</v>
      </c>
      <c r="C50" s="37">
        <v>24539</v>
      </c>
      <c r="D50" s="38">
        <f t="shared" si="0"/>
        <v>2.9836772486361279E-3</v>
      </c>
      <c r="E50" s="38">
        <f t="shared" si="1"/>
        <v>-1.2947883129401901E-2</v>
      </c>
      <c r="H50" s="35">
        <v>44229</v>
      </c>
      <c r="I50" s="37">
        <v>1270.8</v>
      </c>
      <c r="J50" s="37">
        <v>49797.72</v>
      </c>
      <c r="K50" s="38">
        <f t="shared" si="2"/>
        <v>1.1967759876680039E-2</v>
      </c>
      <c r="L50" s="38">
        <f t="shared" si="3"/>
        <v>9.1557684035158127E-3</v>
      </c>
    </row>
    <row r="51" spans="1:12">
      <c r="A51" s="35">
        <v>42402</v>
      </c>
      <c r="B51" s="37">
        <v>1174.8</v>
      </c>
      <c r="C51" s="37">
        <v>24223.32</v>
      </c>
      <c r="D51" s="38">
        <f t="shared" si="0"/>
        <v>-1.4274015901530364E-2</v>
      </c>
      <c r="E51" s="38">
        <f t="shared" si="1"/>
        <v>4.7407770762397713E-3</v>
      </c>
      <c r="H51" s="35">
        <v>44230</v>
      </c>
      <c r="I51" s="37">
        <v>1286.0999999999999</v>
      </c>
      <c r="J51" s="37">
        <v>50255.75</v>
      </c>
      <c r="K51" s="38">
        <f t="shared" si="2"/>
        <v>-4.9887078284907172E-3</v>
      </c>
      <c r="L51" s="38">
        <f t="shared" si="3"/>
        <v>7.1089792366011897E-3</v>
      </c>
    </row>
    <row r="52" spans="1:12">
      <c r="A52" s="35">
        <v>42403</v>
      </c>
      <c r="B52" s="37">
        <v>1158.1500000000001</v>
      </c>
      <c r="C52" s="37">
        <v>24338.43</v>
      </c>
      <c r="D52" s="38">
        <f t="shared" si="0"/>
        <v>1.8605784682939115E-2</v>
      </c>
      <c r="E52" s="38">
        <f t="shared" si="1"/>
        <v>1.1379459905185397E-2</v>
      </c>
      <c r="H52" s="35">
        <v>44231</v>
      </c>
      <c r="I52" s="37">
        <v>1279.7</v>
      </c>
      <c r="J52" s="37">
        <v>50614.29</v>
      </c>
      <c r="K52" s="38">
        <f t="shared" si="2"/>
        <v>-5.7993892948955874E-3</v>
      </c>
      <c r="L52" s="38">
        <f t="shared" si="3"/>
        <v>2.315634461318427E-3</v>
      </c>
    </row>
    <row r="53" spans="1:12">
      <c r="A53" s="35">
        <v>42404</v>
      </c>
      <c r="B53" s="37">
        <v>1179.9000000000001</v>
      </c>
      <c r="C53" s="37">
        <v>24616.97</v>
      </c>
      <c r="D53" s="38">
        <f t="shared" si="0"/>
        <v>-4.2040956245163472E-3</v>
      </c>
      <c r="E53" s="38">
        <f t="shared" si="1"/>
        <v>-1.3477521685558831E-2</v>
      </c>
      <c r="H53" s="35">
        <v>44232</v>
      </c>
      <c r="I53" s="37">
        <v>1272.3</v>
      </c>
      <c r="J53" s="37">
        <v>50731.63</v>
      </c>
      <c r="K53" s="38">
        <f t="shared" si="2"/>
        <v>2.4878546231765691E-2</v>
      </c>
      <c r="L53" s="38">
        <f t="shared" si="3"/>
        <v>1.2091400874322453E-2</v>
      </c>
    </row>
    <row r="54" spans="1:12">
      <c r="A54" s="35">
        <v>42405</v>
      </c>
      <c r="B54" s="37">
        <v>1174.95</v>
      </c>
      <c r="C54" s="37">
        <v>24287.42</v>
      </c>
      <c r="D54" s="38">
        <f t="shared" si="0"/>
        <v>-2.2246566217769326E-2</v>
      </c>
      <c r="E54" s="38">
        <f t="shared" si="1"/>
        <v>-1.1030905669227493E-2</v>
      </c>
      <c r="H54" s="35">
        <v>44235</v>
      </c>
      <c r="I54" s="37">
        <v>1304.3499999999999</v>
      </c>
      <c r="J54" s="37">
        <v>51348.77</v>
      </c>
      <c r="K54" s="38">
        <f t="shared" si="2"/>
        <v>4.9820837637330393E-4</v>
      </c>
      <c r="L54" s="38">
        <f t="shared" si="3"/>
        <v>-3.8352965593558657E-4</v>
      </c>
    </row>
    <row r="55" spans="1:12">
      <c r="A55" s="35">
        <v>42408</v>
      </c>
      <c r="B55" s="37">
        <v>1149.0999999999999</v>
      </c>
      <c r="C55" s="37">
        <v>24020.98</v>
      </c>
      <c r="D55" s="38">
        <f t="shared" si="0"/>
        <v>-3.5249841518974062E-2</v>
      </c>
      <c r="E55" s="38">
        <f t="shared" si="1"/>
        <v>-1.0970418027014376E-2</v>
      </c>
      <c r="H55" s="35">
        <v>44236</v>
      </c>
      <c r="I55" s="37">
        <v>1305</v>
      </c>
      <c r="J55" s="37">
        <v>51329.08</v>
      </c>
      <c r="K55" s="38">
        <f t="shared" si="2"/>
        <v>-6.8432853274645001E-3</v>
      </c>
      <c r="L55" s="38">
        <f t="shared" si="3"/>
        <v>-3.8367680737148656E-4</v>
      </c>
    </row>
    <row r="56" spans="1:12">
      <c r="A56" s="35">
        <v>42409</v>
      </c>
      <c r="B56" s="37">
        <v>1109.3</v>
      </c>
      <c r="C56" s="37">
        <v>23758.9</v>
      </c>
      <c r="D56" s="38">
        <f t="shared" si="0"/>
        <v>7.6595556697131671E-4</v>
      </c>
      <c r="E56" s="38">
        <f t="shared" si="1"/>
        <v>-3.4559525236745728E-2</v>
      </c>
      <c r="H56" s="35">
        <v>44237</v>
      </c>
      <c r="I56" s="37">
        <v>1296.0999999999999</v>
      </c>
      <c r="J56" s="37">
        <v>51309.39</v>
      </c>
      <c r="K56" s="38">
        <f t="shared" si="2"/>
        <v>-3.1683500867821777E-3</v>
      </c>
      <c r="L56" s="38">
        <f t="shared" si="3"/>
        <v>4.3198829228124234E-3</v>
      </c>
    </row>
    <row r="57" spans="1:12">
      <c r="A57" s="35">
        <v>42410</v>
      </c>
      <c r="B57" s="37">
        <v>1110.1500000000001</v>
      </c>
      <c r="C57" s="37">
        <v>22951.83</v>
      </c>
      <c r="D57" s="38">
        <f t="shared" si="0"/>
        <v>-2.6469851891681072E-2</v>
      </c>
      <c r="E57" s="38">
        <f t="shared" si="1"/>
        <v>1.4928836122861779E-3</v>
      </c>
      <c r="H57" s="35">
        <v>44238</v>
      </c>
      <c r="I57" s="37">
        <v>1292</v>
      </c>
      <c r="J57" s="37">
        <v>51531.519999999997</v>
      </c>
      <c r="K57" s="38">
        <f t="shared" si="2"/>
        <v>1.3530341714377838E-2</v>
      </c>
      <c r="L57" s="38">
        <f t="shared" si="3"/>
        <v>2.4797280420364265E-4</v>
      </c>
    </row>
    <row r="58" spans="1:12">
      <c r="A58" s="35">
        <v>42411</v>
      </c>
      <c r="B58" s="37">
        <v>1081.1500000000001</v>
      </c>
      <c r="C58" s="37">
        <v>22986.12</v>
      </c>
      <c r="D58" s="38">
        <f t="shared" si="0"/>
        <v>2.1712525565095479E-3</v>
      </c>
      <c r="E58" s="38">
        <f t="shared" si="1"/>
        <v>2.4410196580460647E-2</v>
      </c>
      <c r="H58" s="35">
        <v>44239</v>
      </c>
      <c r="I58" s="37">
        <v>1309.5999999999999</v>
      </c>
      <c r="J58" s="37">
        <v>51544.3</v>
      </c>
      <c r="K58" s="38">
        <f t="shared" si="2"/>
        <v>7.6356278432187298E-5</v>
      </c>
      <c r="L58" s="38">
        <f t="shared" si="3"/>
        <v>1.1761740852460538E-2</v>
      </c>
    </row>
    <row r="59" spans="1:12">
      <c r="A59" s="35">
        <v>42412</v>
      </c>
      <c r="B59" s="37">
        <v>1083.5</v>
      </c>
      <c r="C59" s="37">
        <v>23554.12</v>
      </c>
      <c r="D59" s="38">
        <f t="shared" si="0"/>
        <v>7.2189200086726834E-3</v>
      </c>
      <c r="E59" s="38">
        <f t="shared" si="1"/>
        <v>-1.549465401342438E-2</v>
      </c>
      <c r="H59" s="35">
        <v>44242</v>
      </c>
      <c r="I59" s="37">
        <v>1309.7</v>
      </c>
      <c r="J59" s="37">
        <v>52154.13</v>
      </c>
      <c r="K59" s="38">
        <f t="shared" si="2"/>
        <v>-1.5078368604266444E-2</v>
      </c>
      <c r="L59" s="38">
        <f t="shared" si="3"/>
        <v>-9.5838899778832528E-4</v>
      </c>
    </row>
    <row r="60" spans="1:12">
      <c r="A60" s="35">
        <v>42415</v>
      </c>
      <c r="B60" s="37">
        <v>1091.3499999999999</v>
      </c>
      <c r="C60" s="37">
        <v>23191.97</v>
      </c>
      <c r="D60" s="38">
        <f t="shared" si="0"/>
        <v>-9.528923345878168E-3</v>
      </c>
      <c r="E60" s="38">
        <f t="shared" si="1"/>
        <v>8.1548376678036664E-3</v>
      </c>
      <c r="H60" s="35">
        <v>44243</v>
      </c>
      <c r="I60" s="37">
        <v>1290.0999999999999</v>
      </c>
      <c r="J60" s="37">
        <v>52104.17</v>
      </c>
      <c r="K60" s="38">
        <f t="shared" si="2"/>
        <v>-6.2983762504755141E-3</v>
      </c>
      <c r="L60" s="38">
        <f t="shared" si="3"/>
        <v>-7.7131239357211426E-3</v>
      </c>
    </row>
    <row r="61" spans="1:12">
      <c r="A61" s="35">
        <v>42416</v>
      </c>
      <c r="B61" s="37">
        <v>1081</v>
      </c>
      <c r="C61" s="37">
        <v>23381.87</v>
      </c>
      <c r="D61" s="38">
        <f t="shared" si="0"/>
        <v>1.3278699095020163E-2</v>
      </c>
      <c r="E61" s="38">
        <f t="shared" si="1"/>
        <v>1.1369197684720462E-2</v>
      </c>
      <c r="H61" s="35">
        <v>44244</v>
      </c>
      <c r="I61" s="37">
        <v>1282</v>
      </c>
      <c r="J61" s="37">
        <v>51703.83</v>
      </c>
      <c r="K61" s="38">
        <f t="shared" si="2"/>
        <v>8.0409080085565351E-3</v>
      </c>
      <c r="L61" s="38">
        <f t="shared" si="3"/>
        <v>-7.3599370632072844E-3</v>
      </c>
    </row>
    <row r="62" spans="1:12">
      <c r="A62" s="35">
        <v>42417</v>
      </c>
      <c r="B62" s="37">
        <v>1095.45</v>
      </c>
      <c r="C62" s="37">
        <v>23649.22</v>
      </c>
      <c r="D62" s="38">
        <f t="shared" si="0"/>
        <v>2.4571260730505327E-2</v>
      </c>
      <c r="E62" s="38">
        <f t="shared" si="1"/>
        <v>2.5309161607678593E-3</v>
      </c>
      <c r="H62" s="35">
        <v>44245</v>
      </c>
      <c r="I62" s="37">
        <v>1292.3499999999999</v>
      </c>
      <c r="J62" s="37">
        <v>51324.69</v>
      </c>
      <c r="K62" s="38">
        <f t="shared" si="2"/>
        <v>-7.740837170985244E-4</v>
      </c>
      <c r="L62" s="38">
        <f t="shared" si="3"/>
        <v>-8.5101984098216923E-3</v>
      </c>
    </row>
    <row r="63" spans="1:12">
      <c r="A63" s="35">
        <v>42418</v>
      </c>
      <c r="B63" s="37">
        <v>1122.7</v>
      </c>
      <c r="C63" s="37">
        <v>23709.15</v>
      </c>
      <c r="D63" s="38">
        <f t="shared" si="0"/>
        <v>2.5353065954385051E-3</v>
      </c>
      <c r="E63" s="38">
        <f t="shared" si="1"/>
        <v>3.3534117324565214E-3</v>
      </c>
      <c r="H63" s="35">
        <v>44246</v>
      </c>
      <c r="I63" s="37">
        <v>1291.3499999999999</v>
      </c>
      <c r="J63" s="37">
        <v>50889.760000000002</v>
      </c>
      <c r="K63" s="38">
        <f t="shared" si="2"/>
        <v>-2.0853242886142515E-2</v>
      </c>
      <c r="L63" s="38">
        <f t="shared" si="3"/>
        <v>-2.2765438303043766E-2</v>
      </c>
    </row>
    <row r="64" spans="1:12">
      <c r="A64" s="35">
        <v>42419</v>
      </c>
      <c r="B64" s="37">
        <v>1125.55</v>
      </c>
      <c r="C64" s="37">
        <v>23788.79</v>
      </c>
      <c r="D64" s="38">
        <f t="shared" si="0"/>
        <v>-2.2213830422108163E-4</v>
      </c>
      <c r="E64" s="38">
        <f t="shared" si="1"/>
        <v>-1.6043490819721853E-2</v>
      </c>
      <c r="H64" s="35">
        <v>44249</v>
      </c>
      <c r="I64" s="37">
        <v>1264.7</v>
      </c>
      <c r="J64" s="37">
        <v>49744.32</v>
      </c>
      <c r="K64" s="38">
        <f t="shared" si="2"/>
        <v>1.2248366769623273E-3</v>
      </c>
      <c r="L64" s="38">
        <f t="shared" si="3"/>
        <v>1.4251867918363227E-4</v>
      </c>
    </row>
    <row r="65" spans="1:12">
      <c r="A65" s="35">
        <v>42422</v>
      </c>
      <c r="B65" s="37">
        <v>1125.3</v>
      </c>
      <c r="C65" s="37">
        <v>23410.18</v>
      </c>
      <c r="D65" s="38">
        <f t="shared" si="0"/>
        <v>-1.2004002775217975E-3</v>
      </c>
      <c r="E65" s="38">
        <f t="shared" si="1"/>
        <v>-1.381768860949302E-2</v>
      </c>
      <c r="H65" s="35">
        <v>44250</v>
      </c>
      <c r="I65" s="37">
        <v>1266.25</v>
      </c>
      <c r="J65" s="37">
        <v>49751.41</v>
      </c>
      <c r="K65" s="38">
        <f t="shared" si="2"/>
        <v>6.1802704244419875E-3</v>
      </c>
      <c r="L65" s="38">
        <f t="shared" si="3"/>
        <v>2.0497051630432448E-2</v>
      </c>
    </row>
    <row r="66" spans="1:12">
      <c r="A66" s="35">
        <v>42423</v>
      </c>
      <c r="B66" s="37">
        <v>1123.95</v>
      </c>
      <c r="C66" s="37">
        <v>23088.93</v>
      </c>
      <c r="D66" s="38">
        <f t="shared" si="0"/>
        <v>1.2892615207492977E-3</v>
      </c>
      <c r="E66" s="38">
        <f t="shared" si="1"/>
        <v>-4.9030890197378045E-3</v>
      </c>
      <c r="H66" s="35">
        <v>44251</v>
      </c>
      <c r="I66" s="37">
        <v>1274.0999999999999</v>
      </c>
      <c r="J66" s="37">
        <v>50781.69</v>
      </c>
      <c r="K66" s="38">
        <f t="shared" si="2"/>
        <v>5.1003394792995048E-4</v>
      </c>
      <c r="L66" s="38">
        <f t="shared" si="3"/>
        <v>5.0602635944185965E-3</v>
      </c>
    </row>
    <row r="67" spans="1:12">
      <c r="A67" s="35">
        <v>42424</v>
      </c>
      <c r="B67" s="37">
        <v>1125.4000000000001</v>
      </c>
      <c r="C67" s="37">
        <v>22976</v>
      </c>
      <c r="D67" s="38">
        <f t="shared" si="0"/>
        <v>-1.2653020171064316E-2</v>
      </c>
      <c r="E67" s="38">
        <f t="shared" si="1"/>
        <v>7.7303155583253172E-3</v>
      </c>
      <c r="H67" s="35">
        <v>44252</v>
      </c>
      <c r="I67" s="37">
        <v>1274.75</v>
      </c>
      <c r="J67" s="37">
        <v>51039.31</v>
      </c>
      <c r="K67" s="38">
        <f t="shared" si="2"/>
        <v>-1.7728294627146063E-2</v>
      </c>
      <c r="L67" s="38">
        <f t="shared" si="3"/>
        <v>-3.8737289001910653E-2</v>
      </c>
    </row>
    <row r="68" spans="1:12">
      <c r="A68" s="35">
        <v>42425</v>
      </c>
      <c r="B68" s="37">
        <v>1111.25</v>
      </c>
      <c r="C68" s="37">
        <v>23154.3</v>
      </c>
      <c r="D68" s="38">
        <f t="shared" si="0"/>
        <v>8.7802382823660447E-3</v>
      </c>
      <c r="E68" s="38">
        <f t="shared" si="1"/>
        <v>-6.599339753749431E-3</v>
      </c>
      <c r="H68" s="35">
        <v>44253</v>
      </c>
      <c r="I68" s="37">
        <v>1252.3499999999999</v>
      </c>
      <c r="J68" s="37">
        <v>49099.99</v>
      </c>
      <c r="K68" s="38">
        <f t="shared" si="2"/>
        <v>1.2970967838433631E-2</v>
      </c>
      <c r="L68" s="38">
        <f t="shared" si="3"/>
        <v>1.5156455639343468E-2</v>
      </c>
    </row>
    <row r="69" spans="1:12">
      <c r="A69" s="35">
        <v>42426</v>
      </c>
      <c r="B69" s="37">
        <v>1121.05</v>
      </c>
      <c r="C69" s="37">
        <v>23002</v>
      </c>
      <c r="D69" s="38">
        <f t="shared" ref="D69:D132" si="4">LN(B70/B69)</f>
        <v>-3.3838497015728837E-2</v>
      </c>
      <c r="E69" s="38">
        <f t="shared" ref="E69:E132" si="5">LN(C70/C69)</f>
        <v>3.3236388324639883E-2</v>
      </c>
      <c r="H69" s="35">
        <v>44256</v>
      </c>
      <c r="I69" s="37">
        <v>1268.7</v>
      </c>
      <c r="J69" s="37">
        <v>49849.84</v>
      </c>
      <c r="K69" s="38">
        <f t="shared" ref="K69:K132" si="6">LN(I70/I69)</f>
        <v>2.7482052163232268E-2</v>
      </c>
      <c r="L69" s="38">
        <f t="shared" ref="L69:L132" si="7">LN(J70/J69)</f>
        <v>8.9279593945457893E-3</v>
      </c>
    </row>
    <row r="70" spans="1:12">
      <c r="A70" s="35">
        <v>42429</v>
      </c>
      <c r="B70" s="37">
        <v>1083.75</v>
      </c>
      <c r="C70" s="37">
        <v>23779.35</v>
      </c>
      <c r="D70" s="38">
        <f t="shared" si="4"/>
        <v>3.691124330461875E-2</v>
      </c>
      <c r="E70" s="38">
        <f t="shared" si="5"/>
        <v>1.9309533943643778E-2</v>
      </c>
      <c r="H70" s="35">
        <v>44257</v>
      </c>
      <c r="I70" s="37">
        <v>1304.05</v>
      </c>
      <c r="J70" s="37">
        <v>50296.89</v>
      </c>
      <c r="K70" s="38">
        <f t="shared" si="6"/>
        <v>2.9877772428352645E-2</v>
      </c>
      <c r="L70" s="38">
        <f t="shared" si="7"/>
        <v>2.2563226254022045E-2</v>
      </c>
    </row>
    <row r="71" spans="1:12">
      <c r="A71" s="35">
        <v>42430</v>
      </c>
      <c r="B71" s="37">
        <v>1124.5</v>
      </c>
      <c r="C71" s="37">
        <v>24242.98</v>
      </c>
      <c r="D71" s="38">
        <f t="shared" si="4"/>
        <v>2.7843517427264666E-2</v>
      </c>
      <c r="E71" s="38">
        <f t="shared" si="5"/>
        <v>1.4903457979181294E-2</v>
      </c>
      <c r="H71" s="35">
        <v>44258</v>
      </c>
      <c r="I71" s="37">
        <v>1343.6</v>
      </c>
      <c r="J71" s="37">
        <v>51444.65</v>
      </c>
      <c r="K71" s="38">
        <f t="shared" si="6"/>
        <v>-9.948098048277584E-3</v>
      </c>
      <c r="L71" s="38">
        <f t="shared" si="7"/>
        <v>-1.1703442378214567E-2</v>
      </c>
    </row>
    <row r="72" spans="1:12">
      <c r="A72" s="35">
        <v>42431</v>
      </c>
      <c r="B72" s="37">
        <v>1156.25</v>
      </c>
      <c r="C72" s="37">
        <v>24606.99</v>
      </c>
      <c r="D72" s="38">
        <f t="shared" si="4"/>
        <v>1.1094979212767281E-2</v>
      </c>
      <c r="E72" s="38">
        <f t="shared" si="5"/>
        <v>1.6035421854286847E-3</v>
      </c>
      <c r="H72" s="35">
        <v>44259</v>
      </c>
      <c r="I72" s="37">
        <v>1330.3</v>
      </c>
      <c r="J72" s="37">
        <v>50846.080000000002</v>
      </c>
      <c r="K72" s="38">
        <f t="shared" si="6"/>
        <v>-1.080764780459745E-2</v>
      </c>
      <c r="L72" s="38">
        <f t="shared" si="7"/>
        <v>-8.7063049818801447E-3</v>
      </c>
    </row>
    <row r="73" spans="1:12">
      <c r="A73" s="35">
        <v>42432</v>
      </c>
      <c r="B73" s="37">
        <v>1169.1500000000001</v>
      </c>
      <c r="C73" s="37">
        <v>24646.48</v>
      </c>
      <c r="D73" s="38">
        <f t="shared" si="4"/>
        <v>1.1967347669247191E-3</v>
      </c>
      <c r="E73" s="38">
        <f t="shared" si="5"/>
        <v>5.1718149010305462E-4</v>
      </c>
      <c r="H73" s="35">
        <v>44260</v>
      </c>
      <c r="I73" s="37">
        <v>1316</v>
      </c>
      <c r="J73" s="37">
        <v>50405.32</v>
      </c>
      <c r="K73" s="38">
        <f t="shared" si="6"/>
        <v>1.5307767901752596E-2</v>
      </c>
      <c r="L73" s="38">
        <f t="shared" si="7"/>
        <v>7.0899913219644528E-4</v>
      </c>
    </row>
    <row r="74" spans="1:12">
      <c r="A74" s="35">
        <v>42433</v>
      </c>
      <c r="B74" s="37">
        <v>1170.55</v>
      </c>
      <c r="C74" s="37">
        <v>24659.23</v>
      </c>
      <c r="D74" s="38">
        <f t="shared" si="4"/>
        <v>-5.9980472013367245E-3</v>
      </c>
      <c r="E74" s="38">
        <f t="shared" si="5"/>
        <v>5.4488025277285822E-3</v>
      </c>
      <c r="H74" s="35">
        <v>44263</v>
      </c>
      <c r="I74" s="37">
        <v>1336.3</v>
      </c>
      <c r="J74" s="37">
        <v>50441.07</v>
      </c>
      <c r="K74" s="38">
        <f t="shared" si="6"/>
        <v>7.0097229604805531E-3</v>
      </c>
      <c r="L74" s="38">
        <f t="shared" si="7"/>
        <v>1.151939161053853E-2</v>
      </c>
    </row>
    <row r="75" spans="1:12">
      <c r="A75" s="35">
        <v>42437</v>
      </c>
      <c r="B75" s="37">
        <v>1163.55</v>
      </c>
      <c r="C75" s="37">
        <v>24793.96</v>
      </c>
      <c r="D75" s="38">
        <f t="shared" si="4"/>
        <v>1.276676677119557E-2</v>
      </c>
      <c r="E75" s="38">
        <f t="shared" si="5"/>
        <v>-6.9053015027098902E-3</v>
      </c>
      <c r="H75" s="35">
        <v>44264</v>
      </c>
      <c r="I75" s="37">
        <v>1345.7</v>
      </c>
      <c r="J75" s="37">
        <v>51025.48</v>
      </c>
      <c r="K75" s="38">
        <f t="shared" si="6"/>
        <v>1.6508592178572597E-2</v>
      </c>
      <c r="L75" s="38">
        <f t="shared" si="7"/>
        <v>4.9661413795287082E-3</v>
      </c>
    </row>
    <row r="76" spans="1:12">
      <c r="A76" s="35">
        <v>42438</v>
      </c>
      <c r="B76" s="37">
        <v>1178.5</v>
      </c>
      <c r="C76" s="37">
        <v>24623.34</v>
      </c>
      <c r="D76" s="38">
        <f t="shared" si="4"/>
        <v>-2.8008456070769759E-2</v>
      </c>
      <c r="E76" s="38">
        <f t="shared" si="5"/>
        <v>3.8365449855808534E-3</v>
      </c>
      <c r="H76" s="35">
        <v>44265</v>
      </c>
      <c r="I76" s="37">
        <v>1368.1</v>
      </c>
      <c r="J76" s="37">
        <v>51279.51</v>
      </c>
      <c r="K76" s="38">
        <f t="shared" si="6"/>
        <v>4.7398637614364655E-3</v>
      </c>
      <c r="L76" s="38">
        <f t="shared" si="7"/>
        <v>-9.5508202664488073E-3</v>
      </c>
    </row>
    <row r="77" spans="1:12">
      <c r="A77" s="35">
        <v>42439</v>
      </c>
      <c r="B77" s="37">
        <v>1145.95</v>
      </c>
      <c r="C77" s="37">
        <v>24717.99</v>
      </c>
      <c r="D77" s="38">
        <f t="shared" si="4"/>
        <v>-3.015143537056239E-3</v>
      </c>
      <c r="E77" s="38">
        <f t="shared" si="5"/>
        <v>3.4849003217853609E-3</v>
      </c>
      <c r="H77" s="35">
        <v>44267</v>
      </c>
      <c r="I77" s="37">
        <v>1374.6</v>
      </c>
      <c r="J77" s="37">
        <v>50792.08</v>
      </c>
      <c r="K77" s="38">
        <f t="shared" si="6"/>
        <v>-1.091822359798689E-3</v>
      </c>
      <c r="L77" s="38">
        <f t="shared" si="7"/>
        <v>-7.8468856534430528E-3</v>
      </c>
    </row>
    <row r="78" spans="1:12">
      <c r="A78" s="35">
        <v>42440</v>
      </c>
      <c r="B78" s="37">
        <v>1142.5</v>
      </c>
      <c r="C78" s="37">
        <v>24804.28</v>
      </c>
      <c r="D78" s="38">
        <f t="shared" si="4"/>
        <v>-1.3575950759267407E-3</v>
      </c>
      <c r="E78" s="38">
        <f t="shared" si="5"/>
        <v>-1.0256707979700111E-2</v>
      </c>
      <c r="H78" s="35">
        <v>44270</v>
      </c>
      <c r="I78" s="37">
        <v>1373.1</v>
      </c>
      <c r="J78" s="37">
        <v>50395.08</v>
      </c>
      <c r="K78" s="38">
        <f t="shared" si="6"/>
        <v>8.0875193753704444E-3</v>
      </c>
      <c r="L78" s="38">
        <f t="shared" si="7"/>
        <v>-6.1771134360814699E-4</v>
      </c>
    </row>
    <row r="79" spans="1:12">
      <c r="A79" s="35">
        <v>42443</v>
      </c>
      <c r="B79" s="37">
        <v>1140.95</v>
      </c>
      <c r="C79" s="37">
        <v>24551.17</v>
      </c>
      <c r="D79" s="38">
        <f t="shared" si="4"/>
        <v>-5.8014490495634395E-3</v>
      </c>
      <c r="E79" s="38">
        <f t="shared" si="5"/>
        <v>5.3341692663763868E-3</v>
      </c>
      <c r="H79" s="35">
        <v>44271</v>
      </c>
      <c r="I79" s="37">
        <v>1384.25</v>
      </c>
      <c r="J79" s="37">
        <v>50363.96</v>
      </c>
      <c r="K79" s="38">
        <f t="shared" si="6"/>
        <v>2.1288503232008179E-3</v>
      </c>
      <c r="L79" s="38">
        <f t="shared" si="7"/>
        <v>-1.1228326299050058E-2</v>
      </c>
    </row>
    <row r="80" spans="1:12">
      <c r="A80" s="35">
        <v>42444</v>
      </c>
      <c r="B80" s="37">
        <v>1134.3499999999999</v>
      </c>
      <c r="C80" s="37">
        <v>24682.48</v>
      </c>
      <c r="D80" s="38">
        <f t="shared" si="4"/>
        <v>1.5439762612967005E-2</v>
      </c>
      <c r="E80" s="38">
        <f t="shared" si="5"/>
        <v>-2.0705087305805916E-4</v>
      </c>
      <c r="H80" s="35">
        <v>44272</v>
      </c>
      <c r="I80" s="37">
        <v>1387.2</v>
      </c>
      <c r="J80" s="37">
        <v>49801.62</v>
      </c>
      <c r="K80" s="38">
        <f t="shared" si="6"/>
        <v>-3.742014368702249E-2</v>
      </c>
      <c r="L80" s="38">
        <f t="shared" si="7"/>
        <v>-1.1818174124933046E-2</v>
      </c>
    </row>
    <row r="81" spans="1:12">
      <c r="A81" s="35">
        <v>42445</v>
      </c>
      <c r="B81" s="37">
        <v>1152</v>
      </c>
      <c r="C81" s="37">
        <v>24677.37</v>
      </c>
      <c r="D81" s="38">
        <f t="shared" si="4"/>
        <v>7.0928417761275155E-3</v>
      </c>
      <c r="E81" s="38">
        <f t="shared" si="5"/>
        <v>1.1097006467681587E-2</v>
      </c>
      <c r="H81" s="35">
        <v>44273</v>
      </c>
      <c r="I81" s="37">
        <v>1336.25</v>
      </c>
      <c r="J81" s="37">
        <v>49216.52</v>
      </c>
      <c r="K81" s="38">
        <f t="shared" si="6"/>
        <v>6.7870188928667108E-3</v>
      </c>
      <c r="L81" s="38">
        <f t="shared" si="7"/>
        <v>1.2954439138586923E-2</v>
      </c>
    </row>
    <row r="82" spans="1:12">
      <c r="A82" s="35">
        <v>42446</v>
      </c>
      <c r="B82" s="37">
        <v>1160.2</v>
      </c>
      <c r="C82" s="37">
        <v>24952.74</v>
      </c>
      <c r="D82" s="38">
        <f t="shared" si="4"/>
        <v>2.5528956178787733E-2</v>
      </c>
      <c r="E82" s="38">
        <f t="shared" si="5"/>
        <v>1.3242331799539556E-2</v>
      </c>
      <c r="H82" s="35">
        <v>44274</v>
      </c>
      <c r="I82" s="37">
        <v>1345.35</v>
      </c>
      <c r="J82" s="37">
        <v>49858.239999999998</v>
      </c>
      <c r="K82" s="38">
        <f t="shared" si="6"/>
        <v>1.8521434510718714E-2</v>
      </c>
      <c r="L82" s="38">
        <f t="shared" si="7"/>
        <v>-1.7454668726340466E-3</v>
      </c>
    </row>
    <row r="83" spans="1:12">
      <c r="A83" s="35">
        <v>42447</v>
      </c>
      <c r="B83" s="37">
        <v>1190.2</v>
      </c>
      <c r="C83" s="37">
        <v>25285.37</v>
      </c>
      <c r="D83" s="38">
        <f t="shared" si="4"/>
        <v>4.0248251548592809E-3</v>
      </c>
      <c r="E83" s="38">
        <f t="shared" si="5"/>
        <v>1.7828408704799199E-3</v>
      </c>
      <c r="H83" s="35">
        <v>44277</v>
      </c>
      <c r="I83" s="37">
        <v>1370.5</v>
      </c>
      <c r="J83" s="37">
        <v>49771.29</v>
      </c>
      <c r="K83" s="38">
        <f t="shared" si="6"/>
        <v>5.1063210067492761E-4</v>
      </c>
      <c r="L83" s="38">
        <f t="shared" si="7"/>
        <v>5.6129648131006587E-3</v>
      </c>
    </row>
    <row r="84" spans="1:12">
      <c r="A84" s="35">
        <v>42450</v>
      </c>
      <c r="B84" s="37">
        <v>1195</v>
      </c>
      <c r="C84" s="37">
        <v>25330.49</v>
      </c>
      <c r="D84" s="38">
        <f t="shared" si="4"/>
        <v>-4.2769154045031853E-3</v>
      </c>
      <c r="E84" s="38">
        <f t="shared" si="5"/>
        <v>2.7907132979801863E-4</v>
      </c>
      <c r="H84" s="35">
        <v>44278</v>
      </c>
      <c r="I84" s="37">
        <v>1371.2</v>
      </c>
      <c r="J84" s="37">
        <v>50051.44</v>
      </c>
      <c r="K84" s="38">
        <f t="shared" si="6"/>
        <v>-1.2770815769008107E-2</v>
      </c>
      <c r="L84" s="38">
        <f t="shared" si="7"/>
        <v>-1.7557936432580839E-2</v>
      </c>
    </row>
    <row r="85" spans="1:12">
      <c r="A85" s="35">
        <v>42451</v>
      </c>
      <c r="B85" s="37">
        <v>1189.9000000000001</v>
      </c>
      <c r="C85" s="37">
        <v>25337.56</v>
      </c>
      <c r="D85" s="38">
        <f t="shared" si="4"/>
        <v>1.4889854473408256E-2</v>
      </c>
      <c r="E85" s="38">
        <f t="shared" si="5"/>
        <v>-1.4756958916742748E-2</v>
      </c>
      <c r="H85" s="35">
        <v>44279</v>
      </c>
      <c r="I85" s="37">
        <v>1353.8</v>
      </c>
      <c r="J85" s="37">
        <v>49180.31</v>
      </c>
      <c r="K85" s="38">
        <f t="shared" si="6"/>
        <v>-1.4920929458544138E-2</v>
      </c>
      <c r="L85" s="38">
        <f t="shared" si="7"/>
        <v>-1.5164944170218384E-2</v>
      </c>
    </row>
    <row r="86" spans="1:12">
      <c r="A86" s="35">
        <v>42452</v>
      </c>
      <c r="B86" s="37">
        <v>1207.75</v>
      </c>
      <c r="C86" s="37">
        <v>24966.400000000001</v>
      </c>
      <c r="D86" s="38">
        <f t="shared" si="4"/>
        <v>-2.5285511617089379E-3</v>
      </c>
      <c r="E86" s="38">
        <f t="shared" si="5"/>
        <v>-2.644643694541789E-3</v>
      </c>
      <c r="H86" s="35">
        <v>44280</v>
      </c>
      <c r="I86" s="37">
        <v>1333.75</v>
      </c>
      <c r="J86" s="37">
        <v>48440.12</v>
      </c>
      <c r="K86" s="38">
        <f t="shared" si="6"/>
        <v>1.910077171052135E-3</v>
      </c>
      <c r="L86" s="38">
        <f t="shared" si="7"/>
        <v>1.166535648098963E-2</v>
      </c>
    </row>
    <row r="87" spans="1:12">
      <c r="A87" s="35">
        <v>42457</v>
      </c>
      <c r="B87" s="37">
        <v>1204.7</v>
      </c>
      <c r="C87" s="37">
        <v>24900.46</v>
      </c>
      <c r="D87" s="38">
        <f t="shared" si="4"/>
        <v>-4.784399532669281E-3</v>
      </c>
      <c r="E87" s="38">
        <f t="shared" si="5"/>
        <v>1.7441858242441023E-2</v>
      </c>
      <c r="H87" s="35">
        <v>44281</v>
      </c>
      <c r="I87" s="37">
        <v>1336.3</v>
      </c>
      <c r="J87" s="37">
        <v>49008.5</v>
      </c>
      <c r="K87" s="38">
        <f t="shared" si="6"/>
        <v>3.6192571919713624E-2</v>
      </c>
      <c r="L87" s="38">
        <f t="shared" si="7"/>
        <v>2.2757128934740779E-2</v>
      </c>
    </row>
    <row r="88" spans="1:12">
      <c r="A88" s="35">
        <v>42458</v>
      </c>
      <c r="B88" s="37">
        <v>1198.95</v>
      </c>
      <c r="C88" s="37">
        <v>25338.58</v>
      </c>
      <c r="D88" s="38">
        <f t="shared" si="4"/>
        <v>5.6970733151674542E-3</v>
      </c>
      <c r="E88" s="38">
        <f t="shared" si="5"/>
        <v>1.2943849755765014E-4</v>
      </c>
      <c r="H88" s="35">
        <v>44285</v>
      </c>
      <c r="I88" s="37">
        <v>1385.55</v>
      </c>
      <c r="J88" s="37">
        <v>50136.58</v>
      </c>
      <c r="K88" s="38">
        <f t="shared" si="6"/>
        <v>-1.2930118762793394E-2</v>
      </c>
      <c r="L88" s="38">
        <f t="shared" si="7"/>
        <v>-1.2593380411931034E-2</v>
      </c>
    </row>
    <row r="89" spans="1:12">
      <c r="A89" s="35">
        <v>42459</v>
      </c>
      <c r="B89" s="37">
        <v>1205.8</v>
      </c>
      <c r="C89" s="37">
        <v>25341.86</v>
      </c>
      <c r="D89" s="38">
        <f t="shared" si="4"/>
        <v>1.0025870468805929E-2</v>
      </c>
      <c r="E89" s="38">
        <f t="shared" si="5"/>
        <v>-2.8538987786469582E-3</v>
      </c>
      <c r="H89" s="35">
        <v>44286</v>
      </c>
      <c r="I89" s="37">
        <v>1367.75</v>
      </c>
      <c r="J89" s="37">
        <v>49509.15</v>
      </c>
      <c r="K89" s="38">
        <f t="shared" si="6"/>
        <v>1.2749668719897958E-2</v>
      </c>
      <c r="L89" s="38">
        <f t="shared" si="7"/>
        <v>1.0461926556000251E-2</v>
      </c>
    </row>
    <row r="90" spans="1:12">
      <c r="A90" s="35">
        <v>42460</v>
      </c>
      <c r="B90" s="37">
        <v>1217.95</v>
      </c>
      <c r="C90" s="37">
        <v>25269.64</v>
      </c>
      <c r="D90" s="38">
        <f t="shared" si="4"/>
        <v>-9.9429414145641975E-3</v>
      </c>
      <c r="E90" s="38">
        <f t="shared" si="5"/>
        <v>5.1317192450376116E-3</v>
      </c>
      <c r="H90" s="35">
        <v>44287</v>
      </c>
      <c r="I90" s="37">
        <v>1385.3</v>
      </c>
      <c r="J90" s="37">
        <v>50029.83</v>
      </c>
      <c r="K90" s="38">
        <f t="shared" si="6"/>
        <v>1.7779359028836299E-2</v>
      </c>
      <c r="L90" s="38">
        <f t="shared" si="7"/>
        <v>-1.7552975315003674E-2</v>
      </c>
    </row>
    <row r="91" spans="1:12">
      <c r="A91" s="35">
        <v>42461</v>
      </c>
      <c r="B91" s="37">
        <v>1205.9000000000001</v>
      </c>
      <c r="C91" s="37">
        <v>25399.65</v>
      </c>
      <c r="D91" s="38">
        <f t="shared" si="4"/>
        <v>3.0744016412802423E-2</v>
      </c>
      <c r="E91" s="38">
        <f t="shared" si="5"/>
        <v>-2.0526844335689562E-2</v>
      </c>
      <c r="H91" s="35">
        <v>44291</v>
      </c>
      <c r="I91" s="37">
        <v>1410.15</v>
      </c>
      <c r="J91" s="37">
        <v>49159.32</v>
      </c>
      <c r="K91" s="38">
        <f t="shared" si="6"/>
        <v>7.0889309316809861E-4</v>
      </c>
      <c r="L91" s="38">
        <f t="shared" si="7"/>
        <v>8.5542291358799193E-4</v>
      </c>
    </row>
    <row r="92" spans="1:12">
      <c r="A92" s="35">
        <v>42464</v>
      </c>
      <c r="B92" s="37">
        <v>1243.55</v>
      </c>
      <c r="C92" s="37">
        <v>24883.59</v>
      </c>
      <c r="D92" s="38">
        <f t="shared" si="4"/>
        <v>-2.0267533707955386E-2</v>
      </c>
      <c r="E92" s="38">
        <f t="shared" si="5"/>
        <v>6.8455428910744499E-4</v>
      </c>
      <c r="H92" s="35">
        <v>44292</v>
      </c>
      <c r="I92" s="37">
        <v>1411.15</v>
      </c>
      <c r="J92" s="37">
        <v>49201.39</v>
      </c>
      <c r="K92" s="38">
        <f t="shared" si="6"/>
        <v>1.3444279362800576E-2</v>
      </c>
      <c r="L92" s="38">
        <f t="shared" si="7"/>
        <v>9.3133453190934051E-3</v>
      </c>
    </row>
    <row r="93" spans="1:12">
      <c r="A93" s="35">
        <v>42465</v>
      </c>
      <c r="B93" s="37">
        <v>1218.5999999999999</v>
      </c>
      <c r="C93" s="37">
        <v>24900.63</v>
      </c>
      <c r="D93" s="38">
        <f t="shared" si="4"/>
        <v>-1.4464855253949445E-2</v>
      </c>
      <c r="E93" s="38">
        <f t="shared" si="5"/>
        <v>-8.6803184081248284E-3</v>
      </c>
      <c r="H93" s="35">
        <v>44293</v>
      </c>
      <c r="I93" s="37">
        <v>1430.25</v>
      </c>
      <c r="J93" s="37">
        <v>49661.760000000002</v>
      </c>
      <c r="K93" s="38">
        <f t="shared" si="6"/>
        <v>6.6549608865643086E-3</v>
      </c>
      <c r="L93" s="38">
        <f t="shared" si="7"/>
        <v>1.6990593473715941E-3</v>
      </c>
    </row>
    <row r="94" spans="1:12">
      <c r="A94" s="35">
        <v>42466</v>
      </c>
      <c r="B94" s="37">
        <v>1201.0999999999999</v>
      </c>
      <c r="C94" s="37">
        <v>24685.42</v>
      </c>
      <c r="D94" s="38">
        <f t="shared" si="4"/>
        <v>-1.6326036734149264E-2</v>
      </c>
      <c r="E94" s="38">
        <f t="shared" si="5"/>
        <v>-4.6921287768309677E-4</v>
      </c>
      <c r="H94" s="35">
        <v>44294</v>
      </c>
      <c r="I94" s="37">
        <v>1439.8</v>
      </c>
      <c r="J94" s="37">
        <v>49746.21</v>
      </c>
      <c r="K94" s="38">
        <f t="shared" si="6"/>
        <v>6.5959628157314038E-4</v>
      </c>
      <c r="L94" s="38">
        <f t="shared" si="7"/>
        <v>-3.1184613815715911E-3</v>
      </c>
    </row>
    <row r="95" spans="1:12">
      <c r="A95" s="35">
        <v>42467</v>
      </c>
      <c r="B95" s="37">
        <v>1181.6500000000001</v>
      </c>
      <c r="C95" s="37">
        <v>24673.84</v>
      </c>
      <c r="D95" s="38">
        <f t="shared" si="4"/>
        <v>-1.2175544194848712E-2</v>
      </c>
      <c r="E95" s="38">
        <f t="shared" si="5"/>
        <v>1.401825917811292E-2</v>
      </c>
      <c r="H95" s="35">
        <v>44295</v>
      </c>
      <c r="I95" s="37">
        <v>1440.75</v>
      </c>
      <c r="J95" s="37">
        <v>49591.32</v>
      </c>
      <c r="K95" s="38">
        <f t="shared" si="6"/>
        <v>-1.0430751633247703E-2</v>
      </c>
      <c r="L95" s="38">
        <f t="shared" si="7"/>
        <v>-3.5047347068861347E-2</v>
      </c>
    </row>
    <row r="96" spans="1:12">
      <c r="A96" s="35">
        <v>42468</v>
      </c>
      <c r="B96" s="37">
        <v>1167.3499999999999</v>
      </c>
      <c r="C96" s="37">
        <v>25022.16</v>
      </c>
      <c r="D96" s="38">
        <f t="shared" si="4"/>
        <v>1.450009459598982E-2</v>
      </c>
      <c r="E96" s="38">
        <f t="shared" si="5"/>
        <v>4.9207010102646888E-3</v>
      </c>
      <c r="H96" s="35">
        <v>44298</v>
      </c>
      <c r="I96" s="37">
        <v>1425.8</v>
      </c>
      <c r="J96" s="37">
        <v>47883.38</v>
      </c>
      <c r="K96" s="38">
        <f t="shared" si="6"/>
        <v>-1.9261323413761716E-2</v>
      </c>
      <c r="L96" s="38">
        <f t="shared" si="7"/>
        <v>1.370336780971371E-2</v>
      </c>
    </row>
    <row r="97" spans="1:12">
      <c r="A97" s="35">
        <v>42471</v>
      </c>
      <c r="B97" s="37">
        <v>1184.4000000000001</v>
      </c>
      <c r="C97" s="37">
        <v>25145.59</v>
      </c>
      <c r="D97" s="38">
        <f t="shared" si="4"/>
        <v>-1.774623358368601E-3</v>
      </c>
      <c r="E97" s="38">
        <f t="shared" si="5"/>
        <v>1.8954194551679102E-2</v>
      </c>
      <c r="H97" s="35">
        <v>44299</v>
      </c>
      <c r="I97" s="37">
        <v>1398.6</v>
      </c>
      <c r="J97" s="37">
        <v>48544.06</v>
      </c>
      <c r="K97" s="38">
        <f t="shared" si="6"/>
        <v>-2.688470315595206E-2</v>
      </c>
      <c r="L97" s="38">
        <f t="shared" si="7"/>
        <v>5.333880694540852E-3</v>
      </c>
    </row>
    <row r="98" spans="1:12">
      <c r="A98" s="35">
        <v>42472</v>
      </c>
      <c r="B98" s="37">
        <v>1182.3</v>
      </c>
      <c r="C98" s="37">
        <v>25626.75</v>
      </c>
      <c r="D98" s="38">
        <f t="shared" si="4"/>
        <v>-8.707341526071043E-3</v>
      </c>
      <c r="E98" s="38">
        <f t="shared" si="5"/>
        <v>7.3716716831814504E-3</v>
      </c>
      <c r="H98" s="35">
        <v>44301</v>
      </c>
      <c r="I98" s="37">
        <v>1361.5</v>
      </c>
      <c r="J98" s="37">
        <v>48803.68</v>
      </c>
      <c r="K98" s="38">
        <f t="shared" si="6"/>
        <v>-6.5953334997888805E-3</v>
      </c>
      <c r="L98" s="38">
        <f t="shared" si="7"/>
        <v>5.8073016105990142E-4</v>
      </c>
    </row>
    <row r="99" spans="1:12">
      <c r="A99" s="35">
        <v>42473</v>
      </c>
      <c r="B99" s="37">
        <v>1172.05</v>
      </c>
      <c r="C99" s="37">
        <v>25816.36</v>
      </c>
      <c r="D99" s="38">
        <f t="shared" si="4"/>
        <v>5.5388816756051E-2</v>
      </c>
      <c r="E99" s="38">
        <f t="shared" si="5"/>
        <v>1.0770310449429018E-3</v>
      </c>
      <c r="H99" s="35">
        <v>44302</v>
      </c>
      <c r="I99" s="37">
        <v>1352.55</v>
      </c>
      <c r="J99" s="37">
        <v>48832.03</v>
      </c>
      <c r="K99" s="38">
        <f t="shared" si="6"/>
        <v>7.4029397255424099E-3</v>
      </c>
      <c r="L99" s="38">
        <f t="shared" si="7"/>
        <v>-1.8239744690021143E-2</v>
      </c>
    </row>
    <row r="100" spans="1:12">
      <c r="A100" s="35">
        <v>42478</v>
      </c>
      <c r="B100" s="37">
        <v>1238.8</v>
      </c>
      <c r="C100" s="37">
        <v>25844.18</v>
      </c>
      <c r="D100" s="38">
        <f t="shared" si="4"/>
        <v>3.5857494958002204E-3</v>
      </c>
      <c r="E100" s="38">
        <f t="shared" si="5"/>
        <v>1.3997221401329794E-3</v>
      </c>
      <c r="H100" s="35">
        <v>44305</v>
      </c>
      <c r="I100" s="37">
        <v>1362.6</v>
      </c>
      <c r="J100" s="37">
        <v>47949.42</v>
      </c>
      <c r="K100" s="38">
        <f t="shared" si="6"/>
        <v>-8.7716627728491939E-3</v>
      </c>
      <c r="L100" s="38">
        <f t="shared" si="7"/>
        <v>-5.0937215291918577E-3</v>
      </c>
    </row>
    <row r="101" spans="1:12">
      <c r="A101" s="35">
        <v>42480</v>
      </c>
      <c r="B101" s="37">
        <v>1243.25</v>
      </c>
      <c r="C101" s="37">
        <v>25880.38</v>
      </c>
      <c r="D101" s="38">
        <f t="shared" si="4"/>
        <v>-1.3645870037243496E-2</v>
      </c>
      <c r="E101" s="38">
        <f t="shared" si="5"/>
        <v>-1.6334577784519247E-3</v>
      </c>
      <c r="H101" s="35">
        <v>44306</v>
      </c>
      <c r="I101" s="37">
        <v>1350.7</v>
      </c>
      <c r="J101" s="37">
        <v>47705.8</v>
      </c>
      <c r="K101" s="38">
        <f t="shared" si="6"/>
        <v>2.5909133114304997E-4</v>
      </c>
      <c r="L101" s="38">
        <f t="shared" si="7"/>
        <v>7.8272414441772856E-3</v>
      </c>
    </row>
    <row r="102" spans="1:12">
      <c r="A102" s="35">
        <v>42481</v>
      </c>
      <c r="B102" s="37">
        <v>1226.4000000000001</v>
      </c>
      <c r="C102" s="37">
        <v>25838.14</v>
      </c>
      <c r="D102" s="38">
        <f t="shared" si="4"/>
        <v>-1.0285922056488612E-2</v>
      </c>
      <c r="E102" s="38">
        <f t="shared" si="5"/>
        <v>-6.1808836124513308E-3</v>
      </c>
      <c r="H102" s="35">
        <v>44308</v>
      </c>
      <c r="I102" s="37">
        <v>1351.05</v>
      </c>
      <c r="J102" s="37">
        <v>48080.67</v>
      </c>
      <c r="K102" s="38">
        <f t="shared" si="6"/>
        <v>-1.2812570522679038E-2</v>
      </c>
      <c r="L102" s="38">
        <f t="shared" si="7"/>
        <v>-4.2147176704060976E-3</v>
      </c>
    </row>
    <row r="103" spans="1:12">
      <c r="A103" s="35">
        <v>42482</v>
      </c>
      <c r="B103" s="37">
        <v>1213.8499999999999</v>
      </c>
      <c r="C103" s="37">
        <v>25678.93</v>
      </c>
      <c r="D103" s="38">
        <f t="shared" si="4"/>
        <v>2.6327712768075624E-3</v>
      </c>
      <c r="E103" s="38">
        <f t="shared" si="5"/>
        <v>1.2706456556932848E-2</v>
      </c>
      <c r="H103" s="35">
        <v>44309</v>
      </c>
      <c r="I103" s="37">
        <v>1333.85</v>
      </c>
      <c r="J103" s="37">
        <v>47878.45</v>
      </c>
      <c r="K103" s="38">
        <f t="shared" si="6"/>
        <v>7.3202941269375245E-3</v>
      </c>
      <c r="L103" s="38">
        <f t="shared" si="7"/>
        <v>1.0555548297353584E-2</v>
      </c>
    </row>
    <row r="104" spans="1:12">
      <c r="A104" s="35">
        <v>42485</v>
      </c>
      <c r="B104" s="37">
        <v>1217.05</v>
      </c>
      <c r="C104" s="37">
        <v>26007.3</v>
      </c>
      <c r="D104" s="38">
        <f t="shared" si="4"/>
        <v>1.297977406378103E-2</v>
      </c>
      <c r="E104" s="38">
        <f t="shared" si="5"/>
        <v>2.1823880567089461E-3</v>
      </c>
      <c r="H104" s="35">
        <v>44312</v>
      </c>
      <c r="I104" s="37">
        <v>1343.65</v>
      </c>
      <c r="J104" s="37">
        <v>48386.51</v>
      </c>
      <c r="K104" s="38">
        <f t="shared" si="6"/>
        <v>3.3805779172185412E-3</v>
      </c>
      <c r="L104" s="38">
        <f t="shared" si="7"/>
        <v>1.1458591951396105E-2</v>
      </c>
    </row>
    <row r="105" spans="1:12">
      <c r="A105" s="35">
        <v>42486</v>
      </c>
      <c r="B105" s="37">
        <v>1232.95</v>
      </c>
      <c r="C105" s="37">
        <v>26064.12</v>
      </c>
      <c r="D105" s="38">
        <f t="shared" si="4"/>
        <v>5.7017077573781483E-3</v>
      </c>
      <c r="E105" s="38">
        <f t="shared" si="5"/>
        <v>-1.7846217996395658E-2</v>
      </c>
      <c r="H105" s="35">
        <v>44313</v>
      </c>
      <c r="I105" s="37">
        <v>1348.2</v>
      </c>
      <c r="J105" s="37">
        <v>48944.14</v>
      </c>
      <c r="K105" s="38">
        <f t="shared" si="6"/>
        <v>5.6581944931910948E-3</v>
      </c>
      <c r="L105" s="38">
        <f t="shared" si="7"/>
        <v>1.6005938900861171E-2</v>
      </c>
    </row>
    <row r="106" spans="1:12">
      <c r="A106" s="35">
        <v>42487</v>
      </c>
      <c r="B106" s="37">
        <v>1240</v>
      </c>
      <c r="C106" s="37">
        <v>25603.1</v>
      </c>
      <c r="D106" s="38">
        <f t="shared" si="4"/>
        <v>-2.3293390345644586E-2</v>
      </c>
      <c r="E106" s="38">
        <f t="shared" si="5"/>
        <v>1.3747390165559013E-4</v>
      </c>
      <c r="H106" s="35">
        <v>44314</v>
      </c>
      <c r="I106" s="37">
        <v>1355.85</v>
      </c>
      <c r="J106" s="37">
        <v>49733.84</v>
      </c>
      <c r="K106" s="38">
        <f t="shared" si="6"/>
        <v>-2.2128789645509459E-4</v>
      </c>
      <c r="L106" s="38">
        <f t="shared" si="7"/>
        <v>6.4522757967214119E-4</v>
      </c>
    </row>
    <row r="107" spans="1:12">
      <c r="A107" s="35">
        <v>42488</v>
      </c>
      <c r="B107" s="37">
        <v>1211.45</v>
      </c>
      <c r="C107" s="37">
        <v>25606.62</v>
      </c>
      <c r="D107" s="38">
        <f t="shared" si="4"/>
        <v>-4.9539694692735982E-4</v>
      </c>
      <c r="E107" s="38">
        <f t="shared" si="5"/>
        <v>-6.6472842009971823E-3</v>
      </c>
      <c r="H107" s="35">
        <v>44315</v>
      </c>
      <c r="I107" s="37">
        <v>1355.55</v>
      </c>
      <c r="J107" s="37">
        <v>49765.94</v>
      </c>
      <c r="K107" s="38">
        <f t="shared" si="6"/>
        <v>-1.2179595150091603E-3</v>
      </c>
      <c r="L107" s="38">
        <f t="shared" si="7"/>
        <v>-1.996204219560806E-2</v>
      </c>
    </row>
    <row r="108" spans="1:12">
      <c r="A108" s="35">
        <v>42489</v>
      </c>
      <c r="B108" s="37">
        <v>1210.8499999999999</v>
      </c>
      <c r="C108" s="37">
        <v>25436.97</v>
      </c>
      <c r="D108" s="38">
        <f t="shared" si="4"/>
        <v>-8.4595155121871216E-3</v>
      </c>
      <c r="E108" s="38">
        <f t="shared" si="5"/>
        <v>-8.1817556290671497E-3</v>
      </c>
      <c r="H108" s="35">
        <v>44316</v>
      </c>
      <c r="I108" s="37">
        <v>1353.9</v>
      </c>
      <c r="J108" s="37">
        <v>48782.36</v>
      </c>
      <c r="K108" s="38">
        <f t="shared" si="6"/>
        <v>-1.5522788348115424E-3</v>
      </c>
      <c r="L108" s="38">
        <f t="shared" si="7"/>
        <v>-1.3095268293590962E-3</v>
      </c>
    </row>
    <row r="109" spans="1:12">
      <c r="A109" s="35">
        <v>42492</v>
      </c>
      <c r="B109" s="37">
        <v>1200.6500000000001</v>
      </c>
      <c r="C109" s="37">
        <v>25229.7</v>
      </c>
      <c r="D109" s="38">
        <f t="shared" si="4"/>
        <v>-1.6713247018097042E-2</v>
      </c>
      <c r="E109" s="38">
        <f t="shared" si="5"/>
        <v>-5.0851039104952171E-3</v>
      </c>
      <c r="H109" s="35">
        <v>44319</v>
      </c>
      <c r="I109" s="37">
        <v>1351.8</v>
      </c>
      <c r="J109" s="37">
        <v>48718.52</v>
      </c>
      <c r="K109" s="38">
        <f t="shared" si="6"/>
        <v>-1.659649856699235E-2</v>
      </c>
      <c r="L109" s="38">
        <f t="shared" si="7"/>
        <v>-9.5906740188077128E-3</v>
      </c>
    </row>
    <row r="110" spans="1:12">
      <c r="A110" s="35">
        <v>42493</v>
      </c>
      <c r="B110" s="37">
        <v>1180.75</v>
      </c>
      <c r="C110" s="37">
        <v>25101.73</v>
      </c>
      <c r="D110" s="38">
        <f t="shared" si="4"/>
        <v>7.4252545516263696E-3</v>
      </c>
      <c r="E110" s="38">
        <f t="shared" si="5"/>
        <v>6.3728351328823062E-3</v>
      </c>
      <c r="H110" s="35">
        <v>44320</v>
      </c>
      <c r="I110" s="37">
        <v>1329.55</v>
      </c>
      <c r="J110" s="37">
        <v>48253.51</v>
      </c>
      <c r="K110" s="38">
        <f t="shared" si="6"/>
        <v>9.0223924097376958E-3</v>
      </c>
      <c r="L110" s="38">
        <f t="shared" si="7"/>
        <v>8.7493669226068587E-3</v>
      </c>
    </row>
    <row r="111" spans="1:12">
      <c r="A111" s="35">
        <v>42494</v>
      </c>
      <c r="B111" s="37">
        <v>1189.55</v>
      </c>
      <c r="C111" s="37">
        <v>25262.21</v>
      </c>
      <c r="D111" s="38">
        <f t="shared" si="4"/>
        <v>2.4349298344360048E-3</v>
      </c>
      <c r="E111" s="38">
        <f t="shared" si="5"/>
        <v>-1.335295344778513E-3</v>
      </c>
      <c r="H111" s="35">
        <v>44321</v>
      </c>
      <c r="I111" s="37">
        <v>1341.6</v>
      </c>
      <c r="J111" s="37">
        <v>48677.55</v>
      </c>
      <c r="K111" s="38">
        <f t="shared" si="6"/>
        <v>1.4466999148070554E-2</v>
      </c>
      <c r="L111" s="38">
        <f t="shared" si="7"/>
        <v>5.5765278265722052E-3</v>
      </c>
    </row>
    <row r="112" spans="1:12">
      <c r="A112" s="35">
        <v>42495</v>
      </c>
      <c r="B112" s="37">
        <v>1192.45</v>
      </c>
      <c r="C112" s="37">
        <v>25228.5</v>
      </c>
      <c r="D112" s="38">
        <f t="shared" si="4"/>
        <v>-9.2675165167118764E-3</v>
      </c>
      <c r="E112" s="38">
        <f t="shared" si="5"/>
        <v>1.8083127040436391E-2</v>
      </c>
      <c r="H112" s="35">
        <v>44322</v>
      </c>
      <c r="I112" s="37">
        <v>1361.15</v>
      </c>
      <c r="J112" s="37">
        <v>48949.760000000002</v>
      </c>
      <c r="K112" s="38">
        <f t="shared" si="6"/>
        <v>-6.4491388233386742E-3</v>
      </c>
      <c r="L112" s="38">
        <f t="shared" si="7"/>
        <v>5.2306529151080697E-3</v>
      </c>
    </row>
    <row r="113" spans="1:12">
      <c r="A113" s="35">
        <v>42496</v>
      </c>
      <c r="B113" s="37">
        <v>1181.45</v>
      </c>
      <c r="C113" s="37">
        <v>25688.86</v>
      </c>
      <c r="D113" s="38">
        <f t="shared" si="4"/>
        <v>1.4870474810597386E-2</v>
      </c>
      <c r="E113" s="38">
        <f t="shared" si="5"/>
        <v>3.2517611252574929E-3</v>
      </c>
      <c r="H113" s="35">
        <v>44323</v>
      </c>
      <c r="I113" s="37">
        <v>1352.4</v>
      </c>
      <c r="J113" s="37">
        <v>49206.47</v>
      </c>
      <c r="K113" s="38">
        <f t="shared" si="6"/>
        <v>-9.5843818490675848E-3</v>
      </c>
      <c r="L113" s="38">
        <f t="shared" si="7"/>
        <v>5.9962363407630023E-3</v>
      </c>
    </row>
    <row r="114" spans="1:12">
      <c r="A114" s="35">
        <v>42499</v>
      </c>
      <c r="B114" s="37">
        <v>1199.1500000000001</v>
      </c>
      <c r="C114" s="37">
        <v>25772.53</v>
      </c>
      <c r="D114" s="38">
        <f t="shared" si="4"/>
        <v>1.1112607618639577E-2</v>
      </c>
      <c r="E114" s="38">
        <f t="shared" si="5"/>
        <v>-6.8332575593705704E-3</v>
      </c>
      <c r="H114" s="35">
        <v>44326</v>
      </c>
      <c r="I114" s="37">
        <v>1339.5</v>
      </c>
      <c r="J114" s="37">
        <v>49502.41</v>
      </c>
      <c r="K114" s="38">
        <f t="shared" si="6"/>
        <v>-6.5912904349666266E-3</v>
      </c>
      <c r="L114" s="38">
        <f t="shared" si="7"/>
        <v>-6.9042526864486198E-3</v>
      </c>
    </row>
    <row r="115" spans="1:12">
      <c r="A115" s="35">
        <v>42500</v>
      </c>
      <c r="B115" s="37">
        <v>1212.55</v>
      </c>
      <c r="C115" s="37">
        <v>25597.02</v>
      </c>
      <c r="D115" s="38">
        <f t="shared" si="4"/>
        <v>-9.5294058880613704E-3</v>
      </c>
      <c r="E115" s="38">
        <f t="shared" si="5"/>
        <v>7.5194118352403007E-3</v>
      </c>
      <c r="H115" s="35">
        <v>44327</v>
      </c>
      <c r="I115" s="37">
        <v>1330.7</v>
      </c>
      <c r="J115" s="37">
        <v>49161.81</v>
      </c>
      <c r="K115" s="38">
        <f t="shared" si="6"/>
        <v>-2.8220439024915522E-3</v>
      </c>
      <c r="L115" s="38">
        <f t="shared" si="7"/>
        <v>-9.6270020335473515E-3</v>
      </c>
    </row>
    <row r="116" spans="1:12">
      <c r="A116" s="35">
        <v>42501</v>
      </c>
      <c r="B116" s="37">
        <v>1201.05</v>
      </c>
      <c r="C116" s="37">
        <v>25790.22</v>
      </c>
      <c r="D116" s="38">
        <f t="shared" si="4"/>
        <v>7.5894610014687293E-3</v>
      </c>
      <c r="E116" s="38">
        <f t="shared" si="5"/>
        <v>-1.1726001409822547E-2</v>
      </c>
      <c r="H116" s="35">
        <v>44328</v>
      </c>
      <c r="I116" s="37">
        <v>1326.95</v>
      </c>
      <c r="J116" s="37">
        <v>48690.8</v>
      </c>
      <c r="K116" s="38">
        <f t="shared" si="6"/>
        <v>-7.6785247243999575E-3</v>
      </c>
      <c r="L116" s="38">
        <f t="shared" si="7"/>
        <v>8.5708410880503587E-4</v>
      </c>
    </row>
    <row r="117" spans="1:12">
      <c r="A117" s="35">
        <v>42502</v>
      </c>
      <c r="B117" s="37">
        <v>1210.2</v>
      </c>
      <c r="C117" s="37">
        <v>25489.57</v>
      </c>
      <c r="D117" s="38">
        <f t="shared" si="4"/>
        <v>-2.8962741086659906E-3</v>
      </c>
      <c r="E117" s="38">
        <f t="shared" si="5"/>
        <v>6.400140729499397E-3</v>
      </c>
      <c r="H117" s="35">
        <v>44330</v>
      </c>
      <c r="I117" s="37">
        <v>1316.8</v>
      </c>
      <c r="J117" s="37">
        <v>48732.55</v>
      </c>
      <c r="K117" s="38">
        <f t="shared" si="6"/>
        <v>9.335089238615835E-3</v>
      </c>
      <c r="L117" s="38">
        <f t="shared" si="7"/>
        <v>1.7255065530581603E-2</v>
      </c>
    </row>
    <row r="118" spans="1:12">
      <c r="A118" s="35">
        <v>42503</v>
      </c>
      <c r="B118" s="37">
        <v>1206.7</v>
      </c>
      <c r="C118" s="37">
        <v>25653.23</v>
      </c>
      <c r="D118" s="38">
        <f t="shared" si="4"/>
        <v>5.9901445302653804E-3</v>
      </c>
      <c r="E118" s="38">
        <f t="shared" si="5"/>
        <v>4.6816106091198198E-3</v>
      </c>
      <c r="H118" s="35">
        <v>44333</v>
      </c>
      <c r="I118" s="37">
        <v>1329.15</v>
      </c>
      <c r="J118" s="37">
        <v>49580.73</v>
      </c>
      <c r="K118" s="38">
        <f t="shared" si="6"/>
        <v>8.0926596545365312E-3</v>
      </c>
      <c r="L118" s="38">
        <f t="shared" si="7"/>
        <v>1.2279899166427492E-2</v>
      </c>
    </row>
    <row r="119" spans="1:12">
      <c r="A119" s="35">
        <v>42506</v>
      </c>
      <c r="B119" s="37">
        <v>1213.95</v>
      </c>
      <c r="C119" s="37">
        <v>25773.61</v>
      </c>
      <c r="D119" s="38">
        <f t="shared" si="4"/>
        <v>8.2372322946012614E-5</v>
      </c>
      <c r="E119" s="38">
        <f t="shared" si="5"/>
        <v>-2.6807469769475657E-3</v>
      </c>
      <c r="H119" s="35">
        <v>44334</v>
      </c>
      <c r="I119" s="37">
        <v>1339.95</v>
      </c>
      <c r="J119" s="37">
        <v>50193.33</v>
      </c>
      <c r="K119" s="38">
        <f t="shared" si="6"/>
        <v>-2.5406327882414098E-3</v>
      </c>
      <c r="L119" s="38">
        <f t="shared" si="7"/>
        <v>-5.808242174349402E-3</v>
      </c>
    </row>
    <row r="120" spans="1:12">
      <c r="A120" s="35">
        <v>42507</v>
      </c>
      <c r="B120" s="37">
        <v>1214.05</v>
      </c>
      <c r="C120" s="37">
        <v>25704.61</v>
      </c>
      <c r="D120" s="38">
        <f t="shared" si="4"/>
        <v>-3.5481512593386641E-3</v>
      </c>
      <c r="E120" s="38">
        <f t="shared" si="5"/>
        <v>-1.193220290518974E-2</v>
      </c>
      <c r="H120" s="35">
        <v>44335</v>
      </c>
      <c r="I120" s="37">
        <v>1336.55</v>
      </c>
      <c r="J120" s="37">
        <v>49902.64</v>
      </c>
      <c r="K120" s="38">
        <f t="shared" si="6"/>
        <v>2.1674148993081773E-3</v>
      </c>
      <c r="L120" s="38">
        <f t="shared" si="7"/>
        <v>-6.7917922625534656E-3</v>
      </c>
    </row>
    <row r="121" spans="1:12">
      <c r="A121" s="35">
        <v>42508</v>
      </c>
      <c r="B121" s="37">
        <v>1209.75</v>
      </c>
      <c r="C121" s="37">
        <v>25399.72</v>
      </c>
      <c r="D121" s="38">
        <f t="shared" si="4"/>
        <v>-3.6437454914403809E-3</v>
      </c>
      <c r="E121" s="38">
        <f t="shared" si="5"/>
        <v>-3.8586586137540728E-3</v>
      </c>
      <c r="H121" s="35">
        <v>44336</v>
      </c>
      <c r="I121" s="37">
        <v>1339.45</v>
      </c>
      <c r="J121" s="37">
        <v>49564.86</v>
      </c>
      <c r="K121" s="38">
        <f t="shared" si="6"/>
        <v>1.1320945659666227E-2</v>
      </c>
      <c r="L121" s="38">
        <f t="shared" si="7"/>
        <v>1.9492484435648178E-2</v>
      </c>
    </row>
    <row r="122" spans="1:12">
      <c r="A122" s="35">
        <v>42509</v>
      </c>
      <c r="B122" s="37">
        <v>1205.3499999999999</v>
      </c>
      <c r="C122" s="37">
        <v>25301.9</v>
      </c>
      <c r="D122" s="38">
        <f t="shared" si="4"/>
        <v>-2.9911534079175581E-3</v>
      </c>
      <c r="E122" s="38">
        <f t="shared" si="5"/>
        <v>-2.8314604490548871E-3</v>
      </c>
      <c r="H122" s="35">
        <v>44337</v>
      </c>
      <c r="I122" s="37">
        <v>1354.7</v>
      </c>
      <c r="J122" s="37">
        <v>50540.480000000003</v>
      </c>
      <c r="K122" s="38">
        <f t="shared" si="6"/>
        <v>-4.8467453407575172E-3</v>
      </c>
      <c r="L122" s="38">
        <f t="shared" si="7"/>
        <v>2.2021429879795569E-3</v>
      </c>
    </row>
    <row r="123" spans="1:12">
      <c r="A123" s="35">
        <v>42510</v>
      </c>
      <c r="B123" s="37">
        <v>1201.75</v>
      </c>
      <c r="C123" s="37">
        <v>25230.36</v>
      </c>
      <c r="D123" s="38">
        <f t="shared" si="4"/>
        <v>-9.1954670931002746E-3</v>
      </c>
      <c r="E123" s="38">
        <f t="shared" si="5"/>
        <v>2.9725466191490748E-3</v>
      </c>
      <c r="H123" s="35">
        <v>44340</v>
      </c>
      <c r="I123" s="37">
        <v>1348.15</v>
      </c>
      <c r="J123" s="37">
        <v>50651.9</v>
      </c>
      <c r="K123" s="38">
        <f t="shared" si="6"/>
        <v>1.0147501328978572E-2</v>
      </c>
      <c r="L123" s="38">
        <f t="shared" si="7"/>
        <v>-2.8374135576466529E-4</v>
      </c>
    </row>
    <row r="124" spans="1:12">
      <c r="A124" s="35">
        <v>42513</v>
      </c>
      <c r="B124" s="37">
        <v>1190.75</v>
      </c>
      <c r="C124" s="37">
        <v>25305.47</v>
      </c>
      <c r="D124" s="38">
        <f t="shared" si="4"/>
        <v>-2.1438037593286404E-3</v>
      </c>
      <c r="E124" s="38">
        <f t="shared" si="5"/>
        <v>2.2495099368128317E-2</v>
      </c>
      <c r="H124" s="35">
        <v>44341</v>
      </c>
      <c r="I124" s="37">
        <v>1361.9</v>
      </c>
      <c r="J124" s="37">
        <v>50637.53</v>
      </c>
      <c r="K124" s="38">
        <f t="shared" si="6"/>
        <v>2.5696802167640823E-2</v>
      </c>
      <c r="L124" s="38">
        <f t="shared" si="7"/>
        <v>7.4761021684292507E-3</v>
      </c>
    </row>
    <row r="125" spans="1:12">
      <c r="A125" s="35">
        <v>42514</v>
      </c>
      <c r="B125" s="37">
        <v>1188.2</v>
      </c>
      <c r="C125" s="37">
        <v>25881.17</v>
      </c>
      <c r="D125" s="38">
        <f t="shared" si="4"/>
        <v>1.7229937516988918E-2</v>
      </c>
      <c r="E125" s="38">
        <f t="shared" si="5"/>
        <v>1.8585414528220354E-2</v>
      </c>
      <c r="H125" s="35">
        <v>44342</v>
      </c>
      <c r="I125" s="37">
        <v>1397.35</v>
      </c>
      <c r="J125" s="37">
        <v>51017.52</v>
      </c>
      <c r="K125" s="38">
        <f t="shared" si="6"/>
        <v>5.2105756718792704E-3</v>
      </c>
      <c r="L125" s="38">
        <f t="shared" si="7"/>
        <v>1.9131970766893488E-3</v>
      </c>
    </row>
    <row r="126" spans="1:12">
      <c r="A126" s="35">
        <v>42515</v>
      </c>
      <c r="B126" s="37">
        <v>1208.8499999999999</v>
      </c>
      <c r="C126" s="37">
        <v>26366.68</v>
      </c>
      <c r="D126" s="38">
        <f t="shared" si="4"/>
        <v>1.8685239384277564E-2</v>
      </c>
      <c r="E126" s="38">
        <f t="shared" si="5"/>
        <v>1.0823134122169264E-2</v>
      </c>
      <c r="H126" s="35">
        <v>44343</v>
      </c>
      <c r="I126" s="37">
        <v>1404.65</v>
      </c>
      <c r="J126" s="37">
        <v>51115.22</v>
      </c>
      <c r="K126" s="38">
        <f t="shared" si="6"/>
        <v>1.0678246642040425E-4</v>
      </c>
      <c r="L126" s="38">
        <f t="shared" si="7"/>
        <v>6.0009093841068223E-3</v>
      </c>
    </row>
    <row r="127" spans="1:12">
      <c r="A127" s="35">
        <v>42516</v>
      </c>
      <c r="B127" s="37">
        <v>1231.6500000000001</v>
      </c>
      <c r="C127" s="37">
        <v>26653.599999999999</v>
      </c>
      <c r="D127" s="38">
        <f t="shared" si="4"/>
        <v>1.1904662293576273E-2</v>
      </c>
      <c r="E127" s="38">
        <f t="shared" si="5"/>
        <v>2.6976816312312981E-3</v>
      </c>
      <c r="H127" s="35">
        <v>44344</v>
      </c>
      <c r="I127" s="37">
        <v>1404.8</v>
      </c>
      <c r="J127" s="37">
        <v>51422.879999999997</v>
      </c>
      <c r="K127" s="38">
        <f t="shared" si="6"/>
        <v>-7.9687391254209677E-3</v>
      </c>
      <c r="L127" s="38">
        <f t="shared" si="7"/>
        <v>9.9567077761743127E-3</v>
      </c>
    </row>
    <row r="128" spans="1:12">
      <c r="A128" s="35">
        <v>42517</v>
      </c>
      <c r="B128" s="37">
        <v>1246.4000000000001</v>
      </c>
      <c r="C128" s="37">
        <v>26725.599999999999</v>
      </c>
      <c r="D128" s="38">
        <f t="shared" si="4"/>
        <v>1.3586678312998505E-2</v>
      </c>
      <c r="E128" s="38">
        <f t="shared" si="5"/>
        <v>-2.1590627180874998E-3</v>
      </c>
      <c r="H128" s="35">
        <v>44347</v>
      </c>
      <c r="I128" s="37">
        <v>1393.65</v>
      </c>
      <c r="J128" s="37">
        <v>51937.440000000002</v>
      </c>
      <c r="K128" s="38">
        <f t="shared" si="6"/>
        <v>-4.4947128042302767E-3</v>
      </c>
      <c r="L128" s="38">
        <f t="shared" si="7"/>
        <v>-4.9291283770728784E-5</v>
      </c>
    </row>
    <row r="129" spans="1:12">
      <c r="A129" s="35">
        <v>42520</v>
      </c>
      <c r="B129" s="37">
        <v>1263.45</v>
      </c>
      <c r="C129" s="37">
        <v>26667.96</v>
      </c>
      <c r="D129" s="38">
        <f t="shared" si="4"/>
        <v>-1.082253033371173E-2</v>
      </c>
      <c r="E129" s="38">
        <f t="shared" si="5"/>
        <v>1.7223073729147539E-3</v>
      </c>
      <c r="H129" s="35">
        <v>44348</v>
      </c>
      <c r="I129" s="37">
        <v>1387.4</v>
      </c>
      <c r="J129" s="37">
        <v>51934.879999999997</v>
      </c>
      <c r="K129" s="38">
        <f t="shared" si="6"/>
        <v>-5.5291686315903695E-3</v>
      </c>
      <c r="L129" s="38">
        <f t="shared" si="7"/>
        <v>-1.6457204009301637E-3</v>
      </c>
    </row>
    <row r="130" spans="1:12">
      <c r="A130" s="35">
        <v>42521</v>
      </c>
      <c r="B130" s="37">
        <v>1249.8499999999999</v>
      </c>
      <c r="C130" s="37">
        <v>26713.93</v>
      </c>
      <c r="D130" s="38">
        <f t="shared" si="4"/>
        <v>5.2667400201059054E-3</v>
      </c>
      <c r="E130" s="38">
        <f t="shared" si="5"/>
        <v>4.8251426259447406E-3</v>
      </c>
      <c r="H130" s="35">
        <v>44349</v>
      </c>
      <c r="I130" s="37">
        <v>1379.75</v>
      </c>
      <c r="J130" s="37">
        <v>51849.48</v>
      </c>
      <c r="K130" s="38">
        <f t="shared" si="6"/>
        <v>7.0416468629478117E-3</v>
      </c>
      <c r="L130" s="38">
        <f t="shared" si="7"/>
        <v>7.3586606559525262E-3</v>
      </c>
    </row>
    <row r="131" spans="1:12">
      <c r="A131" s="35">
        <v>42522</v>
      </c>
      <c r="B131" s="37">
        <v>1256.45</v>
      </c>
      <c r="C131" s="37">
        <v>26843.14</v>
      </c>
      <c r="D131" s="38">
        <f t="shared" si="4"/>
        <v>3.0198298468635068E-3</v>
      </c>
      <c r="E131" s="38">
        <f t="shared" si="5"/>
        <v>-4.097889642783683E-6</v>
      </c>
      <c r="H131" s="35">
        <v>44350</v>
      </c>
      <c r="I131" s="37">
        <v>1389.5</v>
      </c>
      <c r="J131" s="37">
        <v>52232.43</v>
      </c>
      <c r="K131" s="38">
        <f t="shared" si="6"/>
        <v>-3.0994366542914631E-3</v>
      </c>
      <c r="L131" s="38">
        <f t="shared" si="7"/>
        <v>-2.5376578998351496E-3</v>
      </c>
    </row>
    <row r="132" spans="1:12">
      <c r="A132" s="35">
        <v>42523</v>
      </c>
      <c r="B132" s="37">
        <v>1260.25</v>
      </c>
      <c r="C132" s="37">
        <v>26843.03</v>
      </c>
      <c r="D132" s="38">
        <f t="shared" si="4"/>
        <v>4.9075968208783273E-3</v>
      </c>
      <c r="E132" s="38">
        <f t="shared" si="5"/>
        <v>-2.4460815232840412E-3</v>
      </c>
      <c r="H132" s="35">
        <v>44351</v>
      </c>
      <c r="I132" s="37">
        <v>1385.2</v>
      </c>
      <c r="J132" s="37">
        <v>52100.05</v>
      </c>
      <c r="K132" s="38">
        <f t="shared" si="6"/>
        <v>3.1714023986281481E-3</v>
      </c>
      <c r="L132" s="38">
        <f t="shared" si="7"/>
        <v>4.3754383758333485E-3</v>
      </c>
    </row>
    <row r="133" spans="1:12">
      <c r="A133" s="35">
        <v>42524</v>
      </c>
      <c r="B133" s="37">
        <v>1266.45</v>
      </c>
      <c r="C133" s="37">
        <v>26777.45</v>
      </c>
      <c r="D133" s="38">
        <f t="shared" ref="D133:D196" si="8">LN(B134/B133)</f>
        <v>5.1311402124378826E-4</v>
      </c>
      <c r="E133" s="38">
        <f t="shared" ref="E133:E196" si="9">LN(C134/C133)</f>
        <v>8.6348346171205292E-3</v>
      </c>
      <c r="H133" s="35">
        <v>44354</v>
      </c>
      <c r="I133" s="37">
        <v>1389.6</v>
      </c>
      <c r="J133" s="37">
        <v>52328.51</v>
      </c>
      <c r="K133" s="38">
        <f t="shared" ref="K133:K196" si="10">LN(I134/I133)</f>
        <v>1.666378142736813E-2</v>
      </c>
      <c r="L133" s="38">
        <f t="shared" ref="L133:L196" si="11">LN(J134/J133)</f>
        <v>-1.0121976985973543E-3</v>
      </c>
    </row>
    <row r="134" spans="1:12">
      <c r="A134" s="35">
        <v>42527</v>
      </c>
      <c r="B134" s="37">
        <v>1267.0999999999999</v>
      </c>
      <c r="C134" s="37">
        <v>27009.67</v>
      </c>
      <c r="D134" s="38">
        <f t="shared" si="8"/>
        <v>-7.8437988814499433E-3</v>
      </c>
      <c r="E134" s="38">
        <f t="shared" si="9"/>
        <v>4.0680855184723429E-4</v>
      </c>
      <c r="H134" s="35">
        <v>44355</v>
      </c>
      <c r="I134" s="37">
        <v>1412.95</v>
      </c>
      <c r="J134" s="37">
        <v>52275.57</v>
      </c>
      <c r="K134" s="38">
        <f t="shared" si="10"/>
        <v>1.2377771106254921E-3</v>
      </c>
      <c r="L134" s="38">
        <f t="shared" si="11"/>
        <v>-6.408368498760619E-3</v>
      </c>
    </row>
    <row r="135" spans="1:12">
      <c r="A135" s="35">
        <v>42528</v>
      </c>
      <c r="B135" s="37">
        <v>1257.2</v>
      </c>
      <c r="C135" s="37">
        <v>27020.66</v>
      </c>
      <c r="D135" s="38">
        <f t="shared" si="8"/>
        <v>-1.5147554702359704E-2</v>
      </c>
      <c r="E135" s="38">
        <f t="shared" si="9"/>
        <v>-9.5642342238599926E-3</v>
      </c>
      <c r="H135" s="35">
        <v>44356</v>
      </c>
      <c r="I135" s="37">
        <v>1414.7</v>
      </c>
      <c r="J135" s="37">
        <v>51941.64</v>
      </c>
      <c r="K135" s="38">
        <f t="shared" si="10"/>
        <v>6.9384798921824477E-3</v>
      </c>
      <c r="L135" s="38">
        <f t="shared" si="11"/>
        <v>6.8845770159421038E-3</v>
      </c>
    </row>
    <row r="136" spans="1:12">
      <c r="A136" s="35">
        <v>42529</v>
      </c>
      <c r="B136" s="37">
        <v>1238.3</v>
      </c>
      <c r="C136" s="37">
        <v>26763.46</v>
      </c>
      <c r="D136" s="38">
        <f t="shared" si="8"/>
        <v>-4.361702190195884E-2</v>
      </c>
      <c r="E136" s="38">
        <f t="shared" si="9"/>
        <v>-4.7832259500591601E-3</v>
      </c>
      <c r="H136" s="35">
        <v>44357</v>
      </c>
      <c r="I136" s="37">
        <v>1424.55</v>
      </c>
      <c r="J136" s="37">
        <v>52300.47</v>
      </c>
      <c r="K136" s="38">
        <f t="shared" si="10"/>
        <v>1.5463687096876967E-2</v>
      </c>
      <c r="L136" s="38">
        <f t="shared" si="11"/>
        <v>3.3269344435818342E-3</v>
      </c>
    </row>
    <row r="137" spans="1:12">
      <c r="A137" s="35">
        <v>42530</v>
      </c>
      <c r="B137" s="37">
        <v>1185.45</v>
      </c>
      <c r="C137" s="37">
        <v>26635.75</v>
      </c>
      <c r="D137" s="38">
        <f t="shared" si="8"/>
        <v>-3.9302744728860932E-3</v>
      </c>
      <c r="E137" s="38">
        <f t="shared" si="9"/>
        <v>-9.0126442284307728E-3</v>
      </c>
      <c r="H137" s="35">
        <v>44358</v>
      </c>
      <c r="I137" s="37">
        <v>1446.75</v>
      </c>
      <c r="J137" s="37">
        <v>52474.76</v>
      </c>
      <c r="K137" s="38">
        <f t="shared" si="10"/>
        <v>1.0075218903169399E-2</v>
      </c>
      <c r="L137" s="38">
        <f t="shared" si="11"/>
        <v>1.4619199378136166E-3</v>
      </c>
    </row>
    <row r="138" spans="1:12">
      <c r="A138" s="35">
        <v>42531</v>
      </c>
      <c r="B138" s="37">
        <v>1180.8</v>
      </c>
      <c r="C138" s="37">
        <v>26396.77</v>
      </c>
      <c r="D138" s="38">
        <f t="shared" si="8"/>
        <v>1.4809489240638421E-3</v>
      </c>
      <c r="E138" s="38">
        <f t="shared" si="9"/>
        <v>-4.0157234520692188E-5</v>
      </c>
      <c r="H138" s="35">
        <v>44361</v>
      </c>
      <c r="I138" s="37">
        <v>1461.4</v>
      </c>
      <c r="J138" s="37">
        <v>52551.53</v>
      </c>
      <c r="K138" s="38">
        <f t="shared" si="10"/>
        <v>7.8044189262913427E-3</v>
      </c>
      <c r="L138" s="38">
        <f t="shared" si="11"/>
        <v>4.2064317110479593E-3</v>
      </c>
    </row>
    <row r="139" spans="1:12">
      <c r="A139" s="35">
        <v>42534</v>
      </c>
      <c r="B139" s="37">
        <v>1182.55</v>
      </c>
      <c r="C139" s="37">
        <v>26395.71</v>
      </c>
      <c r="D139" s="38">
        <f t="shared" si="8"/>
        <v>-6.2347779106041671E-3</v>
      </c>
      <c r="E139" s="38">
        <f t="shared" si="9"/>
        <v>1.2448099024464509E-2</v>
      </c>
      <c r="H139" s="35">
        <v>44362</v>
      </c>
      <c r="I139" s="37">
        <v>1472.85</v>
      </c>
      <c r="J139" s="37">
        <v>52773.05</v>
      </c>
      <c r="K139" s="38">
        <f t="shared" si="10"/>
        <v>5.045470636037456E-3</v>
      </c>
      <c r="L139" s="38">
        <f t="shared" si="11"/>
        <v>-5.1497605664932843E-3</v>
      </c>
    </row>
    <row r="140" spans="1:12">
      <c r="A140" s="35">
        <v>42535</v>
      </c>
      <c r="B140" s="37">
        <v>1175.2</v>
      </c>
      <c r="C140" s="37">
        <v>26726.34</v>
      </c>
      <c r="D140" s="38">
        <f t="shared" si="8"/>
        <v>1.1842466264275112E-2</v>
      </c>
      <c r="E140" s="38">
        <f t="shared" si="9"/>
        <v>-7.5445694924396898E-3</v>
      </c>
      <c r="H140" s="35">
        <v>44363</v>
      </c>
      <c r="I140" s="37">
        <v>1480.3</v>
      </c>
      <c r="J140" s="37">
        <v>52501.98</v>
      </c>
      <c r="K140" s="38">
        <f t="shared" si="10"/>
        <v>1.125173507601036E-2</v>
      </c>
      <c r="L140" s="38">
        <f t="shared" si="11"/>
        <v>-3.4085312595634643E-3</v>
      </c>
    </row>
    <row r="141" spans="1:12">
      <c r="A141" s="35">
        <v>42536</v>
      </c>
      <c r="B141" s="37">
        <v>1189.2</v>
      </c>
      <c r="C141" s="37">
        <v>26525.46</v>
      </c>
      <c r="D141" s="38">
        <f t="shared" si="8"/>
        <v>-2.5258917193163657E-3</v>
      </c>
      <c r="E141" s="38">
        <f t="shared" si="9"/>
        <v>3.7797753695370411E-3</v>
      </c>
      <c r="H141" s="35">
        <v>44364</v>
      </c>
      <c r="I141" s="37">
        <v>1497.05</v>
      </c>
      <c r="J141" s="37">
        <v>52323.33</v>
      </c>
      <c r="K141" s="38">
        <f t="shared" si="10"/>
        <v>4.9641120746430232E-3</v>
      </c>
      <c r="L141" s="38">
        <f t="shared" si="11"/>
        <v>4.0356259178589253E-4</v>
      </c>
    </row>
    <row r="142" spans="1:12">
      <c r="A142" s="35">
        <v>42537</v>
      </c>
      <c r="B142" s="37">
        <v>1186.2</v>
      </c>
      <c r="C142" s="37">
        <v>26625.91</v>
      </c>
      <c r="D142" s="38">
        <f t="shared" si="8"/>
        <v>-6.6821986853313284E-3</v>
      </c>
      <c r="E142" s="38">
        <f t="shared" si="9"/>
        <v>9.0109882311376777E-3</v>
      </c>
      <c r="H142" s="35">
        <v>44365</v>
      </c>
      <c r="I142" s="37">
        <v>1504.5</v>
      </c>
      <c r="J142" s="37">
        <v>52344.45</v>
      </c>
      <c r="K142" s="38">
        <f t="shared" si="10"/>
        <v>-2.762202864453593E-3</v>
      </c>
      <c r="L142" s="38">
        <f t="shared" si="11"/>
        <v>4.3845359902974978E-3</v>
      </c>
    </row>
    <row r="143" spans="1:12">
      <c r="A143" s="35">
        <v>42538</v>
      </c>
      <c r="B143" s="37">
        <v>1178.3</v>
      </c>
      <c r="C143" s="37">
        <v>26866.92</v>
      </c>
      <c r="D143" s="38">
        <f t="shared" si="8"/>
        <v>2.5389943208163155E-2</v>
      </c>
      <c r="E143" s="38">
        <f t="shared" si="9"/>
        <v>-2.0171505562624555E-3</v>
      </c>
      <c r="H143" s="35">
        <v>44368</v>
      </c>
      <c r="I143" s="37">
        <v>1500.35</v>
      </c>
      <c r="J143" s="37">
        <v>52574.46</v>
      </c>
      <c r="K143" s="38">
        <f t="shared" si="10"/>
        <v>7.5364311490159269E-3</v>
      </c>
      <c r="L143" s="38">
        <f t="shared" si="11"/>
        <v>2.7100742754749939E-4</v>
      </c>
    </row>
    <row r="144" spans="1:12">
      <c r="A144" s="35">
        <v>42541</v>
      </c>
      <c r="B144" s="37">
        <v>1208.5999999999999</v>
      </c>
      <c r="C144" s="37">
        <v>26812.78</v>
      </c>
      <c r="D144" s="38">
        <f t="shared" si="8"/>
        <v>-2.2364888179110891E-3</v>
      </c>
      <c r="E144" s="38">
        <f t="shared" si="9"/>
        <v>-1.7592905262813613E-3</v>
      </c>
      <c r="H144" s="35">
        <v>44369</v>
      </c>
      <c r="I144" s="37">
        <v>1511.7</v>
      </c>
      <c r="J144" s="37">
        <v>52588.71</v>
      </c>
      <c r="K144" s="38">
        <f t="shared" si="10"/>
        <v>-5.8715399812805233E-3</v>
      </c>
      <c r="L144" s="38">
        <f t="shared" si="11"/>
        <v>-5.3888412180447482E-3</v>
      </c>
    </row>
    <row r="145" spans="1:12">
      <c r="A145" s="35">
        <v>42542</v>
      </c>
      <c r="B145" s="37">
        <v>1205.9000000000001</v>
      </c>
      <c r="C145" s="37">
        <v>26765.65</v>
      </c>
      <c r="D145" s="38">
        <f t="shared" si="8"/>
        <v>-6.1136832901278054E-3</v>
      </c>
      <c r="E145" s="38">
        <f t="shared" si="9"/>
        <v>8.7997358486189715E-3</v>
      </c>
      <c r="H145" s="35">
        <v>44370</v>
      </c>
      <c r="I145" s="37">
        <v>1502.85</v>
      </c>
      <c r="J145" s="37">
        <v>52306.080000000002</v>
      </c>
      <c r="K145" s="38">
        <f t="shared" si="10"/>
        <v>3.6777495578749375E-2</v>
      </c>
      <c r="L145" s="38">
        <f t="shared" si="11"/>
        <v>7.4838633310652849E-3</v>
      </c>
    </row>
    <row r="146" spans="1:12">
      <c r="A146" s="35">
        <v>42543</v>
      </c>
      <c r="B146" s="37">
        <v>1198.55</v>
      </c>
      <c r="C146" s="37">
        <v>27002.22</v>
      </c>
      <c r="D146" s="38">
        <f t="shared" si="8"/>
        <v>1.0788038736995895E-2</v>
      </c>
      <c r="E146" s="38">
        <f t="shared" si="9"/>
        <v>-2.2641820880803357E-2</v>
      </c>
      <c r="H146" s="35">
        <v>44371</v>
      </c>
      <c r="I146" s="37">
        <v>1559.15</v>
      </c>
      <c r="J146" s="37">
        <v>52699</v>
      </c>
      <c r="K146" s="38">
        <f t="shared" si="10"/>
        <v>9.7652039716605195E-3</v>
      </c>
      <c r="L146" s="38">
        <f t="shared" si="11"/>
        <v>4.280092771919224E-3</v>
      </c>
    </row>
    <row r="147" spans="1:12">
      <c r="A147" s="35">
        <v>42544</v>
      </c>
      <c r="B147" s="37">
        <v>1211.55</v>
      </c>
      <c r="C147" s="37">
        <v>26397.71</v>
      </c>
      <c r="D147" s="38">
        <f t="shared" si="8"/>
        <v>-1.4172843790550709E-2</v>
      </c>
      <c r="E147" s="38">
        <f t="shared" si="9"/>
        <v>1.9886111359197807E-4</v>
      </c>
      <c r="H147" s="35">
        <v>44372</v>
      </c>
      <c r="I147" s="37">
        <v>1574.45</v>
      </c>
      <c r="J147" s="37">
        <v>52925.04</v>
      </c>
      <c r="K147" s="38">
        <f t="shared" si="10"/>
        <v>-1.8436114567079592E-3</v>
      </c>
      <c r="L147" s="38">
        <f t="shared" si="11"/>
        <v>-3.5860131255920683E-3</v>
      </c>
    </row>
    <row r="148" spans="1:12">
      <c r="A148" s="35">
        <v>42545</v>
      </c>
      <c r="B148" s="37">
        <v>1194.5</v>
      </c>
      <c r="C148" s="37">
        <v>26402.959999999999</v>
      </c>
      <c r="D148" s="38">
        <f t="shared" si="8"/>
        <v>-2.393421460431059E-2</v>
      </c>
      <c r="E148" s="38">
        <f t="shared" si="9"/>
        <v>4.5945941496206514E-3</v>
      </c>
      <c r="H148" s="35">
        <v>44375</v>
      </c>
      <c r="I148" s="37">
        <v>1571.55</v>
      </c>
      <c r="J148" s="37">
        <v>52735.59</v>
      </c>
      <c r="K148" s="38">
        <f t="shared" si="10"/>
        <v>-5.7112929044397338E-3</v>
      </c>
      <c r="L148" s="38">
        <f t="shared" si="11"/>
        <v>-3.5319324080563155E-3</v>
      </c>
    </row>
    <row r="149" spans="1:12">
      <c r="A149" s="35">
        <v>42548</v>
      </c>
      <c r="B149" s="37">
        <v>1166.25</v>
      </c>
      <c r="C149" s="37">
        <v>26524.55</v>
      </c>
      <c r="D149" s="38">
        <f t="shared" si="8"/>
        <v>-4.468705068853409E-3</v>
      </c>
      <c r="E149" s="38">
        <f t="shared" si="9"/>
        <v>8.1044372300879425E-3</v>
      </c>
      <c r="H149" s="35">
        <v>44376</v>
      </c>
      <c r="I149" s="37">
        <v>1562.6</v>
      </c>
      <c r="J149" s="37">
        <v>52549.66</v>
      </c>
      <c r="K149" s="38">
        <f t="shared" si="10"/>
        <v>1.1864572913186482E-2</v>
      </c>
      <c r="L149" s="38">
        <f t="shared" si="11"/>
        <v>-1.2748452513722519E-3</v>
      </c>
    </row>
    <row r="150" spans="1:12">
      <c r="A150" s="35">
        <v>42549</v>
      </c>
      <c r="B150" s="37">
        <v>1161.05</v>
      </c>
      <c r="C150" s="37">
        <v>26740.39</v>
      </c>
      <c r="D150" s="38">
        <f t="shared" si="8"/>
        <v>1.3261659109189274E-2</v>
      </c>
      <c r="E150" s="38">
        <f t="shared" si="9"/>
        <v>9.6513391211993007E-3</v>
      </c>
      <c r="H150" s="35">
        <v>44377</v>
      </c>
      <c r="I150" s="37">
        <v>1581.25</v>
      </c>
      <c r="J150" s="37">
        <v>52482.71</v>
      </c>
      <c r="K150" s="38">
        <f t="shared" si="10"/>
        <v>-1.3241432290816431E-2</v>
      </c>
      <c r="L150" s="38">
        <f t="shared" si="11"/>
        <v>-3.1318336409682825E-3</v>
      </c>
    </row>
    <row r="151" spans="1:12">
      <c r="A151" s="35">
        <v>42550</v>
      </c>
      <c r="B151" s="37">
        <v>1176.55</v>
      </c>
      <c r="C151" s="37">
        <v>26999.72</v>
      </c>
      <c r="D151" s="38">
        <f t="shared" si="8"/>
        <v>-4.9418581382383439E-3</v>
      </c>
      <c r="E151" s="38">
        <f t="shared" si="9"/>
        <v>5.3630562440103594E-3</v>
      </c>
      <c r="H151" s="35">
        <v>44378</v>
      </c>
      <c r="I151" s="37">
        <v>1560.45</v>
      </c>
      <c r="J151" s="37">
        <v>52318.6</v>
      </c>
      <c r="K151" s="38">
        <f t="shared" si="10"/>
        <v>4.4439544337503117E-3</v>
      </c>
      <c r="L151" s="38">
        <f t="shared" si="11"/>
        <v>3.1691785761324828E-3</v>
      </c>
    </row>
    <row r="152" spans="1:12">
      <c r="A152" s="35">
        <v>42551</v>
      </c>
      <c r="B152" s="37">
        <v>1170.75</v>
      </c>
      <c r="C152" s="37">
        <v>27144.91</v>
      </c>
      <c r="D152" s="38">
        <f t="shared" si="8"/>
        <v>1.1524426654833835E-3</v>
      </c>
      <c r="E152" s="38">
        <f t="shared" si="9"/>
        <v>4.918825572521132E-3</v>
      </c>
      <c r="H152" s="35">
        <v>44379</v>
      </c>
      <c r="I152" s="37">
        <v>1567.4</v>
      </c>
      <c r="J152" s="37">
        <v>52484.67</v>
      </c>
      <c r="K152" s="38">
        <f t="shared" si="10"/>
        <v>7.4368688538331588E-3</v>
      </c>
      <c r="L152" s="38">
        <f t="shared" si="11"/>
        <v>7.5040685861537245E-3</v>
      </c>
    </row>
    <row r="153" spans="1:12">
      <c r="A153" s="35">
        <v>42552</v>
      </c>
      <c r="B153" s="37">
        <v>1172.0999999999999</v>
      </c>
      <c r="C153" s="37">
        <v>27278.76</v>
      </c>
      <c r="D153" s="38">
        <f t="shared" si="8"/>
        <v>1.0312651074726651E-2</v>
      </c>
      <c r="E153" s="38">
        <f t="shared" si="9"/>
        <v>-4.1101611834435522E-3</v>
      </c>
      <c r="H153" s="35">
        <v>44382</v>
      </c>
      <c r="I153" s="37">
        <v>1579.1</v>
      </c>
      <c r="J153" s="37">
        <v>52880</v>
      </c>
      <c r="K153" s="38">
        <f t="shared" si="10"/>
        <v>-1.0567961862040915E-2</v>
      </c>
      <c r="L153" s="38">
        <f t="shared" si="11"/>
        <v>-3.5596349877549095E-4</v>
      </c>
    </row>
    <row r="154" spans="1:12">
      <c r="A154" s="35">
        <v>42555</v>
      </c>
      <c r="B154" s="37">
        <v>1184.25</v>
      </c>
      <c r="C154" s="37">
        <v>27166.87</v>
      </c>
      <c r="D154" s="38">
        <f t="shared" si="8"/>
        <v>-7.458609819830043E-3</v>
      </c>
      <c r="E154" s="38">
        <f t="shared" si="9"/>
        <v>1.2735350001051918E-3</v>
      </c>
      <c r="H154" s="35">
        <v>44383</v>
      </c>
      <c r="I154" s="37">
        <v>1562.5</v>
      </c>
      <c r="J154" s="37">
        <v>52861.18</v>
      </c>
      <c r="K154" s="38">
        <f t="shared" si="10"/>
        <v>8.3165407985701947E-4</v>
      </c>
      <c r="L154" s="38">
        <f t="shared" si="11"/>
        <v>3.655355663089672E-3</v>
      </c>
    </row>
    <row r="155" spans="1:12">
      <c r="A155" s="35">
        <v>42556</v>
      </c>
      <c r="B155" s="37">
        <v>1175.45</v>
      </c>
      <c r="C155" s="37">
        <v>27201.49</v>
      </c>
      <c r="D155" s="38">
        <f t="shared" si="8"/>
        <v>-1.5647758882051017E-2</v>
      </c>
      <c r="E155" s="38">
        <f t="shared" si="9"/>
        <v>-2.7458957229185657E-3</v>
      </c>
      <c r="H155" s="35">
        <v>44384</v>
      </c>
      <c r="I155" s="37">
        <v>1563.8</v>
      </c>
      <c r="J155" s="37">
        <v>53054.76</v>
      </c>
      <c r="K155" s="38">
        <f t="shared" si="10"/>
        <v>-2.1124739795794368E-3</v>
      </c>
      <c r="L155" s="38">
        <f t="shared" si="11"/>
        <v>-9.1991366710782955E-3</v>
      </c>
    </row>
    <row r="156" spans="1:12">
      <c r="A156" s="35">
        <v>42558</v>
      </c>
      <c r="B156" s="37">
        <v>1157.2</v>
      </c>
      <c r="C156" s="37">
        <v>27126.9</v>
      </c>
      <c r="D156" s="38">
        <f t="shared" si="8"/>
        <v>1.3385437780848845E-3</v>
      </c>
      <c r="E156" s="38">
        <f t="shared" si="9"/>
        <v>1.8256478946840481E-2</v>
      </c>
      <c r="H156" s="35">
        <v>44385</v>
      </c>
      <c r="I156" s="37">
        <v>1560.5</v>
      </c>
      <c r="J156" s="37">
        <v>52568.94</v>
      </c>
      <c r="K156" s="38">
        <f t="shared" si="10"/>
        <v>1.440807101087587E-3</v>
      </c>
      <c r="L156" s="38">
        <f t="shared" si="11"/>
        <v>-3.4824440632947587E-3</v>
      </c>
    </row>
    <row r="157" spans="1:12">
      <c r="A157" s="35">
        <v>42559</v>
      </c>
      <c r="B157" s="37">
        <v>1158.75</v>
      </c>
      <c r="C157" s="37">
        <v>27626.69</v>
      </c>
      <c r="D157" s="38">
        <f t="shared" si="8"/>
        <v>1.3798641974549251E-2</v>
      </c>
      <c r="E157" s="38">
        <f t="shared" si="9"/>
        <v>6.5464491554468535E-3</v>
      </c>
      <c r="H157" s="35">
        <v>44386</v>
      </c>
      <c r="I157" s="37">
        <v>1562.75</v>
      </c>
      <c r="J157" s="37">
        <v>52386.19</v>
      </c>
      <c r="K157" s="38">
        <f t="shared" si="10"/>
        <v>-9.5156149254992366E-3</v>
      </c>
      <c r="L157" s="38">
        <f t="shared" si="11"/>
        <v>-2.5773471565812935E-4</v>
      </c>
    </row>
    <row r="158" spans="1:12">
      <c r="A158" s="35">
        <v>42562</v>
      </c>
      <c r="B158" s="37">
        <v>1174.8499999999999</v>
      </c>
      <c r="C158" s="37">
        <v>27808.14</v>
      </c>
      <c r="D158" s="38">
        <f t="shared" si="8"/>
        <v>9.7836960395817642E-4</v>
      </c>
      <c r="E158" s="38">
        <f t="shared" si="9"/>
        <v>2.5313124198962178E-4</v>
      </c>
      <c r="H158" s="35">
        <v>44389</v>
      </c>
      <c r="I158" s="37">
        <v>1547.95</v>
      </c>
      <c r="J158" s="37">
        <v>52372.69</v>
      </c>
      <c r="K158" s="38">
        <f t="shared" si="10"/>
        <v>-1.972291568418473E-3</v>
      </c>
      <c r="L158" s="38">
        <f t="shared" si="11"/>
        <v>7.5524586032823847E-3</v>
      </c>
    </row>
    <row r="159" spans="1:12">
      <c r="A159" s="35">
        <v>42563</v>
      </c>
      <c r="B159" s="37">
        <v>1176</v>
      </c>
      <c r="C159" s="37">
        <v>27815.18</v>
      </c>
      <c r="D159" s="38">
        <f t="shared" si="8"/>
        <v>1.4478019180653235E-2</v>
      </c>
      <c r="E159" s="38">
        <f t="shared" si="9"/>
        <v>4.5529551118842259E-3</v>
      </c>
      <c r="H159" s="35">
        <v>44390</v>
      </c>
      <c r="I159" s="37">
        <v>1544.9</v>
      </c>
      <c r="J159" s="37">
        <v>52769.73</v>
      </c>
      <c r="K159" s="38">
        <f t="shared" si="10"/>
        <v>2.0501711093537128E-2</v>
      </c>
      <c r="L159" s="38">
        <f t="shared" si="11"/>
        <v>2.5421646190386658E-3</v>
      </c>
    </row>
    <row r="160" spans="1:12">
      <c r="A160" s="35">
        <v>42564</v>
      </c>
      <c r="B160" s="37">
        <v>1193.1500000000001</v>
      </c>
      <c r="C160" s="37">
        <v>27942.11</v>
      </c>
      <c r="D160" s="38">
        <f t="shared" si="8"/>
        <v>-1.4605578336384638E-2</v>
      </c>
      <c r="E160" s="38">
        <f t="shared" si="9"/>
        <v>-3.786760774426736E-3</v>
      </c>
      <c r="H160" s="35">
        <v>44391</v>
      </c>
      <c r="I160" s="37">
        <v>1576.9</v>
      </c>
      <c r="J160" s="37">
        <v>52904.05</v>
      </c>
      <c r="K160" s="38">
        <f t="shared" si="10"/>
        <v>2.1538080035168727E-3</v>
      </c>
      <c r="L160" s="38">
        <f t="shared" si="11"/>
        <v>4.8047053243954821E-3</v>
      </c>
    </row>
    <row r="161" spans="1:12">
      <c r="A161" s="35">
        <v>42565</v>
      </c>
      <c r="B161" s="37">
        <v>1175.8499999999999</v>
      </c>
      <c r="C161" s="37">
        <v>27836.5</v>
      </c>
      <c r="D161" s="38">
        <f t="shared" si="8"/>
        <v>-9.223204590585099E-2</v>
      </c>
      <c r="E161" s="38">
        <f t="shared" si="9"/>
        <v>-3.2326365840013396E-3</v>
      </c>
      <c r="H161" s="35">
        <v>44392</v>
      </c>
      <c r="I161" s="37">
        <v>1580.3</v>
      </c>
      <c r="J161" s="37">
        <v>53158.85</v>
      </c>
      <c r="K161" s="38">
        <f t="shared" si="10"/>
        <v>-1.6139156801723568E-2</v>
      </c>
      <c r="L161" s="38">
        <f t="shared" si="11"/>
        <v>-3.5353138043854989E-4</v>
      </c>
    </row>
    <row r="162" spans="1:12">
      <c r="A162" s="35">
        <v>42566</v>
      </c>
      <c r="B162" s="37">
        <v>1072.25</v>
      </c>
      <c r="C162" s="37">
        <v>27746.66</v>
      </c>
      <c r="D162" s="38">
        <f t="shared" si="8"/>
        <v>8.7746332392541326E-3</v>
      </c>
      <c r="E162" s="38">
        <f t="shared" si="9"/>
        <v>1.4751251813256176E-3</v>
      </c>
      <c r="H162" s="35">
        <v>44393</v>
      </c>
      <c r="I162" s="37">
        <v>1555</v>
      </c>
      <c r="J162" s="37">
        <v>53140.06</v>
      </c>
      <c r="K162" s="38">
        <f t="shared" si="10"/>
        <v>-8.5249805881727793E-3</v>
      </c>
      <c r="L162" s="38">
        <f t="shared" si="11"/>
        <v>-1.1101273908562598E-2</v>
      </c>
    </row>
    <row r="163" spans="1:12">
      <c r="A163" s="35">
        <v>42569</v>
      </c>
      <c r="B163" s="37">
        <v>1081.7</v>
      </c>
      <c r="C163" s="37">
        <v>27787.62</v>
      </c>
      <c r="D163" s="38">
        <f t="shared" si="8"/>
        <v>4.2435488034612348E-3</v>
      </c>
      <c r="E163" s="38">
        <f t="shared" si="9"/>
        <v>4.6054629850160846E-3</v>
      </c>
      <c r="H163" s="35">
        <v>44396</v>
      </c>
      <c r="I163" s="37">
        <v>1541.8</v>
      </c>
      <c r="J163" s="37">
        <v>52553.4</v>
      </c>
      <c r="K163" s="38">
        <f t="shared" si="10"/>
        <v>5.1107987681276116E-3</v>
      </c>
      <c r="L163" s="38">
        <f t="shared" si="11"/>
        <v>-6.7758450955284783E-3</v>
      </c>
    </row>
    <row r="164" spans="1:12">
      <c r="A164" s="35">
        <v>42570</v>
      </c>
      <c r="B164" s="37">
        <v>1086.3</v>
      </c>
      <c r="C164" s="37">
        <v>27915.89</v>
      </c>
      <c r="D164" s="38">
        <f t="shared" si="8"/>
        <v>-2.99629145271806E-3</v>
      </c>
      <c r="E164" s="38">
        <f t="shared" si="9"/>
        <v>-7.383936267199547E-3</v>
      </c>
      <c r="H164" s="35">
        <v>44397</v>
      </c>
      <c r="I164" s="37">
        <v>1549.7</v>
      </c>
      <c r="J164" s="37">
        <v>52198.51</v>
      </c>
      <c r="K164" s="38">
        <f t="shared" si="10"/>
        <v>2.5798430674093736E-2</v>
      </c>
      <c r="L164" s="38">
        <f t="shared" si="11"/>
        <v>1.2161726931803774E-2</v>
      </c>
    </row>
    <row r="165" spans="1:12">
      <c r="A165" s="35">
        <v>42571</v>
      </c>
      <c r="B165" s="37">
        <v>1083.05</v>
      </c>
      <c r="C165" s="37">
        <v>27710.52</v>
      </c>
      <c r="D165" s="38">
        <f t="shared" si="8"/>
        <v>-2.4960722953080074E-3</v>
      </c>
      <c r="E165" s="38">
        <f t="shared" si="9"/>
        <v>3.3404361807992176E-3</v>
      </c>
      <c r="H165" s="35">
        <v>44399</v>
      </c>
      <c r="I165" s="37">
        <v>1590.2</v>
      </c>
      <c r="J165" s="37">
        <v>52837.21</v>
      </c>
      <c r="K165" s="38">
        <f t="shared" si="10"/>
        <v>9.4323308931551616E-5</v>
      </c>
      <c r="L165" s="38">
        <f t="shared" si="11"/>
        <v>2.6195281515862872E-3</v>
      </c>
    </row>
    <row r="166" spans="1:12">
      <c r="A166" s="35">
        <v>42572</v>
      </c>
      <c r="B166" s="37">
        <v>1080.3499999999999</v>
      </c>
      <c r="C166" s="37">
        <v>27803.24</v>
      </c>
      <c r="D166" s="38">
        <f t="shared" si="8"/>
        <v>-7.1528405291643336E-3</v>
      </c>
      <c r="E166" s="38">
        <f t="shared" si="9"/>
        <v>1.0451165620273218E-2</v>
      </c>
      <c r="H166" s="35">
        <v>44400</v>
      </c>
      <c r="I166" s="37">
        <v>1590.35</v>
      </c>
      <c r="J166" s="37">
        <v>52975.8</v>
      </c>
      <c r="K166" s="38">
        <f t="shared" si="10"/>
        <v>8.5775632341315907E-3</v>
      </c>
      <c r="L166" s="38">
        <f t="shared" si="11"/>
        <v>-2.3345423592080628E-3</v>
      </c>
    </row>
    <row r="167" spans="1:12">
      <c r="A167" s="35">
        <v>42573</v>
      </c>
      <c r="B167" s="37">
        <v>1072.6500000000001</v>
      </c>
      <c r="C167" s="37">
        <v>28095.34</v>
      </c>
      <c r="D167" s="38">
        <f t="shared" si="8"/>
        <v>7.291674784426023E-3</v>
      </c>
      <c r="E167" s="38">
        <f t="shared" si="9"/>
        <v>-4.2381393394815932E-3</v>
      </c>
      <c r="H167" s="35">
        <v>44403</v>
      </c>
      <c r="I167" s="37">
        <v>1604.05</v>
      </c>
      <c r="J167" s="37">
        <v>52852.27</v>
      </c>
      <c r="K167" s="38">
        <f t="shared" si="10"/>
        <v>-9.043706664762578E-4</v>
      </c>
      <c r="L167" s="38">
        <f t="shared" si="11"/>
        <v>-5.1884272318830594E-3</v>
      </c>
    </row>
    <row r="168" spans="1:12">
      <c r="A168" s="35">
        <v>42576</v>
      </c>
      <c r="B168" s="37">
        <v>1080.5</v>
      </c>
      <c r="C168" s="37">
        <v>27976.52</v>
      </c>
      <c r="D168" s="38">
        <f t="shared" si="8"/>
        <v>7.6522753903156548E-3</v>
      </c>
      <c r="E168" s="38">
        <f t="shared" si="9"/>
        <v>1.7074744978233924E-3</v>
      </c>
      <c r="H168" s="35">
        <v>44404</v>
      </c>
      <c r="I168" s="37">
        <v>1602.6</v>
      </c>
      <c r="J168" s="37">
        <v>52578.76</v>
      </c>
      <c r="K168" s="38">
        <f t="shared" si="10"/>
        <v>1.6833446413985105E-3</v>
      </c>
      <c r="L168" s="38">
        <f t="shared" si="11"/>
        <v>-2.5718319982124152E-3</v>
      </c>
    </row>
    <row r="169" spans="1:12">
      <c r="A169" s="35">
        <v>42577</v>
      </c>
      <c r="B169" s="37">
        <v>1088.8</v>
      </c>
      <c r="C169" s="37">
        <v>28024.33</v>
      </c>
      <c r="D169" s="38">
        <f t="shared" si="8"/>
        <v>-1.1487124198332726E-3</v>
      </c>
      <c r="E169" s="38">
        <f t="shared" si="9"/>
        <v>6.5545435474777328E-3</v>
      </c>
      <c r="H169" s="35">
        <v>44405</v>
      </c>
      <c r="I169" s="37">
        <v>1605.3</v>
      </c>
      <c r="J169" s="37">
        <v>52443.71</v>
      </c>
      <c r="K169" s="38">
        <f t="shared" si="10"/>
        <v>7.1691569103784093E-3</v>
      </c>
      <c r="L169" s="38">
        <f t="shared" si="11"/>
        <v>3.9841425577017506E-3</v>
      </c>
    </row>
    <row r="170" spans="1:12">
      <c r="A170" s="35">
        <v>42578</v>
      </c>
      <c r="B170" s="37">
        <v>1087.55</v>
      </c>
      <c r="C170" s="37">
        <v>28208.62</v>
      </c>
      <c r="D170" s="38">
        <f t="shared" si="8"/>
        <v>-7.7074340238768354E-3</v>
      </c>
      <c r="E170" s="38">
        <f t="shared" si="9"/>
        <v>-5.5726650635162236E-3</v>
      </c>
      <c r="H170" s="35">
        <v>44406</v>
      </c>
      <c r="I170" s="37">
        <v>1616.85</v>
      </c>
      <c r="J170" s="37">
        <v>52653.07</v>
      </c>
      <c r="K170" s="38">
        <f t="shared" si="10"/>
        <v>-4.0903654687470103E-3</v>
      </c>
      <c r="L170" s="38">
        <f t="shared" si="11"/>
        <v>-1.2586481448613727E-3</v>
      </c>
    </row>
    <row r="171" spans="1:12">
      <c r="A171" s="35">
        <v>42579</v>
      </c>
      <c r="B171" s="37">
        <v>1079.2</v>
      </c>
      <c r="C171" s="37">
        <v>28051.86</v>
      </c>
      <c r="D171" s="38">
        <f t="shared" si="8"/>
        <v>-4.8765858432738805E-3</v>
      </c>
      <c r="E171" s="38">
        <f t="shared" si="9"/>
        <v>-1.7390073917813438E-3</v>
      </c>
      <c r="H171" s="35">
        <v>44407</v>
      </c>
      <c r="I171" s="37">
        <v>1610.25</v>
      </c>
      <c r="J171" s="37">
        <v>52586.84</v>
      </c>
      <c r="K171" s="38">
        <f t="shared" si="10"/>
        <v>1.3018446447063139E-2</v>
      </c>
      <c r="L171" s="38">
        <f t="shared" si="11"/>
        <v>6.8940716668038221E-3</v>
      </c>
    </row>
    <row r="172" spans="1:12">
      <c r="A172" s="35">
        <v>42580</v>
      </c>
      <c r="B172" s="37">
        <v>1073.95</v>
      </c>
      <c r="C172" s="37">
        <v>28003.119999999999</v>
      </c>
      <c r="D172" s="38">
        <f t="shared" si="8"/>
        <v>1.02365469242876E-2</v>
      </c>
      <c r="E172" s="38">
        <f t="shared" si="9"/>
        <v>-7.6485008684423891E-4</v>
      </c>
      <c r="H172" s="35">
        <v>44410</v>
      </c>
      <c r="I172" s="37">
        <v>1631.35</v>
      </c>
      <c r="J172" s="37">
        <v>52950.63</v>
      </c>
      <c r="K172" s="38">
        <f t="shared" si="10"/>
        <v>1.384916137411228E-2</v>
      </c>
      <c r="L172" s="38">
        <f t="shared" si="11"/>
        <v>1.6347603679736318E-2</v>
      </c>
    </row>
    <row r="173" spans="1:12">
      <c r="A173" s="35">
        <v>42583</v>
      </c>
      <c r="B173" s="37">
        <v>1085</v>
      </c>
      <c r="C173" s="37">
        <v>27981.71</v>
      </c>
      <c r="D173" s="38">
        <f t="shared" si="8"/>
        <v>-6.4536949642375282E-4</v>
      </c>
      <c r="E173" s="38">
        <f t="shared" si="9"/>
        <v>-1.0208564996045002E-2</v>
      </c>
      <c r="H173" s="35">
        <v>44411</v>
      </c>
      <c r="I173" s="37">
        <v>1654.1</v>
      </c>
      <c r="J173" s="37">
        <v>53823.360000000001</v>
      </c>
      <c r="K173" s="38">
        <f t="shared" si="10"/>
        <v>-2.997050604830423E-3</v>
      </c>
      <c r="L173" s="38">
        <f t="shared" si="11"/>
        <v>1.010072720146522E-2</v>
      </c>
    </row>
    <row r="174" spans="1:12">
      <c r="A174" s="35">
        <v>42584</v>
      </c>
      <c r="B174" s="37">
        <v>1084.3</v>
      </c>
      <c r="C174" s="37">
        <v>27697.51</v>
      </c>
      <c r="D174" s="38">
        <f t="shared" si="8"/>
        <v>6.4536949642365286E-4</v>
      </c>
      <c r="E174" s="38">
        <f t="shared" si="9"/>
        <v>6.0853378446245839E-4</v>
      </c>
      <c r="H174" s="35">
        <v>44412</v>
      </c>
      <c r="I174" s="37">
        <v>1649.15</v>
      </c>
      <c r="J174" s="37">
        <v>54369.77</v>
      </c>
      <c r="K174" s="38">
        <f t="shared" si="10"/>
        <v>3.4503666191815674E-3</v>
      </c>
      <c r="L174" s="38">
        <f t="shared" si="11"/>
        <v>2.2610160169739741E-3</v>
      </c>
    </row>
    <row r="175" spans="1:12">
      <c r="A175" s="35">
        <v>42585</v>
      </c>
      <c r="B175" s="37">
        <v>1085</v>
      </c>
      <c r="C175" s="37">
        <v>27714.37</v>
      </c>
      <c r="D175" s="38">
        <f t="shared" si="8"/>
        <v>-1.1914008759320149E-2</v>
      </c>
      <c r="E175" s="38">
        <f t="shared" si="9"/>
        <v>1.3047765506869346E-2</v>
      </c>
      <c r="H175" s="35">
        <v>44413</v>
      </c>
      <c r="I175" s="37">
        <v>1654.85</v>
      </c>
      <c r="J175" s="37">
        <v>54492.84</v>
      </c>
      <c r="K175" s="38">
        <f t="shared" si="10"/>
        <v>-2.7229836503023458E-3</v>
      </c>
      <c r="L175" s="38">
        <f t="shared" si="11"/>
        <v>-3.9554872288675488E-3</v>
      </c>
    </row>
    <row r="176" spans="1:12">
      <c r="A176" s="35">
        <v>42586</v>
      </c>
      <c r="B176" s="37">
        <v>1072.1500000000001</v>
      </c>
      <c r="C176" s="37">
        <v>28078.35</v>
      </c>
      <c r="D176" s="38">
        <f t="shared" si="8"/>
        <v>-4.4401933153952787E-3</v>
      </c>
      <c r="E176" s="38">
        <f t="shared" si="9"/>
        <v>3.7048849969671064E-3</v>
      </c>
      <c r="H176" s="35">
        <v>44414</v>
      </c>
      <c r="I176" s="37">
        <v>1650.35</v>
      </c>
      <c r="J176" s="37">
        <v>54277.72</v>
      </c>
      <c r="K176" s="38">
        <f t="shared" si="10"/>
        <v>7.6358135807034922E-3</v>
      </c>
      <c r="L176" s="38">
        <f t="shared" si="11"/>
        <v>2.3027125325465829E-3</v>
      </c>
    </row>
    <row r="177" spans="1:12">
      <c r="A177" s="35">
        <v>42587</v>
      </c>
      <c r="B177" s="37">
        <v>1067.4000000000001</v>
      </c>
      <c r="C177" s="37">
        <v>28182.57</v>
      </c>
      <c r="D177" s="38">
        <f t="shared" si="8"/>
        <v>1.0623527365730254E-2</v>
      </c>
      <c r="E177" s="38">
        <f t="shared" si="9"/>
        <v>-3.4623787848954584E-3</v>
      </c>
      <c r="H177" s="35">
        <v>44417</v>
      </c>
      <c r="I177" s="37">
        <v>1663</v>
      </c>
      <c r="J177" s="37">
        <v>54402.85</v>
      </c>
      <c r="K177" s="38">
        <f t="shared" si="10"/>
        <v>7.9956105959628279E-3</v>
      </c>
      <c r="L177" s="38">
        <f t="shared" si="11"/>
        <v>2.786592649464154E-3</v>
      </c>
    </row>
    <row r="178" spans="1:12">
      <c r="A178" s="35">
        <v>42590</v>
      </c>
      <c r="B178" s="37">
        <v>1078.8</v>
      </c>
      <c r="C178" s="37">
        <v>28085.16</v>
      </c>
      <c r="D178" s="38">
        <f t="shared" si="8"/>
        <v>2.4996541275386403E-3</v>
      </c>
      <c r="E178" s="38">
        <f t="shared" si="9"/>
        <v>-1.1109307875127291E-2</v>
      </c>
      <c r="H178" s="35">
        <v>44418</v>
      </c>
      <c r="I178" s="37">
        <v>1676.35</v>
      </c>
      <c r="J178" s="37">
        <v>54554.66</v>
      </c>
      <c r="K178" s="38">
        <f t="shared" si="10"/>
        <v>6.5597235341652727E-4</v>
      </c>
      <c r="L178" s="38">
        <f t="shared" si="11"/>
        <v>-5.2676650656809272E-4</v>
      </c>
    </row>
    <row r="179" spans="1:12">
      <c r="A179" s="35">
        <v>42591</v>
      </c>
      <c r="B179" s="37">
        <v>1081.5</v>
      </c>
      <c r="C179" s="37">
        <v>27774.880000000001</v>
      </c>
      <c r="D179" s="38">
        <f t="shared" si="8"/>
        <v>-1.4342226428509868E-3</v>
      </c>
      <c r="E179" s="38">
        <f t="shared" si="9"/>
        <v>3.0455956624775744E-3</v>
      </c>
      <c r="H179" s="35">
        <v>44419</v>
      </c>
      <c r="I179" s="37">
        <v>1677.45</v>
      </c>
      <c r="J179" s="37">
        <v>54525.93</v>
      </c>
      <c r="K179" s="38">
        <f t="shared" si="10"/>
        <v>7.7495600056337287E-3</v>
      </c>
      <c r="L179" s="38">
        <f t="shared" si="11"/>
        <v>5.816058485257217E-3</v>
      </c>
    </row>
    <row r="180" spans="1:12">
      <c r="A180" s="35">
        <v>42592</v>
      </c>
      <c r="B180" s="37">
        <v>1079.95</v>
      </c>
      <c r="C180" s="37">
        <v>27859.599999999999</v>
      </c>
      <c r="D180" s="38">
        <f t="shared" si="8"/>
        <v>-2.6424993935381317E-3</v>
      </c>
      <c r="E180" s="38">
        <f t="shared" si="9"/>
        <v>1.0454997753531696E-2</v>
      </c>
      <c r="H180" s="35">
        <v>44420</v>
      </c>
      <c r="I180" s="37">
        <v>1690.5</v>
      </c>
      <c r="J180" s="37">
        <v>54843.98</v>
      </c>
      <c r="K180" s="38">
        <f t="shared" si="10"/>
        <v>1.2929947988439581E-2</v>
      </c>
      <c r="L180" s="38">
        <f t="shared" si="11"/>
        <v>1.0760045189378332E-2</v>
      </c>
    </row>
    <row r="181" spans="1:12">
      <c r="A181" s="35">
        <v>42593</v>
      </c>
      <c r="B181" s="37">
        <v>1077.0999999999999</v>
      </c>
      <c r="C181" s="37">
        <v>28152.400000000001</v>
      </c>
      <c r="D181" s="38">
        <f t="shared" si="8"/>
        <v>-1.2894964699684031E-2</v>
      </c>
      <c r="E181" s="38">
        <f t="shared" si="9"/>
        <v>-3.123256514851232E-3</v>
      </c>
      <c r="H181" s="35">
        <v>44421</v>
      </c>
      <c r="I181" s="37">
        <v>1712.5</v>
      </c>
      <c r="J181" s="37">
        <v>55437.29</v>
      </c>
      <c r="K181" s="38">
        <f t="shared" si="10"/>
        <v>-4.5358187356180652E-3</v>
      </c>
      <c r="L181" s="38">
        <f t="shared" si="11"/>
        <v>2.6173707993712757E-3</v>
      </c>
    </row>
    <row r="182" spans="1:12">
      <c r="A182" s="35">
        <v>42594</v>
      </c>
      <c r="B182" s="37">
        <v>1063.3</v>
      </c>
      <c r="C182" s="37">
        <v>28064.61</v>
      </c>
      <c r="D182" s="38">
        <f t="shared" si="8"/>
        <v>-1.1682762651051381E-2</v>
      </c>
      <c r="E182" s="38">
        <f t="shared" si="9"/>
        <v>-2.1130744845149377E-3</v>
      </c>
      <c r="H182" s="35">
        <v>44424</v>
      </c>
      <c r="I182" s="37">
        <v>1704.75</v>
      </c>
      <c r="J182" s="37">
        <v>55582.58</v>
      </c>
      <c r="K182" s="38">
        <f t="shared" si="10"/>
        <v>2.1299627111704338E-2</v>
      </c>
      <c r="L182" s="38">
        <f t="shared" si="11"/>
        <v>3.7654865126948117E-3</v>
      </c>
    </row>
    <row r="183" spans="1:12">
      <c r="A183" s="35">
        <v>42598</v>
      </c>
      <c r="B183" s="37">
        <v>1050.95</v>
      </c>
      <c r="C183" s="37">
        <v>28005.37</v>
      </c>
      <c r="D183" s="38">
        <f t="shared" si="8"/>
        <v>-1.6840180152904727E-2</v>
      </c>
      <c r="E183" s="38">
        <f t="shared" si="9"/>
        <v>4.2071148186243962E-3</v>
      </c>
      <c r="H183" s="35">
        <v>44425</v>
      </c>
      <c r="I183" s="37">
        <v>1741.45</v>
      </c>
      <c r="J183" s="37">
        <v>55792.27</v>
      </c>
      <c r="K183" s="38">
        <f t="shared" si="10"/>
        <v>-4.6621472726697411E-3</v>
      </c>
      <c r="L183" s="38">
        <f t="shared" si="11"/>
        <v>-2.9218729951675862E-3</v>
      </c>
    </row>
    <row r="184" spans="1:12">
      <c r="A184" s="35">
        <v>42599</v>
      </c>
      <c r="B184" s="37">
        <v>1033.4000000000001</v>
      </c>
      <c r="C184" s="37">
        <v>28123.439999999999</v>
      </c>
      <c r="D184" s="38">
        <f t="shared" si="8"/>
        <v>-8.8448844105954456E-3</v>
      </c>
      <c r="E184" s="38">
        <f t="shared" si="9"/>
        <v>-1.6526564763559278E-3</v>
      </c>
      <c r="H184" s="35">
        <v>44426</v>
      </c>
      <c r="I184" s="37">
        <v>1733.35</v>
      </c>
      <c r="J184" s="37">
        <v>55629.49</v>
      </c>
      <c r="K184" s="38">
        <f t="shared" si="10"/>
        <v>-6.925407865883968E-4</v>
      </c>
      <c r="L184" s="38">
        <f t="shared" si="11"/>
        <v>-5.410489392401319E-3</v>
      </c>
    </row>
    <row r="185" spans="1:12">
      <c r="A185" s="35">
        <v>42600</v>
      </c>
      <c r="B185" s="37">
        <v>1024.3</v>
      </c>
      <c r="C185" s="37">
        <v>28077</v>
      </c>
      <c r="D185" s="38">
        <f t="shared" si="8"/>
        <v>-3.1289748809965427E-3</v>
      </c>
      <c r="E185" s="38">
        <f t="shared" si="9"/>
        <v>-3.2627876346164172E-3</v>
      </c>
      <c r="H185" s="35">
        <v>44428</v>
      </c>
      <c r="I185" s="37">
        <v>1732.15</v>
      </c>
      <c r="J185" s="37">
        <v>55329.32</v>
      </c>
      <c r="K185" s="38">
        <f t="shared" si="10"/>
        <v>4.0618259137366582E-3</v>
      </c>
      <c r="L185" s="38">
        <f t="shared" si="11"/>
        <v>4.0847741395528808E-3</v>
      </c>
    </row>
    <row r="186" spans="1:12">
      <c r="A186" s="35">
        <v>42601</v>
      </c>
      <c r="B186" s="37">
        <v>1021.1</v>
      </c>
      <c r="C186" s="37">
        <v>27985.54</v>
      </c>
      <c r="D186" s="38">
        <f t="shared" si="8"/>
        <v>-5.5978540481984264E-3</v>
      </c>
      <c r="E186" s="38">
        <f t="shared" si="9"/>
        <v>1.6685797013288794E-4</v>
      </c>
      <c r="H186" s="35">
        <v>44431</v>
      </c>
      <c r="I186" s="37">
        <v>1739.2</v>
      </c>
      <c r="J186" s="37">
        <v>55555.79</v>
      </c>
      <c r="K186" s="38">
        <f t="shared" si="10"/>
        <v>-1.066499508847144E-2</v>
      </c>
      <c r="L186" s="38">
        <f t="shared" si="11"/>
        <v>7.2311812488748536E-3</v>
      </c>
    </row>
    <row r="187" spans="1:12">
      <c r="A187" s="35">
        <v>42604</v>
      </c>
      <c r="B187" s="37">
        <v>1015.4</v>
      </c>
      <c r="C187" s="37">
        <v>27990.21</v>
      </c>
      <c r="D187" s="38">
        <f t="shared" si="8"/>
        <v>2.321667561945279E-2</v>
      </c>
      <c r="E187" s="38">
        <f t="shared" si="9"/>
        <v>2.4881302181583424E-3</v>
      </c>
      <c r="H187" s="35">
        <v>44432</v>
      </c>
      <c r="I187" s="37">
        <v>1720.75</v>
      </c>
      <c r="J187" s="37">
        <v>55958.98</v>
      </c>
      <c r="K187" s="38">
        <f t="shared" si="10"/>
        <v>9.514379382193152E-3</v>
      </c>
      <c r="L187" s="38">
        <f t="shared" si="11"/>
        <v>-2.6397817766903508E-4</v>
      </c>
    </row>
    <row r="188" spans="1:12">
      <c r="A188" s="35">
        <v>42605</v>
      </c>
      <c r="B188" s="37">
        <v>1039.25</v>
      </c>
      <c r="C188" s="37">
        <v>28059.94</v>
      </c>
      <c r="D188" s="38">
        <f t="shared" si="8"/>
        <v>1.7455612993836727E-2</v>
      </c>
      <c r="E188" s="38">
        <f t="shared" si="9"/>
        <v>-8.0160226426914932E-3</v>
      </c>
      <c r="H188" s="35">
        <v>44433</v>
      </c>
      <c r="I188" s="37">
        <v>1737.2</v>
      </c>
      <c r="J188" s="37">
        <v>55944.21</v>
      </c>
      <c r="K188" s="38">
        <f t="shared" si="10"/>
        <v>-5.9177748728836375E-3</v>
      </c>
      <c r="L188" s="38">
        <f t="shared" si="11"/>
        <v>8.7404689397624889E-5</v>
      </c>
    </row>
    <row r="189" spans="1:12">
      <c r="A189" s="35">
        <v>42606</v>
      </c>
      <c r="B189" s="37">
        <v>1057.55</v>
      </c>
      <c r="C189" s="37">
        <v>27835.91</v>
      </c>
      <c r="D189" s="38">
        <f t="shared" si="8"/>
        <v>-2.0057021147462103E-2</v>
      </c>
      <c r="E189" s="38">
        <f t="shared" si="9"/>
        <v>-1.9295861872944916E-3</v>
      </c>
      <c r="H189" s="35">
        <v>44434</v>
      </c>
      <c r="I189" s="37">
        <v>1726.95</v>
      </c>
      <c r="J189" s="37">
        <v>55949.1</v>
      </c>
      <c r="K189" s="38">
        <f t="shared" si="10"/>
        <v>-1.0770320098196128E-2</v>
      </c>
      <c r="L189" s="38">
        <f t="shared" si="11"/>
        <v>3.1340083481596762E-3</v>
      </c>
    </row>
    <row r="190" spans="1:12">
      <c r="A190" s="35">
        <v>42607</v>
      </c>
      <c r="B190" s="37">
        <v>1036.55</v>
      </c>
      <c r="C190" s="37">
        <v>27782.25</v>
      </c>
      <c r="D190" s="38">
        <f t="shared" si="8"/>
        <v>-1.5360239779436223E-2</v>
      </c>
      <c r="E190" s="38">
        <f t="shared" si="9"/>
        <v>4.3246972175773847E-3</v>
      </c>
      <c r="H190" s="35">
        <v>44435</v>
      </c>
      <c r="I190" s="37">
        <v>1708.45</v>
      </c>
      <c r="J190" s="37">
        <v>56124.72</v>
      </c>
      <c r="K190" s="38">
        <f t="shared" si="10"/>
        <v>-6.2237819430482292E-3</v>
      </c>
      <c r="L190" s="38">
        <f t="shared" si="11"/>
        <v>1.3539002900221838E-2</v>
      </c>
    </row>
    <row r="191" spans="1:12">
      <c r="A191" s="35">
        <v>42608</v>
      </c>
      <c r="B191" s="37">
        <v>1020.75</v>
      </c>
      <c r="C191" s="37">
        <v>27902.66</v>
      </c>
      <c r="D191" s="38">
        <f t="shared" si="8"/>
        <v>1.4684290450666464E-3</v>
      </c>
      <c r="E191" s="38">
        <f t="shared" si="9"/>
        <v>1.5658414141582196E-2</v>
      </c>
      <c r="H191" s="35">
        <v>44438</v>
      </c>
      <c r="I191" s="37">
        <v>1697.85</v>
      </c>
      <c r="J191" s="37">
        <v>56889.760000000002</v>
      </c>
      <c r="K191" s="38">
        <f t="shared" si="10"/>
        <v>3.7037079374844318E-3</v>
      </c>
      <c r="L191" s="38">
        <f t="shared" si="11"/>
        <v>1.1580303324654869E-2</v>
      </c>
    </row>
    <row r="192" spans="1:12">
      <c r="A192" s="35">
        <v>42611</v>
      </c>
      <c r="B192" s="37">
        <v>1022.25</v>
      </c>
      <c r="C192" s="37">
        <v>28343.01</v>
      </c>
      <c r="D192" s="38">
        <f t="shared" si="8"/>
        <v>1.8175709370217279E-2</v>
      </c>
      <c r="E192" s="38">
        <f t="shared" si="9"/>
        <v>3.8439929027382666E-3</v>
      </c>
      <c r="H192" s="35">
        <v>44439</v>
      </c>
      <c r="I192" s="37">
        <v>1704.15</v>
      </c>
      <c r="J192" s="37">
        <v>57552.39</v>
      </c>
      <c r="K192" s="38">
        <f t="shared" si="10"/>
        <v>-1.5851285614227044E-2</v>
      </c>
      <c r="L192" s="38">
        <f t="shared" si="11"/>
        <v>-3.7284207430684606E-3</v>
      </c>
    </row>
    <row r="193" spans="1:12">
      <c r="A193" s="35">
        <v>42612</v>
      </c>
      <c r="B193" s="37">
        <v>1041</v>
      </c>
      <c r="C193" s="37">
        <v>28452.17</v>
      </c>
      <c r="D193" s="38">
        <f t="shared" si="8"/>
        <v>-4.0427430169587076E-3</v>
      </c>
      <c r="E193" s="38">
        <f t="shared" si="9"/>
        <v>-1.0088676765337055E-3</v>
      </c>
      <c r="H193" s="35">
        <v>44440</v>
      </c>
      <c r="I193" s="37">
        <v>1677.35</v>
      </c>
      <c r="J193" s="37">
        <v>57338.21</v>
      </c>
      <c r="K193" s="38">
        <f t="shared" si="10"/>
        <v>6.5957812356505869E-3</v>
      </c>
      <c r="L193" s="38">
        <f t="shared" si="11"/>
        <v>8.9301166633194064E-3</v>
      </c>
    </row>
    <row r="194" spans="1:12">
      <c r="A194" s="35">
        <v>42613</v>
      </c>
      <c r="B194" s="37">
        <v>1036.8</v>
      </c>
      <c r="C194" s="37">
        <v>28423.48</v>
      </c>
      <c r="D194" s="38">
        <f t="shared" si="8"/>
        <v>8.1949436965926331E-4</v>
      </c>
      <c r="E194" s="38">
        <f t="shared" si="9"/>
        <v>3.8145555764199594E-3</v>
      </c>
      <c r="H194" s="35">
        <v>44441</v>
      </c>
      <c r="I194" s="37">
        <v>1688.45</v>
      </c>
      <c r="J194" s="37">
        <v>57852.54</v>
      </c>
      <c r="K194" s="38">
        <f t="shared" si="10"/>
        <v>6.9937577579934403E-3</v>
      </c>
      <c r="L194" s="38">
        <f t="shared" si="11"/>
        <v>4.7836622408668067E-3</v>
      </c>
    </row>
    <row r="195" spans="1:12">
      <c r="A195" s="35">
        <v>42614</v>
      </c>
      <c r="B195" s="37">
        <v>1037.6500000000001</v>
      </c>
      <c r="C195" s="37">
        <v>28532.11</v>
      </c>
      <c r="D195" s="38">
        <f t="shared" si="8"/>
        <v>-6.3808405213942217E-3</v>
      </c>
      <c r="E195" s="38">
        <f t="shared" si="9"/>
        <v>1.5507491848346622E-2</v>
      </c>
      <c r="H195" s="35">
        <v>44442</v>
      </c>
      <c r="I195" s="37">
        <v>1700.3</v>
      </c>
      <c r="J195" s="37">
        <v>58129.95</v>
      </c>
      <c r="K195" s="38">
        <f t="shared" si="10"/>
        <v>1.7316702428384456E-2</v>
      </c>
      <c r="L195" s="38">
        <f t="shared" si="11"/>
        <v>2.8680686647141996E-3</v>
      </c>
    </row>
    <row r="196" spans="1:12">
      <c r="A196" s="35">
        <v>42615</v>
      </c>
      <c r="B196" s="37">
        <v>1031.05</v>
      </c>
      <c r="C196" s="37">
        <v>28978.02</v>
      </c>
      <c r="D196" s="38">
        <f t="shared" si="8"/>
        <v>1.3534874154182818E-2</v>
      </c>
      <c r="E196" s="38">
        <f t="shared" si="9"/>
        <v>-1.7843214522380692E-3</v>
      </c>
      <c r="H196" s="35">
        <v>44445</v>
      </c>
      <c r="I196" s="37">
        <v>1730</v>
      </c>
      <c r="J196" s="37">
        <v>58296.91</v>
      </c>
      <c r="K196" s="38">
        <f t="shared" si="10"/>
        <v>-1.3676919145062878E-2</v>
      </c>
      <c r="L196" s="38">
        <f t="shared" si="11"/>
        <v>-2.9903139271825668E-4</v>
      </c>
    </row>
    <row r="197" spans="1:12">
      <c r="A197" s="35">
        <v>42619</v>
      </c>
      <c r="B197" s="37">
        <v>1045.0999999999999</v>
      </c>
      <c r="C197" s="37">
        <v>28926.36</v>
      </c>
      <c r="D197" s="38">
        <f t="shared" ref="D197:D260" si="12">LN(B198/B197)</f>
        <v>9.4281923097089496E-3</v>
      </c>
      <c r="E197" s="38">
        <f t="shared" ref="E197:E260" si="13">LN(C198/C197)</f>
        <v>4.1027014866805277E-3</v>
      </c>
      <c r="H197" s="35">
        <v>44446</v>
      </c>
      <c r="I197" s="37">
        <v>1706.5</v>
      </c>
      <c r="J197" s="37">
        <v>58279.48</v>
      </c>
      <c r="K197" s="38">
        <f t="shared" ref="K197:K260" si="14">LN(I198/I197)</f>
        <v>-7.9423862136264248E-3</v>
      </c>
      <c r="L197" s="38">
        <f t="shared" ref="L197:L260" si="15">LN(J198/J197)</f>
        <v>-5.0150288866028536E-4</v>
      </c>
    </row>
    <row r="198" spans="1:12">
      <c r="A198" s="35">
        <v>42620</v>
      </c>
      <c r="B198" s="37">
        <v>1055</v>
      </c>
      <c r="C198" s="37">
        <v>29045.279999999999</v>
      </c>
      <c r="D198" s="38">
        <f t="shared" si="12"/>
        <v>-1.6341325938923425E-2</v>
      </c>
      <c r="E198" s="38">
        <f t="shared" si="13"/>
        <v>-8.5760951397908687E-3</v>
      </c>
      <c r="H198" s="35">
        <v>44447</v>
      </c>
      <c r="I198" s="37">
        <v>1693</v>
      </c>
      <c r="J198" s="37">
        <v>58250.26</v>
      </c>
      <c r="K198" s="38">
        <f t="shared" si="14"/>
        <v>-7.0905226322122265E-4</v>
      </c>
      <c r="L198" s="38">
        <f t="shared" si="15"/>
        <v>9.4049759955406123E-4</v>
      </c>
    </row>
    <row r="199" spans="1:12">
      <c r="A199" s="35">
        <v>42621</v>
      </c>
      <c r="B199" s="37">
        <v>1037.9000000000001</v>
      </c>
      <c r="C199" s="37">
        <v>28797.25</v>
      </c>
      <c r="D199" s="38">
        <f t="shared" si="12"/>
        <v>-1.8322971518149938E-3</v>
      </c>
      <c r="E199" s="38">
        <f t="shared" si="13"/>
        <v>-1.5528006368396822E-2</v>
      </c>
      <c r="H199" s="35">
        <v>44448</v>
      </c>
      <c r="I199" s="37">
        <v>1691.8</v>
      </c>
      <c r="J199" s="37">
        <v>58305.07</v>
      </c>
      <c r="K199" s="38">
        <f t="shared" si="14"/>
        <v>-4.729809713338679E-4</v>
      </c>
      <c r="L199" s="38">
        <f t="shared" si="15"/>
        <v>-2.1859024320132112E-3</v>
      </c>
    </row>
    <row r="200" spans="1:12">
      <c r="A200" s="35">
        <v>42622</v>
      </c>
      <c r="B200" s="37">
        <v>1036</v>
      </c>
      <c r="C200" s="37">
        <v>28353.54</v>
      </c>
      <c r="D200" s="38">
        <f t="shared" si="12"/>
        <v>1.7225306281879342E-2</v>
      </c>
      <c r="E200" s="38">
        <f t="shared" si="13"/>
        <v>6.5895978763485727E-4</v>
      </c>
      <c r="H200" s="35">
        <v>44452</v>
      </c>
      <c r="I200" s="37">
        <v>1691</v>
      </c>
      <c r="J200" s="37">
        <v>58177.760000000002</v>
      </c>
      <c r="K200" s="38">
        <f t="shared" si="14"/>
        <v>-3.0205240768247212E-3</v>
      </c>
      <c r="L200" s="38">
        <f t="shared" si="15"/>
        <v>1.190982993665641E-3</v>
      </c>
    </row>
    <row r="201" spans="1:12">
      <c r="A201" s="35">
        <v>42625</v>
      </c>
      <c r="B201" s="37">
        <v>1054</v>
      </c>
      <c r="C201" s="37">
        <v>28372.23</v>
      </c>
      <c r="D201" s="38">
        <f t="shared" si="12"/>
        <v>-6.5680118078912924E-3</v>
      </c>
      <c r="E201" s="38">
        <f t="shared" si="13"/>
        <v>1.4320655463554617E-3</v>
      </c>
      <c r="H201" s="35">
        <v>44453</v>
      </c>
      <c r="I201" s="37">
        <v>1685.9</v>
      </c>
      <c r="J201" s="37">
        <v>58247.09</v>
      </c>
      <c r="K201" s="38">
        <f t="shared" si="14"/>
        <v>1.4836892716169163E-2</v>
      </c>
      <c r="L201" s="38">
        <f t="shared" si="15"/>
        <v>8.1407446178501583E-3</v>
      </c>
    </row>
    <row r="202" spans="1:12">
      <c r="A202" s="35">
        <v>42627</v>
      </c>
      <c r="B202" s="37">
        <v>1047.0999999999999</v>
      </c>
      <c r="C202" s="37">
        <v>28412.89</v>
      </c>
      <c r="D202" s="38">
        <f t="shared" si="12"/>
        <v>-5.5064900083911603E-3</v>
      </c>
      <c r="E202" s="38">
        <f t="shared" si="13"/>
        <v>6.5298857294336203E-3</v>
      </c>
      <c r="H202" s="35">
        <v>44454</v>
      </c>
      <c r="I202" s="37">
        <v>1711.1</v>
      </c>
      <c r="J202" s="37">
        <v>58723.199999999997</v>
      </c>
      <c r="K202" s="38">
        <f t="shared" si="14"/>
        <v>-5.1267891226671183E-3</v>
      </c>
      <c r="L202" s="38">
        <f t="shared" si="15"/>
        <v>7.09224997188078E-3</v>
      </c>
    </row>
    <row r="203" spans="1:12">
      <c r="A203" s="35">
        <v>42628</v>
      </c>
      <c r="B203" s="37">
        <v>1041.3499999999999</v>
      </c>
      <c r="C203" s="37">
        <v>28599.03</v>
      </c>
      <c r="D203" s="38">
        <f t="shared" si="12"/>
        <v>1.8081094000047475E-2</v>
      </c>
      <c r="E203" s="38">
        <f t="shared" si="13"/>
        <v>1.2394833777020732E-3</v>
      </c>
      <c r="H203" s="35">
        <v>44455</v>
      </c>
      <c r="I203" s="37">
        <v>1702.35</v>
      </c>
      <c r="J203" s="37">
        <v>59141.16</v>
      </c>
      <c r="K203" s="38">
        <f t="shared" si="14"/>
        <v>-6.5121854352613263E-3</v>
      </c>
      <c r="L203" s="38">
        <f t="shared" si="15"/>
        <v>-2.1203990271500099E-3</v>
      </c>
    </row>
    <row r="204" spans="1:12">
      <c r="A204" s="35">
        <v>42629</v>
      </c>
      <c r="B204" s="37">
        <v>1060.3499999999999</v>
      </c>
      <c r="C204" s="37">
        <v>28634.5</v>
      </c>
      <c r="D204" s="38">
        <f t="shared" si="12"/>
        <v>7.5418339657751514E-4</v>
      </c>
      <c r="E204" s="38">
        <f t="shared" si="13"/>
        <v>-3.8944933289693051E-3</v>
      </c>
      <c r="H204" s="35">
        <v>44456</v>
      </c>
      <c r="I204" s="37">
        <v>1691.3</v>
      </c>
      <c r="J204" s="37">
        <v>59015.89</v>
      </c>
      <c r="K204" s="38">
        <f t="shared" si="14"/>
        <v>-2.04193433184681E-3</v>
      </c>
      <c r="L204" s="38">
        <f t="shared" si="15"/>
        <v>-8.9350301965483662E-3</v>
      </c>
    </row>
    <row r="205" spans="1:12">
      <c r="A205" s="35">
        <v>42632</v>
      </c>
      <c r="B205" s="37">
        <v>1061.1500000000001</v>
      </c>
      <c r="C205" s="37">
        <v>28523.200000000001</v>
      </c>
      <c r="D205" s="38">
        <f t="shared" si="12"/>
        <v>-1.0229783739960968E-2</v>
      </c>
      <c r="E205" s="38">
        <f t="shared" si="13"/>
        <v>-5.533869490706142E-4</v>
      </c>
      <c r="H205" s="35">
        <v>44459</v>
      </c>
      <c r="I205" s="37">
        <v>1687.85</v>
      </c>
      <c r="J205" s="37">
        <v>58490.93</v>
      </c>
      <c r="K205" s="38">
        <f t="shared" si="14"/>
        <v>1.7530656994830165E-2</v>
      </c>
      <c r="L205" s="38">
        <f t="shared" si="15"/>
        <v>8.7550624682416252E-3</v>
      </c>
    </row>
    <row r="206" spans="1:12">
      <c r="A206" s="35">
        <v>42633</v>
      </c>
      <c r="B206" s="37">
        <v>1050.3499999999999</v>
      </c>
      <c r="C206" s="37">
        <v>28507.42</v>
      </c>
      <c r="D206" s="38">
        <f t="shared" si="12"/>
        <v>6.027402505295743E-3</v>
      </c>
      <c r="E206" s="38">
        <f t="shared" si="13"/>
        <v>9.2775612619584915E-3</v>
      </c>
      <c r="H206" s="35">
        <v>44460</v>
      </c>
      <c r="I206" s="37">
        <v>1717.7</v>
      </c>
      <c r="J206" s="37">
        <v>59005.27</v>
      </c>
      <c r="K206" s="38">
        <f t="shared" si="14"/>
        <v>-6.1146943830173975E-4</v>
      </c>
      <c r="L206" s="38">
        <f t="shared" si="15"/>
        <v>-1.3217721197919421E-3</v>
      </c>
    </row>
    <row r="207" spans="1:12">
      <c r="A207" s="35">
        <v>42634</v>
      </c>
      <c r="B207" s="37">
        <v>1056.7</v>
      </c>
      <c r="C207" s="37">
        <v>28773.13</v>
      </c>
      <c r="D207" s="38">
        <f t="shared" si="12"/>
        <v>1.7019671279347461E-3</v>
      </c>
      <c r="E207" s="38">
        <f t="shared" si="13"/>
        <v>-3.6527733644489478E-3</v>
      </c>
      <c r="H207" s="35">
        <v>44461</v>
      </c>
      <c r="I207" s="37">
        <v>1716.65</v>
      </c>
      <c r="J207" s="37">
        <v>58927.33</v>
      </c>
      <c r="K207" s="38">
        <f t="shared" si="14"/>
        <v>1.4486930533061214E-2</v>
      </c>
      <c r="L207" s="38">
        <f t="shared" si="15"/>
        <v>1.6127078072634585E-2</v>
      </c>
    </row>
    <row r="208" spans="1:12">
      <c r="A208" s="35">
        <v>42635</v>
      </c>
      <c r="B208" s="37">
        <v>1058.5</v>
      </c>
      <c r="C208" s="37">
        <v>28668.22</v>
      </c>
      <c r="D208" s="38">
        <f t="shared" si="12"/>
        <v>-1.4751635574147406E-2</v>
      </c>
      <c r="E208" s="38">
        <f t="shared" si="13"/>
        <v>-1.312952808507831E-2</v>
      </c>
      <c r="H208" s="35">
        <v>44462</v>
      </c>
      <c r="I208" s="37">
        <v>1741.7</v>
      </c>
      <c r="J208" s="37">
        <v>59885.36</v>
      </c>
      <c r="K208" s="38">
        <f t="shared" si="14"/>
        <v>1.2410469828738193E-2</v>
      </c>
      <c r="L208" s="38">
        <f t="shared" si="15"/>
        <v>2.7200015302247089E-3</v>
      </c>
    </row>
    <row r="209" spans="1:12">
      <c r="A209" s="35">
        <v>42636</v>
      </c>
      <c r="B209" s="37">
        <v>1043</v>
      </c>
      <c r="C209" s="37">
        <v>28294.28</v>
      </c>
      <c r="D209" s="38">
        <f t="shared" si="12"/>
        <v>-7.0236494059391979E-3</v>
      </c>
      <c r="E209" s="38">
        <f t="shared" si="13"/>
        <v>-2.4976135626313695E-3</v>
      </c>
      <c r="H209" s="35">
        <v>44463</v>
      </c>
      <c r="I209" s="37">
        <v>1763.45</v>
      </c>
      <c r="J209" s="37">
        <v>60048.47</v>
      </c>
      <c r="K209" s="38">
        <f t="shared" si="14"/>
        <v>-2.3814748005000073E-2</v>
      </c>
      <c r="L209" s="38">
        <f t="shared" si="15"/>
        <v>4.8965111464052214E-4</v>
      </c>
    </row>
    <row r="210" spans="1:12">
      <c r="A210" s="35">
        <v>42639</v>
      </c>
      <c r="B210" s="37">
        <v>1035.7</v>
      </c>
      <c r="C210" s="37">
        <v>28223.7</v>
      </c>
      <c r="D210" s="38">
        <f t="shared" si="12"/>
        <v>4.5757852639554527E-3</v>
      </c>
      <c r="E210" s="38">
        <f t="shared" si="13"/>
        <v>2.4456582491373755E-3</v>
      </c>
      <c r="H210" s="35">
        <v>44466</v>
      </c>
      <c r="I210" s="37">
        <v>1721.95</v>
      </c>
      <c r="J210" s="37">
        <v>60077.88</v>
      </c>
      <c r="K210" s="38">
        <f t="shared" si="14"/>
        <v>-2.0209225814792595E-2</v>
      </c>
      <c r="L210" s="38">
        <f t="shared" si="15"/>
        <v>-6.8525610399463952E-3</v>
      </c>
    </row>
    <row r="211" spans="1:12">
      <c r="A211" s="35">
        <v>42640</v>
      </c>
      <c r="B211" s="37">
        <v>1040.45</v>
      </c>
      <c r="C211" s="37">
        <v>28292.81</v>
      </c>
      <c r="D211" s="38">
        <f t="shared" si="12"/>
        <v>-1.7796594485701141E-3</v>
      </c>
      <c r="E211" s="38">
        <f t="shared" si="13"/>
        <v>-1.6581890310409828E-2</v>
      </c>
      <c r="H211" s="35">
        <v>44467</v>
      </c>
      <c r="I211" s="37">
        <v>1687.5</v>
      </c>
      <c r="J211" s="37">
        <v>59667.6</v>
      </c>
      <c r="K211" s="38">
        <f t="shared" si="14"/>
        <v>2.6926678102896693E-3</v>
      </c>
      <c r="L211" s="38">
        <f t="shared" si="15"/>
        <v>-4.2715574166185639E-3</v>
      </c>
    </row>
    <row r="212" spans="1:12">
      <c r="A212" s="35">
        <v>42641</v>
      </c>
      <c r="B212" s="37">
        <v>1038.5999999999999</v>
      </c>
      <c r="C212" s="37">
        <v>27827.53</v>
      </c>
      <c r="D212" s="38">
        <f t="shared" si="12"/>
        <v>-8.4119422784622866E-3</v>
      </c>
      <c r="E212" s="38">
        <f t="shared" si="13"/>
        <v>1.3800537944136473E-3</v>
      </c>
      <c r="H212" s="35">
        <v>44468</v>
      </c>
      <c r="I212" s="37">
        <v>1692.05</v>
      </c>
      <c r="J212" s="37">
        <v>59413.27</v>
      </c>
      <c r="K212" s="38">
        <f t="shared" si="14"/>
        <v>-9.8888688372654968E-3</v>
      </c>
      <c r="L212" s="38">
        <f t="shared" si="15"/>
        <v>-4.8407534300678855E-3</v>
      </c>
    </row>
    <row r="213" spans="1:12">
      <c r="A213" s="35">
        <v>42642</v>
      </c>
      <c r="B213" s="37">
        <v>1029.9000000000001</v>
      </c>
      <c r="C213" s="37">
        <v>27865.96</v>
      </c>
      <c r="D213" s="38">
        <f t="shared" si="12"/>
        <v>7.9304090674435657E-3</v>
      </c>
      <c r="E213" s="38">
        <f t="shared" si="13"/>
        <v>1.3450035006378411E-2</v>
      </c>
      <c r="H213" s="35">
        <v>44469</v>
      </c>
      <c r="I213" s="37">
        <v>1675.4</v>
      </c>
      <c r="J213" s="37">
        <v>59126.36</v>
      </c>
      <c r="K213" s="38">
        <f t="shared" si="14"/>
        <v>-6.2568497861053805E-3</v>
      </c>
      <c r="L213" s="38">
        <f t="shared" si="15"/>
        <v>-6.120539305134844E-3</v>
      </c>
    </row>
    <row r="214" spans="1:12">
      <c r="A214" s="35">
        <v>42643</v>
      </c>
      <c r="B214" s="37">
        <v>1038.0999999999999</v>
      </c>
      <c r="C214" s="37">
        <v>28243.29</v>
      </c>
      <c r="D214" s="38">
        <f t="shared" si="12"/>
        <v>-2.4085358626996795E-4</v>
      </c>
      <c r="E214" s="38">
        <f t="shared" si="13"/>
        <v>3.2260008210224034E-3</v>
      </c>
      <c r="H214" s="35">
        <v>44470</v>
      </c>
      <c r="I214" s="37">
        <v>1664.95</v>
      </c>
      <c r="J214" s="37">
        <v>58765.58</v>
      </c>
      <c r="K214" s="38">
        <f t="shared" si="14"/>
        <v>8.462842631819666E-3</v>
      </c>
      <c r="L214" s="38">
        <f t="shared" si="15"/>
        <v>9.0415294649919299E-3</v>
      </c>
    </row>
    <row r="215" spans="1:12">
      <c r="A215" s="35">
        <v>42646</v>
      </c>
      <c r="B215" s="37">
        <v>1037.8499999999999</v>
      </c>
      <c r="C215" s="37">
        <v>28334.55</v>
      </c>
      <c r="D215" s="38">
        <f t="shared" si="12"/>
        <v>1.0495387836560332E-2</v>
      </c>
      <c r="E215" s="38">
        <f t="shared" si="13"/>
        <v>-4.016235111167144E-3</v>
      </c>
      <c r="H215" s="35">
        <v>44473</v>
      </c>
      <c r="I215" s="37">
        <v>1679.1</v>
      </c>
      <c r="J215" s="37">
        <v>59299.32</v>
      </c>
      <c r="K215" s="38">
        <f t="shared" si="14"/>
        <v>8.0964898003313066E-3</v>
      </c>
      <c r="L215" s="38">
        <f t="shared" si="15"/>
        <v>7.4856579418464209E-3</v>
      </c>
    </row>
    <row r="216" spans="1:12">
      <c r="A216" s="35">
        <v>42647</v>
      </c>
      <c r="B216" s="37">
        <v>1048.8</v>
      </c>
      <c r="C216" s="37">
        <v>28220.98</v>
      </c>
      <c r="D216" s="38">
        <f t="shared" si="12"/>
        <v>-7.3207819957875168E-3</v>
      </c>
      <c r="E216" s="38">
        <f t="shared" si="13"/>
        <v>-4.0751246006993508E-3</v>
      </c>
      <c r="H216" s="35">
        <v>44474</v>
      </c>
      <c r="I216" s="37">
        <v>1692.75</v>
      </c>
      <c r="J216" s="37">
        <v>59744.88</v>
      </c>
      <c r="K216" s="38">
        <f t="shared" si="14"/>
        <v>-1.1198192257180373E-2</v>
      </c>
      <c r="L216" s="38">
        <f t="shared" si="15"/>
        <v>-9.3354496525393793E-3</v>
      </c>
    </row>
    <row r="217" spans="1:12">
      <c r="A217" s="35">
        <v>42648</v>
      </c>
      <c r="B217" s="37">
        <v>1041.1500000000001</v>
      </c>
      <c r="C217" s="37">
        <v>28106.21</v>
      </c>
      <c r="D217" s="38">
        <f t="shared" si="12"/>
        <v>-1.4024797052194745E-2</v>
      </c>
      <c r="E217" s="38">
        <f t="shared" si="13"/>
        <v>-1.6048472884434835E-3</v>
      </c>
      <c r="H217" s="35">
        <v>44475</v>
      </c>
      <c r="I217" s="37">
        <v>1673.9</v>
      </c>
      <c r="J217" s="37">
        <v>59189.73</v>
      </c>
      <c r="K217" s="38">
        <f t="shared" si="14"/>
        <v>1.0341230871421912E-2</v>
      </c>
      <c r="L217" s="38">
        <f t="shared" si="15"/>
        <v>8.2125475337492589E-3</v>
      </c>
    </row>
    <row r="218" spans="1:12">
      <c r="A218" s="35">
        <v>42649</v>
      </c>
      <c r="B218" s="37">
        <v>1026.6500000000001</v>
      </c>
      <c r="C218" s="37">
        <v>28061.14</v>
      </c>
      <c r="D218" s="38">
        <f t="shared" si="12"/>
        <v>-1.3730417245518649E-2</v>
      </c>
      <c r="E218" s="38">
        <f t="shared" si="13"/>
        <v>7.5520794249310833E-4</v>
      </c>
      <c r="H218" s="35">
        <v>44476</v>
      </c>
      <c r="I218" s="37">
        <v>1691.3</v>
      </c>
      <c r="J218" s="37">
        <v>59677.83</v>
      </c>
      <c r="K218" s="38">
        <f t="shared" si="14"/>
        <v>1.8888653290092122E-2</v>
      </c>
      <c r="L218" s="38">
        <f t="shared" si="15"/>
        <v>6.3678167724239175E-3</v>
      </c>
    </row>
    <row r="219" spans="1:12">
      <c r="A219" s="35">
        <v>42650</v>
      </c>
      <c r="B219" s="37">
        <v>1012.65</v>
      </c>
      <c r="C219" s="37">
        <v>28082.34</v>
      </c>
      <c r="D219" s="38">
        <f t="shared" si="12"/>
        <v>1.6551156398166355E-2</v>
      </c>
      <c r="E219" s="38">
        <f t="shared" si="13"/>
        <v>-1.5764398359405608E-2</v>
      </c>
      <c r="H219" s="35">
        <v>44477</v>
      </c>
      <c r="I219" s="37">
        <v>1723.55</v>
      </c>
      <c r="J219" s="37">
        <v>60059.06</v>
      </c>
      <c r="K219" s="38">
        <f t="shared" si="14"/>
        <v>-1.8474856103919784E-2</v>
      </c>
      <c r="L219" s="38">
        <f t="shared" si="15"/>
        <v>1.2765940770696352E-3</v>
      </c>
    </row>
    <row r="220" spans="1:12">
      <c r="A220" s="35">
        <v>42653</v>
      </c>
      <c r="B220" s="37">
        <v>1029.55</v>
      </c>
      <c r="C220" s="37">
        <v>27643.11</v>
      </c>
      <c r="D220" s="38">
        <f t="shared" si="12"/>
        <v>2.1618828131165717E-2</v>
      </c>
      <c r="E220" s="38">
        <f t="shared" si="13"/>
        <v>1.1023794830792976E-3</v>
      </c>
      <c r="H220" s="35">
        <v>44480</v>
      </c>
      <c r="I220" s="37">
        <v>1692</v>
      </c>
      <c r="J220" s="37">
        <v>60135.78</v>
      </c>
      <c r="K220" s="38">
        <f t="shared" si="14"/>
        <v>-4.2643987864575397E-3</v>
      </c>
      <c r="L220" s="38">
        <f t="shared" si="15"/>
        <v>2.4668653764058769E-3</v>
      </c>
    </row>
    <row r="221" spans="1:12">
      <c r="A221" s="35">
        <v>42656</v>
      </c>
      <c r="B221" s="37">
        <v>1052.05</v>
      </c>
      <c r="C221" s="37">
        <v>27673.599999999999</v>
      </c>
      <c r="D221" s="38">
        <f t="shared" si="12"/>
        <v>-2.3709302652153669E-2</v>
      </c>
      <c r="E221" s="38">
        <f t="shared" si="13"/>
        <v>-5.203660708970867E-3</v>
      </c>
      <c r="H221" s="35">
        <v>44481</v>
      </c>
      <c r="I221" s="37">
        <v>1684.8</v>
      </c>
      <c r="J221" s="37">
        <v>60284.31</v>
      </c>
      <c r="K221" s="38">
        <f t="shared" si="14"/>
        <v>1.4115246658448198E-2</v>
      </c>
      <c r="L221" s="38">
        <f t="shared" si="15"/>
        <v>7.4820199021658623E-3</v>
      </c>
    </row>
    <row r="222" spans="1:12">
      <c r="A222" s="35">
        <v>42657</v>
      </c>
      <c r="B222" s="37">
        <v>1027.4000000000001</v>
      </c>
      <c r="C222" s="37">
        <v>27529.97</v>
      </c>
      <c r="D222" s="38">
        <f t="shared" si="12"/>
        <v>-5.2209247871813367E-3</v>
      </c>
      <c r="E222" s="38">
        <f t="shared" si="13"/>
        <v>1.8744774591999691E-2</v>
      </c>
      <c r="H222" s="35">
        <v>44482</v>
      </c>
      <c r="I222" s="37">
        <v>1708.75</v>
      </c>
      <c r="J222" s="37">
        <v>60737.05</v>
      </c>
      <c r="K222" s="38">
        <f t="shared" si="14"/>
        <v>3.9424742603451557E-3</v>
      </c>
      <c r="L222" s="38">
        <f t="shared" si="15"/>
        <v>9.3230110806343282E-3</v>
      </c>
    </row>
    <row r="223" spans="1:12">
      <c r="A223" s="35">
        <v>42660</v>
      </c>
      <c r="B223" s="37">
        <v>1022.05</v>
      </c>
      <c r="C223" s="37">
        <v>28050.880000000001</v>
      </c>
      <c r="D223" s="38">
        <f t="shared" si="12"/>
        <v>1.5678030147142578E-2</v>
      </c>
      <c r="E223" s="38">
        <f t="shared" si="13"/>
        <v>-2.3738639957263572E-3</v>
      </c>
      <c r="H223" s="35">
        <v>44483</v>
      </c>
      <c r="I223" s="37">
        <v>1715.5</v>
      </c>
      <c r="J223" s="37">
        <v>61305.95</v>
      </c>
      <c r="K223" s="38">
        <f t="shared" si="14"/>
        <v>4.3711433090416425E-2</v>
      </c>
      <c r="L223" s="38">
        <f t="shared" si="15"/>
        <v>7.4695114252882238E-3</v>
      </c>
    </row>
    <row r="224" spans="1:12">
      <c r="A224" s="35">
        <v>42661</v>
      </c>
      <c r="B224" s="37">
        <v>1038.2</v>
      </c>
      <c r="C224" s="37">
        <v>27984.37</v>
      </c>
      <c r="D224" s="38">
        <f t="shared" si="12"/>
        <v>3.2695480611759473E-3</v>
      </c>
      <c r="E224" s="38">
        <f t="shared" si="13"/>
        <v>5.1847945779883164E-3</v>
      </c>
      <c r="H224" s="35">
        <v>44487</v>
      </c>
      <c r="I224" s="37">
        <v>1792.15</v>
      </c>
      <c r="J224" s="37">
        <v>61765.59</v>
      </c>
      <c r="K224" s="38">
        <f t="shared" si="14"/>
        <v>1.6216870779016991E-2</v>
      </c>
      <c r="L224" s="38">
        <f t="shared" si="15"/>
        <v>-8.0238653548675106E-4</v>
      </c>
    </row>
    <row r="225" spans="1:12">
      <c r="A225" s="35">
        <v>42662</v>
      </c>
      <c r="B225" s="37">
        <v>1041.5999999999999</v>
      </c>
      <c r="C225" s="37">
        <v>28129.84</v>
      </c>
      <c r="D225" s="38">
        <f t="shared" si="12"/>
        <v>-4.4742803949209663E-3</v>
      </c>
      <c r="E225" s="38">
        <f t="shared" si="13"/>
        <v>-1.8737878438598041E-3</v>
      </c>
      <c r="H225" s="35">
        <v>44488</v>
      </c>
      <c r="I225" s="37">
        <v>1821.45</v>
      </c>
      <c r="J225" s="37">
        <v>61716.05</v>
      </c>
      <c r="K225" s="38">
        <f t="shared" si="14"/>
        <v>-1.156848307900777E-2</v>
      </c>
      <c r="L225" s="38">
        <f t="shared" si="15"/>
        <v>-7.4175782933356988E-3</v>
      </c>
    </row>
    <row r="226" spans="1:12">
      <c r="A226" s="35">
        <v>42663</v>
      </c>
      <c r="B226" s="37">
        <v>1036.95</v>
      </c>
      <c r="C226" s="37">
        <v>28077.18</v>
      </c>
      <c r="D226" s="38">
        <f t="shared" si="12"/>
        <v>1.1084071398158001E-3</v>
      </c>
      <c r="E226" s="38">
        <f t="shared" si="13"/>
        <v>3.6227119060158325E-3</v>
      </c>
      <c r="H226" s="35">
        <v>44489</v>
      </c>
      <c r="I226" s="37">
        <v>1800.5</v>
      </c>
      <c r="J226" s="37">
        <v>61259.96</v>
      </c>
      <c r="K226" s="38">
        <f t="shared" si="14"/>
        <v>-2.6251032627882993E-2</v>
      </c>
      <c r="L226" s="38">
        <f t="shared" si="15"/>
        <v>-5.5074696765752759E-3</v>
      </c>
    </row>
    <row r="227" spans="1:12">
      <c r="A227" s="35">
        <v>42664</v>
      </c>
      <c r="B227" s="37">
        <v>1038.0999999999999</v>
      </c>
      <c r="C227" s="37">
        <v>28179.08</v>
      </c>
      <c r="D227" s="38">
        <f t="shared" si="12"/>
        <v>-8.8046623651499949E-3</v>
      </c>
      <c r="E227" s="38">
        <f t="shared" si="13"/>
        <v>-3.1156670337889386E-3</v>
      </c>
      <c r="H227" s="35">
        <v>44490</v>
      </c>
      <c r="I227" s="37">
        <v>1753.85</v>
      </c>
      <c r="J227" s="37">
        <v>60923.5</v>
      </c>
      <c r="K227" s="38">
        <f t="shared" si="14"/>
        <v>-1.9750742791076414E-2</v>
      </c>
      <c r="L227" s="38">
        <f t="shared" si="15"/>
        <v>-1.6736609037254348E-3</v>
      </c>
    </row>
    <row r="228" spans="1:12">
      <c r="A228" s="35">
        <v>42667</v>
      </c>
      <c r="B228" s="37">
        <v>1029</v>
      </c>
      <c r="C228" s="37">
        <v>28091.42</v>
      </c>
      <c r="D228" s="38">
        <f t="shared" si="12"/>
        <v>-1.1386249532137679E-2</v>
      </c>
      <c r="E228" s="38">
        <f t="shared" si="13"/>
        <v>-9.1157232235500631E-3</v>
      </c>
      <c r="H228" s="35">
        <v>44491</v>
      </c>
      <c r="I228" s="37">
        <v>1719.55</v>
      </c>
      <c r="J228" s="37">
        <v>60821.62</v>
      </c>
      <c r="K228" s="38">
        <f t="shared" si="14"/>
        <v>-6.9151927767771501E-3</v>
      </c>
      <c r="L228" s="38">
        <f t="shared" si="15"/>
        <v>2.3882364282942809E-3</v>
      </c>
    </row>
    <row r="229" spans="1:12">
      <c r="A229" s="35">
        <v>42668</v>
      </c>
      <c r="B229" s="37">
        <v>1017.35</v>
      </c>
      <c r="C229" s="37">
        <v>27836.51</v>
      </c>
      <c r="D229" s="38">
        <f t="shared" si="12"/>
        <v>-2.4603889982763587E-3</v>
      </c>
      <c r="E229" s="38">
        <f t="shared" si="13"/>
        <v>2.8479505606966E-3</v>
      </c>
      <c r="H229" s="35">
        <v>44494</v>
      </c>
      <c r="I229" s="37">
        <v>1707.7</v>
      </c>
      <c r="J229" s="37">
        <v>60967.05</v>
      </c>
      <c r="K229" s="38">
        <f t="shared" si="14"/>
        <v>-2.1103237798464477E-3</v>
      </c>
      <c r="L229" s="38">
        <f t="shared" si="15"/>
        <v>6.2658548289605551E-3</v>
      </c>
    </row>
    <row r="230" spans="1:12">
      <c r="A230" s="35">
        <v>42669</v>
      </c>
      <c r="B230" s="37">
        <v>1014.85</v>
      </c>
      <c r="C230" s="37">
        <v>27915.9</v>
      </c>
      <c r="D230" s="38">
        <f t="shared" si="12"/>
        <v>-8.6096523912582521E-3</v>
      </c>
      <c r="E230" s="38">
        <f t="shared" si="13"/>
        <v>9.1697777589435704E-4</v>
      </c>
      <c r="H230" s="35">
        <v>44495</v>
      </c>
      <c r="I230" s="37">
        <v>1704.1</v>
      </c>
      <c r="J230" s="37">
        <v>61350.26</v>
      </c>
      <c r="K230" s="38">
        <f t="shared" si="14"/>
        <v>1.4332568815394246E-2</v>
      </c>
      <c r="L230" s="38">
        <f t="shared" si="15"/>
        <v>-3.3786289853115175E-3</v>
      </c>
    </row>
    <row r="231" spans="1:12">
      <c r="A231" s="35">
        <v>42670</v>
      </c>
      <c r="B231" s="37">
        <v>1006.15</v>
      </c>
      <c r="C231" s="37">
        <v>27941.51</v>
      </c>
      <c r="D231" s="38">
        <f t="shared" si="12"/>
        <v>-8.6844227179573626E-3</v>
      </c>
      <c r="E231" s="38">
        <f t="shared" si="13"/>
        <v>-4.0449802347499239E-4</v>
      </c>
      <c r="H231" s="35">
        <v>44496</v>
      </c>
      <c r="I231" s="37">
        <v>1728.7</v>
      </c>
      <c r="J231" s="37">
        <v>61143.33</v>
      </c>
      <c r="K231" s="38">
        <f t="shared" si="14"/>
        <v>-1.4391252539480105E-2</v>
      </c>
      <c r="L231" s="38">
        <f t="shared" si="15"/>
        <v>-1.9131250437366378E-2</v>
      </c>
    </row>
    <row r="232" spans="1:12">
      <c r="A232" s="35">
        <v>42671</v>
      </c>
      <c r="B232" s="37">
        <v>997.45</v>
      </c>
      <c r="C232" s="37">
        <v>27930.21</v>
      </c>
      <c r="D232" s="38">
        <f t="shared" si="12"/>
        <v>5.050136986304337E-3</v>
      </c>
      <c r="E232" s="38">
        <f t="shared" si="13"/>
        <v>-1.9209127659156134E-3</v>
      </c>
      <c r="H232" s="35">
        <v>44497</v>
      </c>
      <c r="I232" s="37">
        <v>1704</v>
      </c>
      <c r="J232" s="37">
        <v>59984.7</v>
      </c>
      <c r="K232" s="38">
        <f t="shared" si="14"/>
        <v>-2.0993476921286908E-2</v>
      </c>
      <c r="L232" s="38">
        <f t="shared" si="15"/>
        <v>-1.1363367121980555E-2</v>
      </c>
    </row>
    <row r="233" spans="1:12">
      <c r="A233" s="35">
        <v>42673</v>
      </c>
      <c r="B233" s="37">
        <v>1002.5</v>
      </c>
      <c r="C233" s="37">
        <v>27876.61</v>
      </c>
      <c r="D233" s="38">
        <f t="shared" si="12"/>
        <v>-1.3709507412690293E-2</v>
      </c>
      <c r="E233" s="38">
        <f t="shared" si="13"/>
        <v>-1.2612652652553874E-2</v>
      </c>
      <c r="H233" s="35">
        <v>44498</v>
      </c>
      <c r="I233" s="37">
        <v>1668.6</v>
      </c>
      <c r="J233" s="37">
        <v>59306.93</v>
      </c>
      <c r="K233" s="38">
        <f t="shared" si="14"/>
        <v>1.8613887379093114E-2</v>
      </c>
      <c r="L233" s="38">
        <f t="shared" si="15"/>
        <v>1.3923407733235206E-2</v>
      </c>
    </row>
    <row r="234" spans="1:12">
      <c r="A234" s="35">
        <v>42675</v>
      </c>
      <c r="B234" s="37">
        <v>988.85</v>
      </c>
      <c r="C234" s="37">
        <v>27527.22</v>
      </c>
      <c r="D234" s="38">
        <f t="shared" si="12"/>
        <v>-7.868260598688807E-3</v>
      </c>
      <c r="E234" s="38">
        <f t="shared" si="13"/>
        <v>-3.5278206082528423E-3</v>
      </c>
      <c r="H234" s="35">
        <v>44501</v>
      </c>
      <c r="I234" s="37">
        <v>1699.95</v>
      </c>
      <c r="J234" s="37">
        <v>60138.46</v>
      </c>
      <c r="K234" s="38">
        <f t="shared" si="14"/>
        <v>-1.2360941005284142E-3</v>
      </c>
      <c r="L234" s="38">
        <f t="shared" si="15"/>
        <v>-1.8207920114242748E-3</v>
      </c>
    </row>
    <row r="235" spans="1:12">
      <c r="A235" s="35">
        <v>42676</v>
      </c>
      <c r="B235" s="37">
        <v>981.1</v>
      </c>
      <c r="C235" s="37">
        <v>27430.28</v>
      </c>
      <c r="D235" s="38">
        <f t="shared" si="12"/>
        <v>-1.4579313679843338E-2</v>
      </c>
      <c r="E235" s="38">
        <f t="shared" si="13"/>
        <v>-5.7081455352255388E-3</v>
      </c>
      <c r="H235" s="35">
        <v>44502</v>
      </c>
      <c r="I235" s="37">
        <v>1697.85</v>
      </c>
      <c r="J235" s="37">
        <v>60029.06</v>
      </c>
      <c r="K235" s="38">
        <f t="shared" si="14"/>
        <v>2.7937497034177311E-3</v>
      </c>
      <c r="L235" s="38">
        <f t="shared" si="15"/>
        <v>-4.2927928449785794E-3</v>
      </c>
    </row>
    <row r="236" spans="1:12">
      <c r="A236" s="35">
        <v>42677</v>
      </c>
      <c r="B236" s="37">
        <v>966.9</v>
      </c>
      <c r="C236" s="37">
        <v>27274.15</v>
      </c>
      <c r="D236" s="38">
        <f t="shared" si="12"/>
        <v>4.025396362944458E-3</v>
      </c>
      <c r="E236" s="38">
        <f t="shared" si="13"/>
        <v>6.7542517274997663E-3</v>
      </c>
      <c r="H236" s="35">
        <v>44503</v>
      </c>
      <c r="I236" s="37">
        <v>1702.6</v>
      </c>
      <c r="J236" s="37">
        <v>59771.92</v>
      </c>
      <c r="K236" s="38">
        <f t="shared" si="14"/>
        <v>3.9859372819611326E-3</v>
      </c>
      <c r="L236" s="38">
        <f t="shared" si="15"/>
        <v>4.9349421754187476E-3</v>
      </c>
    </row>
    <row r="237" spans="1:12">
      <c r="A237" s="35">
        <v>42678</v>
      </c>
      <c r="B237" s="37">
        <v>970.8</v>
      </c>
      <c r="C237" s="37">
        <v>27458.99</v>
      </c>
      <c r="D237" s="38">
        <f t="shared" si="12"/>
        <v>8.1557734525665535E-3</v>
      </c>
      <c r="E237" s="38">
        <f t="shared" si="13"/>
        <v>4.8010878028050237E-3</v>
      </c>
      <c r="H237" s="35">
        <v>44504</v>
      </c>
      <c r="I237" s="37">
        <v>1709.4</v>
      </c>
      <c r="J237" s="37">
        <v>60067.62</v>
      </c>
      <c r="K237" s="38">
        <f t="shared" si="14"/>
        <v>1.6391193915980564E-2</v>
      </c>
      <c r="L237" s="38">
        <f t="shared" si="15"/>
        <v>7.9260376719469811E-3</v>
      </c>
    </row>
    <row r="238" spans="1:12">
      <c r="A238" s="35">
        <v>42681</v>
      </c>
      <c r="B238" s="37">
        <v>978.75</v>
      </c>
      <c r="C238" s="37">
        <v>27591.14</v>
      </c>
      <c r="D238" s="38">
        <f t="shared" si="12"/>
        <v>4.1293933420111124E-3</v>
      </c>
      <c r="E238" s="38">
        <f t="shared" si="13"/>
        <v>-1.23483458579594E-2</v>
      </c>
      <c r="H238" s="35">
        <v>44508</v>
      </c>
      <c r="I238" s="37">
        <v>1737.65</v>
      </c>
      <c r="J238" s="37">
        <v>60545.61</v>
      </c>
      <c r="K238" s="38">
        <f t="shared" si="14"/>
        <v>2.7298475307978593E-3</v>
      </c>
      <c r="L238" s="38">
        <f t="shared" si="15"/>
        <v>-1.8542057135272727E-3</v>
      </c>
    </row>
    <row r="239" spans="1:12">
      <c r="A239" s="35">
        <v>42682</v>
      </c>
      <c r="B239" s="37">
        <v>982.8</v>
      </c>
      <c r="C239" s="37">
        <v>27252.53</v>
      </c>
      <c r="D239" s="38">
        <f t="shared" si="12"/>
        <v>-2.7804643671996705E-2</v>
      </c>
      <c r="E239" s="38">
        <f t="shared" si="13"/>
        <v>9.6823463497113151E-3</v>
      </c>
      <c r="H239" s="35">
        <v>44509</v>
      </c>
      <c r="I239" s="37">
        <v>1742.4</v>
      </c>
      <c r="J239" s="37">
        <v>60433.45</v>
      </c>
      <c r="K239" s="38">
        <f t="shared" si="14"/>
        <v>-2.4133781753363469E-3</v>
      </c>
      <c r="L239" s="38">
        <f t="shared" si="15"/>
        <v>-1.3350857175505665E-3</v>
      </c>
    </row>
    <row r="240" spans="1:12">
      <c r="A240" s="35">
        <v>42683</v>
      </c>
      <c r="B240" s="37">
        <v>955.85</v>
      </c>
      <c r="C240" s="37">
        <v>27517.68</v>
      </c>
      <c r="D240" s="38">
        <f t="shared" si="12"/>
        <v>-1.8211593614710083E-2</v>
      </c>
      <c r="E240" s="38">
        <f t="shared" si="13"/>
        <v>-2.5724827317436843E-2</v>
      </c>
      <c r="H240" s="35">
        <v>44510</v>
      </c>
      <c r="I240" s="37">
        <v>1738.2</v>
      </c>
      <c r="J240" s="37">
        <v>60352.82</v>
      </c>
      <c r="K240" s="38">
        <f t="shared" si="14"/>
        <v>-3.2557833268840757E-3</v>
      </c>
      <c r="L240" s="38">
        <f t="shared" si="15"/>
        <v>-7.2025082443840137E-3</v>
      </c>
    </row>
    <row r="241" spans="1:12">
      <c r="A241" s="35">
        <v>42684</v>
      </c>
      <c r="B241" s="37">
        <v>938.6</v>
      </c>
      <c r="C241" s="37">
        <v>26818.82</v>
      </c>
      <c r="D241" s="38">
        <f t="shared" si="12"/>
        <v>-1.8006882843917452E-2</v>
      </c>
      <c r="E241" s="38">
        <f t="shared" si="13"/>
        <v>-1.9358910551601598E-2</v>
      </c>
      <c r="H241" s="35">
        <v>44511</v>
      </c>
      <c r="I241" s="37">
        <v>1732.55</v>
      </c>
      <c r="J241" s="37">
        <v>59919.69</v>
      </c>
      <c r="K241" s="38">
        <f t="shared" si="14"/>
        <v>2.701905260965513E-2</v>
      </c>
      <c r="L241" s="38">
        <f t="shared" si="15"/>
        <v>1.2719233266761099E-2</v>
      </c>
    </row>
    <row r="242" spans="1:12">
      <c r="A242" s="35">
        <v>42685</v>
      </c>
      <c r="B242" s="37">
        <v>921.85</v>
      </c>
      <c r="C242" s="37">
        <v>26304.63</v>
      </c>
      <c r="D242" s="38">
        <f t="shared" si="12"/>
        <v>3.1409101961634746E-3</v>
      </c>
      <c r="E242" s="38">
        <f t="shared" si="13"/>
        <v>-2.2584125964861279E-4</v>
      </c>
      <c r="H242" s="35">
        <v>44512</v>
      </c>
      <c r="I242" s="37">
        <v>1780</v>
      </c>
      <c r="J242" s="37">
        <v>60686.69</v>
      </c>
      <c r="K242" s="38">
        <f t="shared" si="14"/>
        <v>3.1131267166887304E-3</v>
      </c>
      <c r="L242" s="38">
        <f t="shared" si="15"/>
        <v>5.2748890481708801E-4</v>
      </c>
    </row>
    <row r="243" spans="1:12">
      <c r="A243" s="35">
        <v>42689</v>
      </c>
      <c r="B243" s="37">
        <v>924.75</v>
      </c>
      <c r="C243" s="37">
        <v>26298.69</v>
      </c>
      <c r="D243" s="38">
        <f t="shared" si="12"/>
        <v>1.6462821871941837E-2</v>
      </c>
      <c r="E243" s="38">
        <f t="shared" si="13"/>
        <v>-2.7060740938967798E-3</v>
      </c>
      <c r="H243" s="35">
        <v>44515</v>
      </c>
      <c r="I243" s="37">
        <v>1785.55</v>
      </c>
      <c r="J243" s="37">
        <v>60718.71</v>
      </c>
      <c r="K243" s="38">
        <f t="shared" si="14"/>
        <v>2.8242681972359355E-3</v>
      </c>
      <c r="L243" s="38">
        <f t="shared" si="15"/>
        <v>-6.5488744236269414E-3</v>
      </c>
    </row>
    <row r="244" spans="1:12">
      <c r="A244" s="35">
        <v>42690</v>
      </c>
      <c r="B244" s="37">
        <v>940.1</v>
      </c>
      <c r="C244" s="37">
        <v>26227.62</v>
      </c>
      <c r="D244" s="38">
        <f t="shared" si="12"/>
        <v>-1.1285654508279048E-2</v>
      </c>
      <c r="E244" s="38">
        <f t="shared" si="13"/>
        <v>-2.9546856742531944E-3</v>
      </c>
      <c r="H244" s="35">
        <v>44516</v>
      </c>
      <c r="I244" s="37">
        <v>1790.6</v>
      </c>
      <c r="J244" s="37">
        <v>60322.37</v>
      </c>
      <c r="K244" s="38">
        <f t="shared" si="14"/>
        <v>-1.425118651770686E-3</v>
      </c>
      <c r="L244" s="38">
        <f t="shared" si="15"/>
        <v>-5.2196274598008364E-3</v>
      </c>
    </row>
    <row r="245" spans="1:12">
      <c r="A245" s="35">
        <v>42691</v>
      </c>
      <c r="B245" s="37">
        <v>929.55</v>
      </c>
      <c r="C245" s="37">
        <v>26150.240000000002</v>
      </c>
      <c r="D245" s="38">
        <f t="shared" si="12"/>
        <v>-1.054434297040269E-2</v>
      </c>
      <c r="E245" s="38">
        <f t="shared" si="13"/>
        <v>-1.4835952795733272E-2</v>
      </c>
      <c r="H245" s="35">
        <v>44517</v>
      </c>
      <c r="I245" s="37">
        <v>1788.05</v>
      </c>
      <c r="J245" s="37">
        <v>60008.33</v>
      </c>
      <c r="K245" s="38">
        <f t="shared" si="14"/>
        <v>-4.1190951410160883E-3</v>
      </c>
      <c r="L245" s="38">
        <f t="shared" si="15"/>
        <v>-6.223799668890779E-3</v>
      </c>
    </row>
    <row r="246" spans="1:12">
      <c r="A246" s="35">
        <v>42692</v>
      </c>
      <c r="B246" s="37">
        <v>919.8</v>
      </c>
      <c r="C246" s="37">
        <v>25765.14</v>
      </c>
      <c r="D246" s="38">
        <f t="shared" si="12"/>
        <v>-9.4487171737592072E-3</v>
      </c>
      <c r="E246" s="38">
        <f t="shared" si="13"/>
        <v>7.5645221161214516E-3</v>
      </c>
      <c r="H246" s="35">
        <v>44518</v>
      </c>
      <c r="I246" s="37">
        <v>1780.7</v>
      </c>
      <c r="J246" s="37">
        <v>59636.01</v>
      </c>
      <c r="K246" s="38">
        <f t="shared" si="14"/>
        <v>-1.2545372493231587E-2</v>
      </c>
      <c r="L246" s="38">
        <f t="shared" si="15"/>
        <v>-1.9816078990810022E-2</v>
      </c>
    </row>
    <row r="247" spans="1:12">
      <c r="A247" s="35">
        <v>42695</v>
      </c>
      <c r="B247" s="37">
        <v>911.15</v>
      </c>
      <c r="C247" s="37">
        <v>25960.78</v>
      </c>
      <c r="D247" s="38">
        <f t="shared" si="12"/>
        <v>3.0683274305489104E-3</v>
      </c>
      <c r="E247" s="38">
        <f t="shared" si="13"/>
        <v>3.5003099419928293E-3</v>
      </c>
      <c r="H247" s="35">
        <v>44522</v>
      </c>
      <c r="I247" s="37">
        <v>1758.5</v>
      </c>
      <c r="J247" s="37">
        <v>58465.89</v>
      </c>
      <c r="K247" s="38">
        <f t="shared" si="14"/>
        <v>-1.5040031406546511E-2</v>
      </c>
      <c r="L247" s="38">
        <f t="shared" si="15"/>
        <v>3.3883687720922461E-3</v>
      </c>
    </row>
    <row r="248" spans="1:12">
      <c r="A248" s="35">
        <v>42696</v>
      </c>
      <c r="B248" s="37">
        <v>913.95</v>
      </c>
      <c r="C248" s="37">
        <v>26051.81</v>
      </c>
      <c r="D248" s="38">
        <f t="shared" si="12"/>
        <v>7.1411353105194971E-3</v>
      </c>
      <c r="E248" s="38">
        <f t="shared" si="13"/>
        <v>-7.3833003701190992E-3</v>
      </c>
      <c r="H248" s="35">
        <v>44523</v>
      </c>
      <c r="I248" s="37">
        <v>1732.25</v>
      </c>
      <c r="J248" s="37">
        <v>58664.33</v>
      </c>
      <c r="K248" s="38">
        <f t="shared" si="14"/>
        <v>-2.0264561074639413E-2</v>
      </c>
      <c r="L248" s="38">
        <f t="shared" si="15"/>
        <v>-5.5269422465737891E-3</v>
      </c>
    </row>
    <row r="249" spans="1:12">
      <c r="A249" s="35">
        <v>42697</v>
      </c>
      <c r="B249" s="37">
        <v>920.5</v>
      </c>
      <c r="C249" s="37">
        <v>25860.17</v>
      </c>
      <c r="D249" s="38">
        <f t="shared" si="12"/>
        <v>1.3166605059685397E-2</v>
      </c>
      <c r="E249" s="38">
        <f t="shared" si="13"/>
        <v>1.7486091855585414E-2</v>
      </c>
      <c r="H249" s="35">
        <v>44524</v>
      </c>
      <c r="I249" s="37">
        <v>1697.5</v>
      </c>
      <c r="J249" s="37">
        <v>58340.99</v>
      </c>
      <c r="K249" s="38">
        <f t="shared" si="14"/>
        <v>1.4591115457456848E-2</v>
      </c>
      <c r="L249" s="38">
        <f t="shared" si="15"/>
        <v>7.7534142318211327E-3</v>
      </c>
    </row>
    <row r="250" spans="1:12">
      <c r="A250" s="35">
        <v>42698</v>
      </c>
      <c r="B250" s="37">
        <v>932.7</v>
      </c>
      <c r="C250" s="37">
        <v>26316.34</v>
      </c>
      <c r="D250" s="38">
        <f t="shared" si="12"/>
        <v>4.6710061611972074E-2</v>
      </c>
      <c r="E250" s="38">
        <f t="shared" si="13"/>
        <v>1.2846875425317646E-3</v>
      </c>
      <c r="H250" s="35">
        <v>44525</v>
      </c>
      <c r="I250" s="37">
        <v>1722.45</v>
      </c>
      <c r="J250" s="37">
        <v>58795.09</v>
      </c>
      <c r="K250" s="38">
        <f t="shared" si="14"/>
        <v>-1.8752930227987418E-2</v>
      </c>
      <c r="L250" s="38">
        <f t="shared" si="15"/>
        <v>-2.9129020279701188E-2</v>
      </c>
    </row>
    <row r="251" spans="1:12">
      <c r="A251" s="35">
        <v>42699</v>
      </c>
      <c r="B251" s="37">
        <v>977.3</v>
      </c>
      <c r="C251" s="37">
        <v>26350.17</v>
      </c>
      <c r="D251" s="38">
        <f t="shared" si="12"/>
        <v>2.4016976719857274E-3</v>
      </c>
      <c r="E251" s="38">
        <f t="shared" si="13"/>
        <v>1.6623638890893614E-3</v>
      </c>
      <c r="H251" s="35">
        <v>44526</v>
      </c>
      <c r="I251" s="37">
        <v>1690.45</v>
      </c>
      <c r="J251" s="37">
        <v>57107.15</v>
      </c>
      <c r="K251" s="38">
        <f t="shared" si="14"/>
        <v>3.7788253864392673E-3</v>
      </c>
      <c r="L251" s="38">
        <f t="shared" si="15"/>
        <v>2.6831011168203622E-3</v>
      </c>
    </row>
    <row r="252" spans="1:12">
      <c r="A252" s="35">
        <v>42702</v>
      </c>
      <c r="B252" s="37">
        <v>979.65</v>
      </c>
      <c r="C252" s="37">
        <v>26394.01</v>
      </c>
      <c r="D252" s="38">
        <f t="shared" si="12"/>
        <v>-7.171059772949814E-3</v>
      </c>
      <c r="E252" s="38">
        <f t="shared" si="13"/>
        <v>9.7574954853630515E-3</v>
      </c>
      <c r="H252" s="35">
        <v>44529</v>
      </c>
      <c r="I252" s="37">
        <v>1696.85</v>
      </c>
      <c r="J252" s="37">
        <v>57260.58</v>
      </c>
      <c r="K252" s="38">
        <f t="shared" si="14"/>
        <v>1.0318738407677051E-2</v>
      </c>
      <c r="L252" s="38">
        <f t="shared" si="15"/>
        <v>-3.4237379546848221E-3</v>
      </c>
    </row>
    <row r="253" spans="1:12">
      <c r="A253" s="35">
        <v>42703</v>
      </c>
      <c r="B253" s="37">
        <v>972.65</v>
      </c>
      <c r="C253" s="37">
        <v>26652.81</v>
      </c>
      <c r="D253" s="38">
        <f t="shared" si="12"/>
        <v>2.8745977394445169E-3</v>
      </c>
      <c r="E253" s="38">
        <f t="shared" si="13"/>
        <v>-3.4912733984114302E-3</v>
      </c>
      <c r="H253" s="35">
        <v>44530</v>
      </c>
      <c r="I253" s="37">
        <v>1714.45</v>
      </c>
      <c r="J253" s="37">
        <v>57064.87</v>
      </c>
      <c r="K253" s="38">
        <f t="shared" si="14"/>
        <v>6.1225384206752529E-4</v>
      </c>
      <c r="L253" s="38">
        <f t="shared" si="15"/>
        <v>1.0804843012449591E-2</v>
      </c>
    </row>
    <row r="254" spans="1:12">
      <c r="A254" s="35">
        <v>42704</v>
      </c>
      <c r="B254" s="37">
        <v>975.45</v>
      </c>
      <c r="C254" s="37">
        <v>26559.919999999998</v>
      </c>
      <c r="D254" s="38">
        <f t="shared" si="12"/>
        <v>6.1491162583218728E-4</v>
      </c>
      <c r="E254" s="38">
        <f t="shared" si="13"/>
        <v>-1.2474356965068311E-2</v>
      </c>
      <c r="H254" s="35">
        <v>44531</v>
      </c>
      <c r="I254" s="37">
        <v>1715.5</v>
      </c>
      <c r="J254" s="37">
        <v>57684.79</v>
      </c>
      <c r="K254" s="38">
        <f t="shared" si="14"/>
        <v>1.8910704285471761E-2</v>
      </c>
      <c r="L254" s="38">
        <f t="shared" si="15"/>
        <v>1.3371291898307351E-2</v>
      </c>
    </row>
    <row r="255" spans="1:12">
      <c r="A255" s="35">
        <v>42705</v>
      </c>
      <c r="B255" s="37">
        <v>976.05</v>
      </c>
      <c r="C255" s="37">
        <v>26230.66</v>
      </c>
      <c r="D255" s="38">
        <f t="shared" si="12"/>
        <v>-1.2318790938768002E-2</v>
      </c>
      <c r="E255" s="38">
        <f t="shared" si="13"/>
        <v>4.50516321589695E-3</v>
      </c>
      <c r="H255" s="35">
        <v>44532</v>
      </c>
      <c r="I255" s="37">
        <v>1748.25</v>
      </c>
      <c r="J255" s="37">
        <v>58461.29</v>
      </c>
      <c r="K255" s="38">
        <f t="shared" si="14"/>
        <v>-7.6655127516938402E-3</v>
      </c>
      <c r="L255" s="38">
        <f t="shared" si="15"/>
        <v>-1.3169005997612138E-2</v>
      </c>
    </row>
    <row r="256" spans="1:12">
      <c r="A256" s="35">
        <v>42706</v>
      </c>
      <c r="B256" s="37">
        <v>964.1</v>
      </c>
      <c r="C256" s="37">
        <v>26349.1</v>
      </c>
      <c r="D256" s="38">
        <f t="shared" si="12"/>
        <v>-2.8044682104743945E-3</v>
      </c>
      <c r="E256" s="38">
        <f t="shared" si="13"/>
        <v>1.6556113103650852E-3</v>
      </c>
      <c r="H256" s="35">
        <v>44533</v>
      </c>
      <c r="I256" s="37">
        <v>1734.9</v>
      </c>
      <c r="J256" s="37">
        <v>57696.46</v>
      </c>
      <c r="K256" s="38">
        <f t="shared" si="14"/>
        <v>-2.4063811537641429E-2</v>
      </c>
      <c r="L256" s="38">
        <f t="shared" si="15"/>
        <v>-1.65905611964005E-2</v>
      </c>
    </row>
    <row r="257" spans="1:12">
      <c r="A257" s="35">
        <v>42709</v>
      </c>
      <c r="B257" s="37">
        <v>961.4</v>
      </c>
      <c r="C257" s="37">
        <v>26392.76</v>
      </c>
      <c r="D257" s="38">
        <f t="shared" si="12"/>
        <v>5.7562323484471939E-3</v>
      </c>
      <c r="E257" s="38">
        <f t="shared" si="13"/>
        <v>-5.9240566922417054E-3</v>
      </c>
      <c r="H257" s="35">
        <v>44536</v>
      </c>
      <c r="I257" s="37">
        <v>1693.65</v>
      </c>
      <c r="J257" s="37">
        <v>56747.14</v>
      </c>
      <c r="K257" s="38">
        <f t="shared" si="14"/>
        <v>1.0922331783373608E-2</v>
      </c>
      <c r="L257" s="38">
        <f t="shared" si="15"/>
        <v>1.5501339895738743E-2</v>
      </c>
    </row>
    <row r="258" spans="1:12">
      <c r="A258" s="35">
        <v>42710</v>
      </c>
      <c r="B258" s="37">
        <v>966.95</v>
      </c>
      <c r="C258" s="37">
        <v>26236.87</v>
      </c>
      <c r="D258" s="38">
        <f t="shared" si="12"/>
        <v>-3.6202839732386177E-4</v>
      </c>
      <c r="E258" s="38">
        <f t="shared" si="13"/>
        <v>1.7283636821012027E-2</v>
      </c>
      <c r="H258" s="35">
        <v>44537</v>
      </c>
      <c r="I258" s="37">
        <v>1712.25</v>
      </c>
      <c r="J258" s="37">
        <v>57633.65</v>
      </c>
      <c r="K258" s="38">
        <f t="shared" si="14"/>
        <v>2.3463264150486402E-2</v>
      </c>
      <c r="L258" s="38">
        <f t="shared" si="15"/>
        <v>1.7475520477583321E-2</v>
      </c>
    </row>
    <row r="259" spans="1:12">
      <c r="A259" s="35">
        <v>42711</v>
      </c>
      <c r="B259" s="37">
        <v>966.6</v>
      </c>
      <c r="C259" s="37">
        <v>26694.28</v>
      </c>
      <c r="D259" s="38">
        <f t="shared" si="12"/>
        <v>1.8603042440031557E-2</v>
      </c>
      <c r="E259" s="38">
        <f t="shared" si="13"/>
        <v>1.9797369786619099E-3</v>
      </c>
      <c r="H259" s="35">
        <v>44538</v>
      </c>
      <c r="I259" s="37">
        <v>1752.9</v>
      </c>
      <c r="J259" s="37">
        <v>58649.68</v>
      </c>
      <c r="K259" s="38">
        <f t="shared" si="14"/>
        <v>5.5751651974068044E-3</v>
      </c>
      <c r="L259" s="38">
        <f t="shared" si="15"/>
        <v>2.6809870676461458E-3</v>
      </c>
    </row>
    <row r="260" spans="1:12">
      <c r="A260" s="35">
        <v>42712</v>
      </c>
      <c r="B260" s="37">
        <v>984.75</v>
      </c>
      <c r="C260" s="37">
        <v>26747.18</v>
      </c>
      <c r="D260" s="38">
        <f t="shared" si="12"/>
        <v>2.6367846523034154E-3</v>
      </c>
      <c r="E260" s="38">
        <f t="shared" si="13"/>
        <v>-8.7093851957069021E-3</v>
      </c>
      <c r="H260" s="35">
        <v>44539</v>
      </c>
      <c r="I260" s="37">
        <v>1762.7</v>
      </c>
      <c r="J260" s="37">
        <v>58807.13</v>
      </c>
      <c r="K260" s="38">
        <f t="shared" si="14"/>
        <v>-2.3002551781396065E-3</v>
      </c>
      <c r="L260" s="38">
        <f t="shared" si="15"/>
        <v>-3.4797753293883935E-4</v>
      </c>
    </row>
    <row r="261" spans="1:12">
      <c r="A261" s="35">
        <v>42713</v>
      </c>
      <c r="B261" s="37">
        <v>987.35</v>
      </c>
      <c r="C261" s="37">
        <v>26515.24</v>
      </c>
      <c r="D261" s="38">
        <f t="shared" ref="D261:D324" si="16">LN(B262/B261)</f>
        <v>-1.002629464379777E-2</v>
      </c>
      <c r="E261" s="38">
        <f t="shared" ref="E261:E324" si="17">LN(C262/C261)</f>
        <v>6.8622521043313301E-3</v>
      </c>
      <c r="H261" s="35">
        <v>44540</v>
      </c>
      <c r="I261" s="37">
        <v>1758.65</v>
      </c>
      <c r="J261" s="37">
        <v>58786.67</v>
      </c>
      <c r="K261" s="38">
        <f t="shared" ref="K261:K324" si="18">LN(I262/I261)</f>
        <v>-7.849221843583826E-3</v>
      </c>
      <c r="L261" s="38">
        <f t="shared" ref="L261:L324" si="19">LN(J262/J261)</f>
        <v>-8.5974666948084415E-3</v>
      </c>
    </row>
    <row r="262" spans="1:12">
      <c r="A262" s="35">
        <v>42716</v>
      </c>
      <c r="B262" s="37">
        <v>977.5</v>
      </c>
      <c r="C262" s="37">
        <v>26697.82</v>
      </c>
      <c r="D262" s="38">
        <f t="shared" si="16"/>
        <v>1.2757155044282554E-2</v>
      </c>
      <c r="E262" s="38">
        <f t="shared" si="17"/>
        <v>-3.5639371269894052E-3</v>
      </c>
      <c r="H262" s="35">
        <v>44543</v>
      </c>
      <c r="I262" s="37">
        <v>1744.9</v>
      </c>
      <c r="J262" s="37">
        <v>58283.42</v>
      </c>
      <c r="K262" s="38">
        <f t="shared" si="18"/>
        <v>4.1463578656304647E-3</v>
      </c>
      <c r="L262" s="38">
        <f t="shared" si="19"/>
        <v>-2.8578932035449697E-3</v>
      </c>
    </row>
    <row r="263" spans="1:12">
      <c r="A263" s="35">
        <v>42717</v>
      </c>
      <c r="B263" s="37">
        <v>990.05</v>
      </c>
      <c r="C263" s="37">
        <v>26602.84</v>
      </c>
      <c r="D263" s="38">
        <f t="shared" si="16"/>
        <v>9.0493805423381181E-3</v>
      </c>
      <c r="E263" s="38">
        <f t="shared" si="17"/>
        <v>-3.1538801762985803E-3</v>
      </c>
      <c r="H263" s="35">
        <v>44544</v>
      </c>
      <c r="I263" s="37">
        <v>1752.15</v>
      </c>
      <c r="J263" s="37">
        <v>58117.09</v>
      </c>
      <c r="K263" s="38">
        <f t="shared" si="18"/>
        <v>-1.0701119144736778E-2</v>
      </c>
      <c r="L263" s="38">
        <f t="shared" si="19"/>
        <v>-5.6781078195504483E-3</v>
      </c>
    </row>
    <row r="264" spans="1:12">
      <c r="A264" s="35">
        <v>42718</v>
      </c>
      <c r="B264" s="37">
        <v>999.05</v>
      </c>
      <c r="C264" s="37">
        <v>26519.07</v>
      </c>
      <c r="D264" s="38">
        <f t="shared" si="16"/>
        <v>-5.8224327514332531E-3</v>
      </c>
      <c r="E264" s="38">
        <f t="shared" si="17"/>
        <v>-1.1134037249612742E-3</v>
      </c>
      <c r="H264" s="35">
        <v>44545</v>
      </c>
      <c r="I264" s="37">
        <v>1733.5</v>
      </c>
      <c r="J264" s="37">
        <v>57788.03</v>
      </c>
      <c r="K264" s="38">
        <f t="shared" si="18"/>
        <v>2.1627708250404609E-2</v>
      </c>
      <c r="L264" s="38">
        <f t="shared" si="19"/>
        <v>1.9554126983705828E-3</v>
      </c>
    </row>
    <row r="265" spans="1:12">
      <c r="A265" s="35">
        <v>42719</v>
      </c>
      <c r="B265" s="37">
        <v>993.25</v>
      </c>
      <c r="C265" s="37">
        <v>26489.56</v>
      </c>
      <c r="D265" s="38">
        <f t="shared" si="16"/>
        <v>1.0964088905896939E-2</v>
      </c>
      <c r="E265" s="38">
        <f t="shared" si="17"/>
        <v>-4.3454757805464535E-3</v>
      </c>
      <c r="H265" s="35">
        <v>44546</v>
      </c>
      <c r="I265" s="37">
        <v>1771.4</v>
      </c>
      <c r="J265" s="37">
        <v>57901.14</v>
      </c>
      <c r="K265" s="38">
        <f t="shared" si="18"/>
        <v>2.7999936661300497E-2</v>
      </c>
      <c r="L265" s="38">
        <f t="shared" si="19"/>
        <v>-1.5479861965322049E-2</v>
      </c>
    </row>
    <row r="266" spans="1:12">
      <c r="A266" s="35">
        <v>42720</v>
      </c>
      <c r="B266" s="37">
        <v>1004.2</v>
      </c>
      <c r="C266" s="37">
        <v>26374.7</v>
      </c>
      <c r="D266" s="38">
        <f t="shared" si="16"/>
        <v>-1.9936210749808272E-3</v>
      </c>
      <c r="E266" s="38">
        <f t="shared" si="17"/>
        <v>-2.5329021101696131E-3</v>
      </c>
      <c r="H266" s="35">
        <v>44547</v>
      </c>
      <c r="I266" s="37">
        <v>1821.7</v>
      </c>
      <c r="J266" s="37">
        <v>57011.74</v>
      </c>
      <c r="K266" s="38">
        <f t="shared" si="18"/>
        <v>-1.2705949302858106E-2</v>
      </c>
      <c r="L266" s="38">
        <f t="shared" si="19"/>
        <v>-2.1088975480019697E-2</v>
      </c>
    </row>
    <row r="267" spans="1:12">
      <c r="A267" s="35">
        <v>42723</v>
      </c>
      <c r="B267" s="37">
        <v>1002.2</v>
      </c>
      <c r="C267" s="37">
        <v>26307.98</v>
      </c>
      <c r="D267" s="38">
        <f t="shared" si="16"/>
        <v>8.1487085106570767E-3</v>
      </c>
      <c r="E267" s="38">
        <f t="shared" si="17"/>
        <v>-2.4966540314953181E-3</v>
      </c>
      <c r="H267" s="35">
        <v>44550</v>
      </c>
      <c r="I267" s="37">
        <v>1798.7</v>
      </c>
      <c r="J267" s="37">
        <v>55822.01</v>
      </c>
      <c r="K267" s="38">
        <f t="shared" si="18"/>
        <v>7.6429259949047186E-3</v>
      </c>
      <c r="L267" s="38">
        <f t="shared" si="19"/>
        <v>8.8638975113393987E-3</v>
      </c>
    </row>
    <row r="268" spans="1:12">
      <c r="A268" s="35">
        <v>42724</v>
      </c>
      <c r="B268" s="37">
        <v>1010.4</v>
      </c>
      <c r="C268" s="37">
        <v>26242.38</v>
      </c>
      <c r="D268" s="38">
        <f t="shared" si="16"/>
        <v>-6.6531202165266319E-3</v>
      </c>
      <c r="E268" s="38">
        <f t="shared" si="17"/>
        <v>-1.0064046517181395E-2</v>
      </c>
      <c r="H268" s="35">
        <v>44551</v>
      </c>
      <c r="I268" s="37">
        <v>1812.5</v>
      </c>
      <c r="J268" s="37">
        <v>56319.01</v>
      </c>
      <c r="K268" s="38">
        <f t="shared" si="18"/>
        <v>6.5714640037251902E-3</v>
      </c>
      <c r="L268" s="38">
        <f t="shared" si="19"/>
        <v>1.0800145985810543E-2</v>
      </c>
    </row>
    <row r="269" spans="1:12">
      <c r="A269" s="35">
        <v>42725</v>
      </c>
      <c r="B269" s="37">
        <v>1003.7</v>
      </c>
      <c r="C269" s="37">
        <v>25979.599999999999</v>
      </c>
      <c r="D269" s="38">
        <f t="shared" si="16"/>
        <v>-1.8603784573371727E-2</v>
      </c>
      <c r="E269" s="38">
        <f t="shared" si="17"/>
        <v>2.3490840343793023E-3</v>
      </c>
      <c r="H269" s="35">
        <v>44552</v>
      </c>
      <c r="I269" s="37">
        <v>1824.45</v>
      </c>
      <c r="J269" s="37">
        <v>56930.559999999998</v>
      </c>
      <c r="K269" s="38">
        <f t="shared" si="18"/>
        <v>1.7576004227672071E-2</v>
      </c>
      <c r="L269" s="38">
        <f t="shared" si="19"/>
        <v>6.7349752820241599E-3</v>
      </c>
    </row>
    <row r="270" spans="1:12">
      <c r="A270" s="35">
        <v>42726</v>
      </c>
      <c r="B270" s="37">
        <v>985.2</v>
      </c>
      <c r="C270" s="37">
        <v>26040.7</v>
      </c>
      <c r="D270" s="38">
        <f t="shared" si="16"/>
        <v>4.1529560827939958E-3</v>
      </c>
      <c r="E270" s="38">
        <f t="shared" si="17"/>
        <v>-9.0110508323381477E-3</v>
      </c>
      <c r="H270" s="35">
        <v>44553</v>
      </c>
      <c r="I270" s="37">
        <v>1856.8</v>
      </c>
      <c r="J270" s="37">
        <v>57315.28</v>
      </c>
      <c r="K270" s="38">
        <f t="shared" si="18"/>
        <v>3.682354414302794E-3</v>
      </c>
      <c r="L270" s="38">
        <f t="shared" si="19"/>
        <v>-3.3374844713220386E-3</v>
      </c>
    </row>
    <row r="271" spans="1:12">
      <c r="A271" s="35">
        <v>42727</v>
      </c>
      <c r="B271" s="37">
        <v>989.3</v>
      </c>
      <c r="C271" s="37">
        <v>25807.1</v>
      </c>
      <c r="D271" s="38">
        <f t="shared" si="16"/>
        <v>-6.3885021820103078E-3</v>
      </c>
      <c r="E271" s="38">
        <f t="shared" si="17"/>
        <v>1.5622608471360754E-2</v>
      </c>
      <c r="H271" s="35">
        <v>44554</v>
      </c>
      <c r="I271" s="37">
        <v>1863.65</v>
      </c>
      <c r="J271" s="37">
        <v>57124.31</v>
      </c>
      <c r="K271" s="38">
        <f t="shared" si="18"/>
        <v>1.3941394788700701E-3</v>
      </c>
      <c r="L271" s="38">
        <f t="shared" si="19"/>
        <v>5.1670840456977309E-3</v>
      </c>
    </row>
    <row r="272" spans="1:12">
      <c r="A272" s="35">
        <v>42730</v>
      </c>
      <c r="B272" s="37">
        <v>983</v>
      </c>
      <c r="C272" s="37">
        <v>26213.439999999999</v>
      </c>
      <c r="D272" s="38">
        <f t="shared" si="16"/>
        <v>1.6395877444266314E-2</v>
      </c>
      <c r="E272" s="38">
        <f t="shared" si="17"/>
        <v>-1.0529504367637517E-4</v>
      </c>
      <c r="H272" s="35">
        <v>44557</v>
      </c>
      <c r="I272" s="37">
        <v>1866.25</v>
      </c>
      <c r="J272" s="37">
        <v>57420.24</v>
      </c>
      <c r="K272" s="38">
        <f t="shared" si="18"/>
        <v>1.1295641852686594E-2</v>
      </c>
      <c r="L272" s="38">
        <f t="shared" si="19"/>
        <v>8.2770059032200548E-3</v>
      </c>
    </row>
    <row r="273" spans="1:12">
      <c r="A273" s="35">
        <v>42731</v>
      </c>
      <c r="B273" s="37">
        <v>999.25</v>
      </c>
      <c r="C273" s="37">
        <v>26210.68</v>
      </c>
      <c r="D273" s="38">
        <f t="shared" si="16"/>
        <v>-1.000800641348369E-4</v>
      </c>
      <c r="E273" s="38">
        <f t="shared" si="17"/>
        <v>5.9140291698685822E-3</v>
      </c>
      <c r="H273" s="35">
        <v>44558</v>
      </c>
      <c r="I273" s="37">
        <v>1887.45</v>
      </c>
      <c r="J273" s="37">
        <v>57897.48</v>
      </c>
      <c r="K273" s="38">
        <f t="shared" si="18"/>
        <v>-1.2723659768234198E-3</v>
      </c>
      <c r="L273" s="38">
        <f t="shared" si="19"/>
        <v>-1.5728072037114555E-3</v>
      </c>
    </row>
    <row r="274" spans="1:12">
      <c r="A274" s="35">
        <v>42732</v>
      </c>
      <c r="B274" s="37">
        <v>999.15</v>
      </c>
      <c r="C274" s="37">
        <v>26366.15</v>
      </c>
      <c r="D274" s="38">
        <f t="shared" si="16"/>
        <v>-5.0671123091986332E-3</v>
      </c>
      <c r="E274" s="38">
        <f t="shared" si="17"/>
        <v>9.8244677422130618E-3</v>
      </c>
      <c r="H274" s="35">
        <v>44559</v>
      </c>
      <c r="I274" s="37">
        <v>1885.05</v>
      </c>
      <c r="J274" s="37">
        <v>57806.49</v>
      </c>
      <c r="K274" s="38">
        <f t="shared" si="18"/>
        <v>4.0236176791947232E-3</v>
      </c>
      <c r="L274" s="38">
        <f t="shared" si="19"/>
        <v>-2.1055215867365641E-4</v>
      </c>
    </row>
    <row r="275" spans="1:12">
      <c r="A275" s="35">
        <v>42733</v>
      </c>
      <c r="B275" s="37">
        <v>994.1</v>
      </c>
      <c r="C275" s="37">
        <v>26626.46</v>
      </c>
      <c r="D275" s="38">
        <f t="shared" si="16"/>
        <v>1.6560633862517347E-2</v>
      </c>
      <c r="E275" s="38">
        <f t="shared" si="17"/>
        <v>-1.1653096820147856E-3</v>
      </c>
      <c r="H275" s="35">
        <v>44560</v>
      </c>
      <c r="I275" s="37">
        <v>1892.65</v>
      </c>
      <c r="J275" s="37">
        <v>57794.32</v>
      </c>
      <c r="K275" s="38">
        <f t="shared" si="18"/>
        <v>-1.5863366888485332E-3</v>
      </c>
      <c r="L275" s="38">
        <f t="shared" si="19"/>
        <v>7.9191687413812696E-3</v>
      </c>
    </row>
    <row r="276" spans="1:12">
      <c r="A276" s="35">
        <v>42734</v>
      </c>
      <c r="B276" s="37">
        <v>1010.7</v>
      </c>
      <c r="C276" s="37">
        <v>26595.45</v>
      </c>
      <c r="D276" s="38">
        <f t="shared" si="16"/>
        <v>-9.0444387347828753E-3</v>
      </c>
      <c r="E276" s="38">
        <f t="shared" si="17"/>
        <v>1.7953113735956357E-3</v>
      </c>
      <c r="H276" s="35">
        <v>44561</v>
      </c>
      <c r="I276" s="37">
        <v>1889.65</v>
      </c>
      <c r="J276" s="37">
        <v>58253.82</v>
      </c>
      <c r="K276" s="38">
        <f t="shared" si="18"/>
        <v>3.9611333086553898E-3</v>
      </c>
      <c r="L276" s="38">
        <f t="shared" si="19"/>
        <v>1.5828386070902721E-2</v>
      </c>
    </row>
    <row r="277" spans="1:12">
      <c r="A277" s="35">
        <v>42737</v>
      </c>
      <c r="B277" s="37">
        <v>1001.6</v>
      </c>
      <c r="C277" s="37">
        <v>26643.24</v>
      </c>
      <c r="D277" s="38">
        <f t="shared" si="16"/>
        <v>-6.9630838628478514E-3</v>
      </c>
      <c r="E277" s="38">
        <f t="shared" si="17"/>
        <v>-3.7953036670321884E-4</v>
      </c>
      <c r="H277" s="35">
        <v>44564</v>
      </c>
      <c r="I277" s="37">
        <v>1897.15</v>
      </c>
      <c r="J277" s="37">
        <v>59183.22</v>
      </c>
      <c r="K277" s="38">
        <f t="shared" si="18"/>
        <v>-4.7450836552271041E-4</v>
      </c>
      <c r="L277" s="38">
        <f t="shared" si="19"/>
        <v>1.1302452366084284E-2</v>
      </c>
    </row>
    <row r="278" spans="1:12">
      <c r="A278" s="35">
        <v>42738</v>
      </c>
      <c r="B278" s="37">
        <v>994.65</v>
      </c>
      <c r="C278" s="37">
        <v>26633.13</v>
      </c>
      <c r="D278" s="38">
        <f t="shared" si="16"/>
        <v>3.6629158593932658E-3</v>
      </c>
      <c r="E278" s="38">
        <f t="shared" si="17"/>
        <v>9.161107789016151E-3</v>
      </c>
      <c r="H278" s="35">
        <v>44565</v>
      </c>
      <c r="I278" s="37">
        <v>1896.25</v>
      </c>
      <c r="J278" s="37">
        <v>59855.93</v>
      </c>
      <c r="K278" s="38">
        <f t="shared" si="18"/>
        <v>-2.7426074826336074E-2</v>
      </c>
      <c r="L278" s="38">
        <f t="shared" si="19"/>
        <v>6.1163217571125863E-3</v>
      </c>
    </row>
    <row r="279" spans="1:12">
      <c r="A279" s="35">
        <v>42739</v>
      </c>
      <c r="B279" s="37">
        <v>998.3</v>
      </c>
      <c r="C279" s="37">
        <v>26878.240000000002</v>
      </c>
      <c r="D279" s="38">
        <f t="shared" si="16"/>
        <v>-1.9050489543541067E-3</v>
      </c>
      <c r="E279" s="38">
        <f t="shared" si="17"/>
        <v>-4.4375767647585286E-3</v>
      </c>
      <c r="H279" s="35">
        <v>44566</v>
      </c>
      <c r="I279" s="37">
        <v>1844.95</v>
      </c>
      <c r="J279" s="37">
        <v>60223.15</v>
      </c>
      <c r="K279" s="38">
        <f t="shared" si="18"/>
        <v>-1.4605176148648039E-2</v>
      </c>
      <c r="L279" s="38">
        <f t="shared" si="19"/>
        <v>-1.0370383810835968E-2</v>
      </c>
    </row>
    <row r="280" spans="1:12">
      <c r="A280" s="35">
        <v>42740</v>
      </c>
      <c r="B280" s="37">
        <v>996.4</v>
      </c>
      <c r="C280" s="37">
        <v>26759.23</v>
      </c>
      <c r="D280" s="38">
        <f t="shared" si="16"/>
        <v>-2.5358982698903389E-2</v>
      </c>
      <c r="E280" s="38">
        <f t="shared" si="17"/>
        <v>-1.2220071976798185E-3</v>
      </c>
      <c r="H280" s="35">
        <v>44567</v>
      </c>
      <c r="I280" s="37">
        <v>1818.2</v>
      </c>
      <c r="J280" s="37">
        <v>59601.84</v>
      </c>
      <c r="K280" s="38">
        <f t="shared" si="18"/>
        <v>-2.7813365583024947E-3</v>
      </c>
      <c r="L280" s="38">
        <f t="shared" si="19"/>
        <v>2.3932009757633012E-3</v>
      </c>
    </row>
    <row r="281" spans="1:12">
      <c r="A281" s="35">
        <v>42741</v>
      </c>
      <c r="B281" s="37">
        <v>971.45</v>
      </c>
      <c r="C281" s="37">
        <v>26726.55</v>
      </c>
      <c r="D281" s="38">
        <f t="shared" si="16"/>
        <v>-9.2687957202168103E-4</v>
      </c>
      <c r="E281" s="38">
        <f t="shared" si="17"/>
        <v>6.4524762383198408E-3</v>
      </c>
      <c r="H281" s="35">
        <v>44568</v>
      </c>
      <c r="I281" s="37">
        <v>1813.15</v>
      </c>
      <c r="J281" s="37">
        <v>59744.65</v>
      </c>
      <c r="K281" s="38">
        <f t="shared" si="18"/>
        <v>2.0714392836184137E-2</v>
      </c>
      <c r="L281" s="38">
        <f t="shared" si="19"/>
        <v>1.0837104276188917E-2</v>
      </c>
    </row>
    <row r="282" spans="1:12">
      <c r="A282" s="35">
        <v>42744</v>
      </c>
      <c r="B282" s="37">
        <v>970.55</v>
      </c>
      <c r="C282" s="37">
        <v>26899.56</v>
      </c>
      <c r="D282" s="38">
        <f t="shared" si="16"/>
        <v>5.1515854015449203E-5</v>
      </c>
      <c r="E282" s="38">
        <f t="shared" si="17"/>
        <v>8.9138315492737694E-3</v>
      </c>
      <c r="H282" s="35">
        <v>44571</v>
      </c>
      <c r="I282" s="37">
        <v>1851.1</v>
      </c>
      <c r="J282" s="37">
        <v>60395.63</v>
      </c>
      <c r="K282" s="38">
        <f t="shared" si="18"/>
        <v>2.6705166728129676E-3</v>
      </c>
      <c r="L282" s="38">
        <f t="shared" si="19"/>
        <v>3.6568157834066563E-3</v>
      </c>
    </row>
    <row r="283" spans="1:12">
      <c r="A283" s="35">
        <v>42745</v>
      </c>
      <c r="B283" s="37">
        <v>970.6</v>
      </c>
      <c r="C283" s="37">
        <v>27140.41</v>
      </c>
      <c r="D283" s="38">
        <f t="shared" si="16"/>
        <v>-1.6498250803496409E-3</v>
      </c>
      <c r="E283" s="38">
        <f t="shared" si="17"/>
        <v>3.9255343484974571E-3</v>
      </c>
      <c r="H283" s="35">
        <v>44572</v>
      </c>
      <c r="I283" s="37">
        <v>1856.05</v>
      </c>
      <c r="J283" s="37">
        <v>60616.89</v>
      </c>
      <c r="K283" s="38">
        <f t="shared" si="18"/>
        <v>1.1543791898361468E-2</v>
      </c>
      <c r="L283" s="38">
        <f t="shared" si="19"/>
        <v>8.7569491488189259E-3</v>
      </c>
    </row>
    <row r="284" spans="1:12">
      <c r="A284" s="35">
        <v>42746</v>
      </c>
      <c r="B284" s="37">
        <v>969</v>
      </c>
      <c r="C284" s="37">
        <v>27247.16</v>
      </c>
      <c r="D284" s="38">
        <f t="shared" si="16"/>
        <v>3.1540665841412498E-2</v>
      </c>
      <c r="E284" s="38">
        <f t="shared" si="17"/>
        <v>-3.3403554522178661E-4</v>
      </c>
      <c r="H284" s="35">
        <v>44573</v>
      </c>
      <c r="I284" s="37">
        <v>1877.6</v>
      </c>
      <c r="J284" s="37">
        <v>61150.04</v>
      </c>
      <c r="K284" s="38">
        <f t="shared" si="18"/>
        <v>1.0279325398200497E-2</v>
      </c>
      <c r="L284" s="38">
        <f t="shared" si="19"/>
        <v>1.3933043580695533E-3</v>
      </c>
    </row>
    <row r="285" spans="1:12">
      <c r="A285" s="35">
        <v>42747</v>
      </c>
      <c r="B285" s="37">
        <v>1000.05</v>
      </c>
      <c r="C285" s="37">
        <v>27238.06</v>
      </c>
      <c r="D285" s="38">
        <f t="shared" si="16"/>
        <v>-2.5213972413591201E-2</v>
      </c>
      <c r="E285" s="38">
        <f t="shared" si="17"/>
        <v>1.8380149923149776E-3</v>
      </c>
      <c r="H285" s="35">
        <v>44574</v>
      </c>
      <c r="I285" s="37">
        <v>1897</v>
      </c>
      <c r="J285" s="37">
        <v>61235.3</v>
      </c>
      <c r="K285" s="38">
        <f t="shared" si="18"/>
        <v>1.6313234295265738E-2</v>
      </c>
      <c r="L285" s="38">
        <f t="shared" si="19"/>
        <v>-2.0039469819760583E-4</v>
      </c>
    </row>
    <row r="286" spans="1:12">
      <c r="A286" s="35">
        <v>42748</v>
      </c>
      <c r="B286" s="37">
        <v>975.15</v>
      </c>
      <c r="C286" s="37">
        <v>27288.17</v>
      </c>
      <c r="D286" s="38">
        <f t="shared" si="16"/>
        <v>-2.0147249046453427E-2</v>
      </c>
      <c r="E286" s="38">
        <f t="shared" si="17"/>
        <v>-1.9261308765086158E-3</v>
      </c>
      <c r="H286" s="35">
        <v>44575</v>
      </c>
      <c r="I286" s="37">
        <v>1928.2</v>
      </c>
      <c r="J286" s="37">
        <v>61223.03</v>
      </c>
      <c r="K286" s="38">
        <f t="shared" si="18"/>
        <v>5.7659401383919531E-3</v>
      </c>
      <c r="L286" s="38">
        <f t="shared" si="19"/>
        <v>1.4017571918359412E-3</v>
      </c>
    </row>
    <row r="287" spans="1:12">
      <c r="A287" s="35">
        <v>42751</v>
      </c>
      <c r="B287" s="37">
        <v>955.7</v>
      </c>
      <c r="C287" s="37">
        <v>27235.66</v>
      </c>
      <c r="D287" s="38">
        <f t="shared" si="16"/>
        <v>3.6615666683431039E-4</v>
      </c>
      <c r="E287" s="38">
        <f t="shared" si="17"/>
        <v>8.0670472120417135E-4</v>
      </c>
      <c r="H287" s="35">
        <v>44578</v>
      </c>
      <c r="I287" s="37">
        <v>1939.35</v>
      </c>
      <c r="J287" s="37">
        <v>61308.91</v>
      </c>
      <c r="K287" s="38">
        <f t="shared" si="18"/>
        <v>-9.5330100492116206E-3</v>
      </c>
      <c r="L287" s="38">
        <f t="shared" si="19"/>
        <v>-9.0781040930373747E-3</v>
      </c>
    </row>
    <row r="288" spans="1:12">
      <c r="A288" s="35">
        <v>42752</v>
      </c>
      <c r="B288" s="37">
        <v>956.05</v>
      </c>
      <c r="C288" s="37">
        <v>27257.64</v>
      </c>
      <c r="D288" s="38">
        <f t="shared" si="16"/>
        <v>-5.4013083935699003E-3</v>
      </c>
      <c r="E288" s="38">
        <f t="shared" si="17"/>
        <v>1.8678221118257979E-3</v>
      </c>
      <c r="H288" s="35">
        <v>44579</v>
      </c>
      <c r="I288" s="37">
        <v>1920.95</v>
      </c>
      <c r="J288" s="37">
        <v>60754.86</v>
      </c>
      <c r="K288" s="38">
        <f t="shared" si="18"/>
        <v>-2.811212799989898E-2</v>
      </c>
      <c r="L288" s="38">
        <f t="shared" si="19"/>
        <v>-1.0856871615842667E-2</v>
      </c>
    </row>
    <row r="289" spans="1:12">
      <c r="A289" s="35">
        <v>42753</v>
      </c>
      <c r="B289" s="37">
        <v>950.9</v>
      </c>
      <c r="C289" s="37">
        <v>27308.6</v>
      </c>
      <c r="D289" s="38">
        <f t="shared" si="16"/>
        <v>8.0128214206599494E-3</v>
      </c>
      <c r="E289" s="38">
        <f t="shared" si="17"/>
        <v>-1.0087842779248358E-2</v>
      </c>
      <c r="H289" s="35">
        <v>44580</v>
      </c>
      <c r="I289" s="37">
        <v>1867.7</v>
      </c>
      <c r="J289" s="37">
        <v>60098.82</v>
      </c>
      <c r="K289" s="38">
        <f t="shared" si="18"/>
        <v>-2.3593602224443094E-2</v>
      </c>
      <c r="L289" s="38">
        <f t="shared" si="19"/>
        <v>-1.060869355982515E-2</v>
      </c>
    </row>
    <row r="290" spans="1:12">
      <c r="A290" s="35">
        <v>42754</v>
      </c>
      <c r="B290" s="37">
        <v>958.55</v>
      </c>
      <c r="C290" s="37">
        <v>27034.5</v>
      </c>
      <c r="D290" s="38">
        <f t="shared" si="16"/>
        <v>-1.0223697722597444E-2</v>
      </c>
      <c r="E290" s="38">
        <f t="shared" si="17"/>
        <v>3.0595475470797861E-3</v>
      </c>
      <c r="H290" s="35">
        <v>44581</v>
      </c>
      <c r="I290" s="37">
        <v>1824.15</v>
      </c>
      <c r="J290" s="37">
        <v>59464.62</v>
      </c>
      <c r="K290" s="38">
        <f t="shared" si="18"/>
        <v>-2.1107647529824514E-2</v>
      </c>
      <c r="L290" s="38">
        <f t="shared" si="19"/>
        <v>-7.2140989213329574E-3</v>
      </c>
    </row>
    <row r="291" spans="1:12">
      <c r="A291" s="35">
        <v>42755</v>
      </c>
      <c r="B291" s="37">
        <v>948.8</v>
      </c>
      <c r="C291" s="37">
        <v>27117.34</v>
      </c>
      <c r="D291" s="38">
        <f t="shared" si="16"/>
        <v>3.1043670191457074E-3</v>
      </c>
      <c r="E291" s="38">
        <f t="shared" si="17"/>
        <v>9.4779994609186582E-3</v>
      </c>
      <c r="H291" s="35">
        <v>44582</v>
      </c>
      <c r="I291" s="37">
        <v>1786.05</v>
      </c>
      <c r="J291" s="37">
        <v>59037.18</v>
      </c>
      <c r="K291" s="38">
        <f t="shared" si="18"/>
        <v>-2.7904562505326722E-2</v>
      </c>
      <c r="L291" s="38">
        <f t="shared" si="19"/>
        <v>-2.6530130196091344E-2</v>
      </c>
    </row>
    <row r="292" spans="1:12">
      <c r="A292" s="35">
        <v>42758</v>
      </c>
      <c r="B292" s="37">
        <v>951.75</v>
      </c>
      <c r="C292" s="37">
        <v>27375.58</v>
      </c>
      <c r="D292" s="38">
        <f t="shared" si="16"/>
        <v>-7.0116532615962512E-3</v>
      </c>
      <c r="E292" s="38">
        <f t="shared" si="17"/>
        <v>1.2074857713126021E-2</v>
      </c>
      <c r="H292" s="35">
        <v>44585</v>
      </c>
      <c r="I292" s="37">
        <v>1736.9</v>
      </c>
      <c r="J292" s="37">
        <v>57491.51</v>
      </c>
      <c r="K292" s="38">
        <f t="shared" si="18"/>
        <v>-8.5574387491133327E-3</v>
      </c>
      <c r="L292" s="38">
        <f t="shared" si="19"/>
        <v>6.3570405793896001E-3</v>
      </c>
    </row>
    <row r="293" spans="1:12">
      <c r="A293" s="35">
        <v>42759</v>
      </c>
      <c r="B293" s="37">
        <v>945.1</v>
      </c>
      <c r="C293" s="37">
        <v>27708.14</v>
      </c>
      <c r="D293" s="38">
        <f t="shared" si="16"/>
        <v>-8.9810620939426589E-3</v>
      </c>
      <c r="E293" s="38">
        <f t="shared" si="17"/>
        <v>6.2715844539791878E-3</v>
      </c>
      <c r="H293" s="35">
        <v>44586</v>
      </c>
      <c r="I293" s="37">
        <v>1722.1</v>
      </c>
      <c r="J293" s="37">
        <v>57858.15</v>
      </c>
      <c r="K293" s="38">
        <f t="shared" si="18"/>
        <v>-2.5643938890764148E-2</v>
      </c>
      <c r="L293" s="38">
        <f t="shared" si="19"/>
        <v>-1.0096225869439965E-2</v>
      </c>
    </row>
    <row r="294" spans="1:12">
      <c r="A294" s="35">
        <v>42760</v>
      </c>
      <c r="B294" s="37">
        <v>936.65</v>
      </c>
      <c r="C294" s="37">
        <v>27882.46</v>
      </c>
      <c r="D294" s="38">
        <f t="shared" si="16"/>
        <v>5.8548176614316204E-3</v>
      </c>
      <c r="E294" s="38">
        <f t="shared" si="17"/>
        <v>-1.1806499682481416E-3</v>
      </c>
      <c r="H294" s="35">
        <v>44588</v>
      </c>
      <c r="I294" s="37">
        <v>1678.5</v>
      </c>
      <c r="J294" s="37">
        <v>57276.94</v>
      </c>
      <c r="K294" s="38">
        <f t="shared" si="18"/>
        <v>4.0133833134585201E-3</v>
      </c>
      <c r="L294" s="38">
        <f t="shared" si="19"/>
        <v>-1.3401800809971116E-3</v>
      </c>
    </row>
    <row r="295" spans="1:12">
      <c r="A295" s="35">
        <v>42762</v>
      </c>
      <c r="B295" s="37">
        <v>942.15</v>
      </c>
      <c r="C295" s="37">
        <v>27849.56</v>
      </c>
      <c r="D295" s="38">
        <f t="shared" si="16"/>
        <v>6.559134861832073E-3</v>
      </c>
      <c r="E295" s="38">
        <f t="shared" si="17"/>
        <v>-6.9759110481685364E-3</v>
      </c>
      <c r="H295" s="35">
        <v>44589</v>
      </c>
      <c r="I295" s="37">
        <v>1685.25</v>
      </c>
      <c r="J295" s="37">
        <v>57200.23</v>
      </c>
      <c r="K295" s="38">
        <f t="shared" si="18"/>
        <v>3.0072840019520451E-2</v>
      </c>
      <c r="L295" s="38">
        <f t="shared" si="19"/>
        <v>1.4129371695645375E-2</v>
      </c>
    </row>
    <row r="296" spans="1:12">
      <c r="A296" s="35">
        <v>42765</v>
      </c>
      <c r="B296" s="37">
        <v>948.35</v>
      </c>
      <c r="C296" s="37">
        <v>27655.96</v>
      </c>
      <c r="D296" s="38">
        <f t="shared" si="16"/>
        <v>-2.0292017867037843E-2</v>
      </c>
      <c r="E296" s="38">
        <f t="shared" si="17"/>
        <v>1.7409073738937891E-2</v>
      </c>
      <c r="H296" s="35">
        <v>44592</v>
      </c>
      <c r="I296" s="37">
        <v>1736.7</v>
      </c>
      <c r="J296" s="37">
        <v>58014.17</v>
      </c>
      <c r="K296" s="38">
        <f t="shared" si="18"/>
        <v>2.0206737942205909E-2</v>
      </c>
      <c r="L296" s="38">
        <f t="shared" si="19"/>
        <v>1.4518113728778278E-2</v>
      </c>
    </row>
    <row r="297" spans="1:12">
      <c r="A297" s="35">
        <v>42766</v>
      </c>
      <c r="B297" s="37">
        <v>929.3</v>
      </c>
      <c r="C297" s="37">
        <v>28141.64</v>
      </c>
      <c r="D297" s="38">
        <f t="shared" si="16"/>
        <v>-1.38149933979199E-2</v>
      </c>
      <c r="E297" s="38">
        <f t="shared" si="17"/>
        <v>3.0148200222173088E-3</v>
      </c>
      <c r="H297" s="35">
        <v>44593</v>
      </c>
      <c r="I297" s="37">
        <v>1772.15</v>
      </c>
      <c r="J297" s="37">
        <v>58862.57</v>
      </c>
      <c r="K297" s="38">
        <f t="shared" si="18"/>
        <v>8.9601048858827022E-3</v>
      </c>
      <c r="L297" s="38">
        <f t="shared" si="19"/>
        <v>1.1750763689279601E-2</v>
      </c>
    </row>
    <row r="298" spans="1:12">
      <c r="A298" s="35">
        <v>42767</v>
      </c>
      <c r="B298" s="37">
        <v>916.55</v>
      </c>
      <c r="C298" s="37">
        <v>28226.61</v>
      </c>
      <c r="D298" s="38">
        <f t="shared" si="16"/>
        <v>2.0304169629539976E-2</v>
      </c>
      <c r="E298" s="38">
        <f t="shared" si="17"/>
        <v>4.9267601457208664E-4</v>
      </c>
      <c r="H298" s="35">
        <v>44594</v>
      </c>
      <c r="I298" s="37">
        <v>1788.1</v>
      </c>
      <c r="J298" s="37">
        <v>59558.33</v>
      </c>
      <c r="K298" s="38">
        <f t="shared" si="18"/>
        <v>-2.8015896047413145E-2</v>
      </c>
      <c r="L298" s="38">
        <f t="shared" si="19"/>
        <v>-1.3018075820528234E-2</v>
      </c>
    </row>
    <row r="299" spans="1:12">
      <c r="A299" s="35">
        <v>42768</v>
      </c>
      <c r="B299" s="37">
        <v>935.35</v>
      </c>
      <c r="C299" s="37">
        <v>28240.52</v>
      </c>
      <c r="D299" s="38">
        <f t="shared" si="16"/>
        <v>-4.2773887194425073E-4</v>
      </c>
      <c r="E299" s="38">
        <f t="shared" si="17"/>
        <v>7.0134621056300627E-3</v>
      </c>
      <c r="H299" s="35">
        <v>44595</v>
      </c>
      <c r="I299" s="37">
        <v>1738.7</v>
      </c>
      <c r="J299" s="37">
        <v>58788.02</v>
      </c>
      <c r="K299" s="38">
        <f t="shared" si="18"/>
        <v>1.2932336951044223E-3</v>
      </c>
      <c r="L299" s="38">
        <f t="shared" si="19"/>
        <v>-2.4388419964783315E-3</v>
      </c>
    </row>
    <row r="300" spans="1:12">
      <c r="A300" s="35">
        <v>42769</v>
      </c>
      <c r="B300" s="37">
        <v>934.95</v>
      </c>
      <c r="C300" s="37">
        <v>28439.279999999999</v>
      </c>
      <c r="D300" s="38">
        <f t="shared" si="16"/>
        <v>-5.3493100665774119E-4</v>
      </c>
      <c r="E300" s="38">
        <f t="shared" si="17"/>
        <v>-3.6678518265740177E-3</v>
      </c>
      <c r="H300" s="35">
        <v>44596</v>
      </c>
      <c r="I300" s="37">
        <v>1740.95</v>
      </c>
      <c r="J300" s="37">
        <v>58644.82</v>
      </c>
      <c r="K300" s="38">
        <f t="shared" si="18"/>
        <v>-1.5105328010819546E-2</v>
      </c>
      <c r="L300" s="38">
        <f t="shared" si="19"/>
        <v>-1.7608868659066919E-2</v>
      </c>
    </row>
    <row r="301" spans="1:12">
      <c r="A301" s="35">
        <v>42772</v>
      </c>
      <c r="B301" s="37">
        <v>934.45</v>
      </c>
      <c r="C301" s="37">
        <v>28335.16</v>
      </c>
      <c r="D301" s="38">
        <f t="shared" si="16"/>
        <v>1.0962221313286769E-2</v>
      </c>
      <c r="E301" s="38">
        <f t="shared" si="17"/>
        <v>-1.5978788771911824E-3</v>
      </c>
      <c r="H301" s="35">
        <v>44599</v>
      </c>
      <c r="I301" s="37">
        <v>1714.85</v>
      </c>
      <c r="J301" s="37">
        <v>57621.19</v>
      </c>
      <c r="K301" s="38">
        <f t="shared" si="18"/>
        <v>9.9084929712995825E-4</v>
      </c>
      <c r="L301" s="38">
        <f t="shared" si="19"/>
        <v>3.2468255740290912E-3</v>
      </c>
    </row>
    <row r="302" spans="1:12">
      <c r="A302" s="35">
        <v>42773</v>
      </c>
      <c r="B302" s="37">
        <v>944.75</v>
      </c>
      <c r="C302" s="37">
        <v>28289.919999999998</v>
      </c>
      <c r="D302" s="38">
        <f t="shared" si="16"/>
        <v>-8.8242120537355261E-3</v>
      </c>
      <c r="E302" s="38">
        <f t="shared" si="17"/>
        <v>1.4051668501289269E-3</v>
      </c>
      <c r="H302" s="35">
        <v>44600</v>
      </c>
      <c r="I302" s="37">
        <v>1716.55</v>
      </c>
      <c r="J302" s="37">
        <v>57808.58</v>
      </c>
      <c r="K302" s="38">
        <f t="shared" si="18"/>
        <v>1.2130835923788247E-2</v>
      </c>
      <c r="L302" s="38">
        <f t="shared" si="19"/>
        <v>1.130766800919657E-2</v>
      </c>
    </row>
    <row r="303" spans="1:12">
      <c r="A303" s="35">
        <v>42774</v>
      </c>
      <c r="B303" s="37">
        <v>936.45</v>
      </c>
      <c r="C303" s="37">
        <v>28329.7</v>
      </c>
      <c r="D303" s="38">
        <f t="shared" si="16"/>
        <v>1.2363851748050679E-2</v>
      </c>
      <c r="E303" s="38">
        <f t="shared" si="17"/>
        <v>1.6059593479738704E-4</v>
      </c>
      <c r="H303" s="35">
        <v>44601</v>
      </c>
      <c r="I303" s="37">
        <v>1737.5</v>
      </c>
      <c r="J303" s="37">
        <v>58465.97</v>
      </c>
      <c r="K303" s="38">
        <f t="shared" si="18"/>
        <v>1.7882319456912273E-2</v>
      </c>
      <c r="L303" s="38">
        <f t="shared" si="19"/>
        <v>7.8380529391427374E-3</v>
      </c>
    </row>
    <row r="304" spans="1:12">
      <c r="A304" s="35">
        <v>42775</v>
      </c>
      <c r="B304" s="37">
        <v>948.1</v>
      </c>
      <c r="C304" s="37">
        <v>28334.25</v>
      </c>
      <c r="D304" s="38">
        <f t="shared" si="16"/>
        <v>2.0823756911260698E-2</v>
      </c>
      <c r="E304" s="38">
        <f t="shared" si="17"/>
        <v>6.1285115827496321E-4</v>
      </c>
      <c r="H304" s="35">
        <v>44602</v>
      </c>
      <c r="I304" s="37">
        <v>1768.85</v>
      </c>
      <c r="J304" s="37">
        <v>58926.03</v>
      </c>
      <c r="K304" s="38">
        <f t="shared" si="18"/>
        <v>-2.7424100684320017E-2</v>
      </c>
      <c r="L304" s="38">
        <f t="shared" si="19"/>
        <v>-1.320683585143612E-2</v>
      </c>
    </row>
    <row r="305" spans="1:12">
      <c r="A305" s="35">
        <v>42776</v>
      </c>
      <c r="B305" s="37">
        <v>968.05</v>
      </c>
      <c r="C305" s="37">
        <v>28351.62</v>
      </c>
      <c r="D305" s="38">
        <f t="shared" si="16"/>
        <v>1.583389899393943E-2</v>
      </c>
      <c r="E305" s="38">
        <f t="shared" si="17"/>
        <v>-4.3428464459742237E-4</v>
      </c>
      <c r="H305" s="35">
        <v>44603</v>
      </c>
      <c r="I305" s="37">
        <v>1721</v>
      </c>
      <c r="J305" s="37">
        <v>58152.92</v>
      </c>
      <c r="K305" s="38">
        <f t="shared" si="18"/>
        <v>-2.2327602020733389E-2</v>
      </c>
      <c r="L305" s="38">
        <f t="shared" si="19"/>
        <v>-3.0503393422474722E-2</v>
      </c>
    </row>
    <row r="306" spans="1:12">
      <c r="A306" s="35">
        <v>42779</v>
      </c>
      <c r="B306" s="37">
        <v>983.5</v>
      </c>
      <c r="C306" s="37">
        <v>28339.31</v>
      </c>
      <c r="D306" s="38">
        <f t="shared" si="16"/>
        <v>3.8563067882900325E-3</v>
      </c>
      <c r="E306" s="38">
        <f t="shared" si="17"/>
        <v>-6.5050383497121771E-3</v>
      </c>
      <c r="H306" s="35">
        <v>44606</v>
      </c>
      <c r="I306" s="37">
        <v>1683</v>
      </c>
      <c r="J306" s="37">
        <v>56405.84</v>
      </c>
      <c r="K306" s="38">
        <f t="shared" si="18"/>
        <v>3.2300944788321247E-2</v>
      </c>
      <c r="L306" s="38">
        <f t="shared" si="19"/>
        <v>3.0316454984266248E-2</v>
      </c>
    </row>
    <row r="307" spans="1:12">
      <c r="A307" s="35">
        <v>42780</v>
      </c>
      <c r="B307" s="37">
        <v>987.3</v>
      </c>
      <c r="C307" s="37">
        <v>28155.56</v>
      </c>
      <c r="D307" s="38">
        <f t="shared" si="16"/>
        <v>-5.0262842852315994E-3</v>
      </c>
      <c r="E307" s="38">
        <f t="shared" si="17"/>
        <v>5.1618315633646479E-3</v>
      </c>
      <c r="H307" s="35">
        <v>44607</v>
      </c>
      <c r="I307" s="37">
        <v>1738.25</v>
      </c>
      <c r="J307" s="37">
        <v>58142.05</v>
      </c>
      <c r="K307" s="38">
        <f t="shared" si="18"/>
        <v>-3.1691181810331332E-3</v>
      </c>
      <c r="L307" s="38">
        <f t="shared" si="19"/>
        <v>-2.5033866982841838E-3</v>
      </c>
    </row>
    <row r="308" spans="1:12">
      <c r="A308" s="35">
        <v>42781</v>
      </c>
      <c r="B308" s="37">
        <v>982.35</v>
      </c>
      <c r="C308" s="37">
        <v>28301.27</v>
      </c>
      <c r="D308" s="38">
        <f t="shared" si="16"/>
        <v>2.9637370403541898E-2</v>
      </c>
      <c r="E308" s="38">
        <f t="shared" si="17"/>
        <v>5.9003144928636148E-3</v>
      </c>
      <c r="H308" s="35">
        <v>44608</v>
      </c>
      <c r="I308" s="37">
        <v>1732.75</v>
      </c>
      <c r="J308" s="37">
        <v>57996.68</v>
      </c>
      <c r="K308" s="38">
        <f t="shared" si="18"/>
        <v>-4.2798133630364823E-3</v>
      </c>
      <c r="L308" s="38">
        <f t="shared" si="19"/>
        <v>-1.806389017977039E-3</v>
      </c>
    </row>
    <row r="309" spans="1:12">
      <c r="A309" s="35">
        <v>42782</v>
      </c>
      <c r="B309" s="37">
        <v>1011.9</v>
      </c>
      <c r="C309" s="37">
        <v>28468.75</v>
      </c>
      <c r="D309" s="38">
        <f t="shared" si="16"/>
        <v>-1.2129796762579175E-2</v>
      </c>
      <c r="E309" s="38">
        <f t="shared" si="17"/>
        <v>6.7505555200317903E-3</v>
      </c>
      <c r="H309" s="35">
        <v>44609</v>
      </c>
      <c r="I309" s="37">
        <v>1725.35</v>
      </c>
      <c r="J309" s="37">
        <v>57892.01</v>
      </c>
      <c r="K309" s="38">
        <f t="shared" si="18"/>
        <v>-1.0633904048350526E-2</v>
      </c>
      <c r="L309" s="38">
        <f t="shared" si="19"/>
        <v>-1.0203502324612063E-3</v>
      </c>
    </row>
    <row r="310" spans="1:12">
      <c r="A310" s="35">
        <v>42783</v>
      </c>
      <c r="B310" s="37">
        <v>999.7</v>
      </c>
      <c r="C310" s="37">
        <v>28661.58</v>
      </c>
      <c r="D310" s="38">
        <f t="shared" si="16"/>
        <v>1.1932129238709746E-2</v>
      </c>
      <c r="E310" s="38">
        <f t="shared" si="17"/>
        <v>3.483266462636264E-3</v>
      </c>
      <c r="H310" s="35">
        <v>44610</v>
      </c>
      <c r="I310" s="37">
        <v>1707.1</v>
      </c>
      <c r="J310" s="37">
        <v>57832.97</v>
      </c>
      <c r="K310" s="38">
        <f t="shared" si="18"/>
        <v>1.3672144785931243E-2</v>
      </c>
      <c r="L310" s="38">
        <f t="shared" si="19"/>
        <v>-2.5862972939303831E-3</v>
      </c>
    </row>
    <row r="311" spans="1:12">
      <c r="A311" s="35">
        <v>42786</v>
      </c>
      <c r="B311" s="37">
        <v>1011.7</v>
      </c>
      <c r="C311" s="37">
        <v>28761.59</v>
      </c>
      <c r="D311" s="38">
        <f t="shared" si="16"/>
        <v>1.2347814771159417E-3</v>
      </c>
      <c r="E311" s="38">
        <f t="shared" si="17"/>
        <v>3.5789252500838865E-3</v>
      </c>
      <c r="H311" s="35">
        <v>44613</v>
      </c>
      <c r="I311" s="37">
        <v>1730.6</v>
      </c>
      <c r="J311" s="37">
        <v>57683.59</v>
      </c>
      <c r="K311" s="38">
        <f t="shared" si="18"/>
        <v>2.049210616802067E-3</v>
      </c>
      <c r="L311" s="38">
        <f t="shared" si="19"/>
        <v>-6.6602399693659019E-3</v>
      </c>
    </row>
    <row r="312" spans="1:12">
      <c r="A312" s="35">
        <v>42787</v>
      </c>
      <c r="B312" s="37">
        <v>1012.95</v>
      </c>
      <c r="C312" s="37">
        <v>28864.71</v>
      </c>
      <c r="D312" s="38">
        <f t="shared" si="16"/>
        <v>-2.1050258514843094E-2</v>
      </c>
      <c r="E312" s="38">
        <f t="shared" si="17"/>
        <v>9.7857123953573339E-4</v>
      </c>
      <c r="H312" s="35">
        <v>44614</v>
      </c>
      <c r="I312" s="37">
        <v>1734.15</v>
      </c>
      <c r="J312" s="37">
        <v>57300.68</v>
      </c>
      <c r="K312" s="38">
        <f t="shared" si="18"/>
        <v>5.2911697851652541E-3</v>
      </c>
      <c r="L312" s="38">
        <f t="shared" si="19"/>
        <v>-1.1982601343606138E-3</v>
      </c>
    </row>
    <row r="313" spans="1:12">
      <c r="A313" s="35">
        <v>42788</v>
      </c>
      <c r="B313" s="37">
        <v>991.85</v>
      </c>
      <c r="C313" s="37">
        <v>28892.97</v>
      </c>
      <c r="D313" s="38">
        <f t="shared" si="16"/>
        <v>1.7192686965606736E-2</v>
      </c>
      <c r="E313" s="38">
        <f t="shared" si="17"/>
        <v>-2.7758035424490426E-3</v>
      </c>
      <c r="H313" s="35">
        <v>44615</v>
      </c>
      <c r="I313" s="37">
        <v>1743.35</v>
      </c>
      <c r="J313" s="37">
        <v>57232.06</v>
      </c>
      <c r="K313" s="38">
        <f t="shared" si="18"/>
        <v>-3.8503959728768841E-2</v>
      </c>
      <c r="L313" s="38">
        <f t="shared" si="19"/>
        <v>-4.8364872411687895E-2</v>
      </c>
    </row>
    <row r="314" spans="1:12">
      <c r="A314" s="35">
        <v>42789</v>
      </c>
      <c r="B314" s="37">
        <v>1009.05</v>
      </c>
      <c r="C314" s="37">
        <v>28812.880000000001</v>
      </c>
      <c r="D314" s="38">
        <f t="shared" si="16"/>
        <v>3.66010894307553E-3</v>
      </c>
      <c r="E314" s="38">
        <f t="shared" si="17"/>
        <v>-2.4171169697359408E-3</v>
      </c>
      <c r="H314" s="35">
        <v>44616</v>
      </c>
      <c r="I314" s="37">
        <v>1677.5</v>
      </c>
      <c r="J314" s="37">
        <v>54529.91</v>
      </c>
      <c r="K314" s="38">
        <f t="shared" si="18"/>
        <v>9.728972746499363E-3</v>
      </c>
      <c r="L314" s="38">
        <f t="shared" si="19"/>
        <v>2.4072706888611545E-2</v>
      </c>
    </row>
    <row r="315" spans="1:12">
      <c r="A315" s="35">
        <v>42793</v>
      </c>
      <c r="B315" s="37">
        <v>1012.75</v>
      </c>
      <c r="C315" s="37">
        <v>28743.32</v>
      </c>
      <c r="D315" s="38">
        <f t="shared" si="16"/>
        <v>-4.4443347809400399E-4</v>
      </c>
      <c r="E315" s="38">
        <f t="shared" si="17"/>
        <v>8.3554669086446081E-3</v>
      </c>
      <c r="H315" s="35">
        <v>44617</v>
      </c>
      <c r="I315" s="37">
        <v>1693.9</v>
      </c>
      <c r="J315" s="37">
        <v>55858.52</v>
      </c>
      <c r="K315" s="38">
        <f t="shared" si="18"/>
        <v>1.3719727397480223E-2</v>
      </c>
      <c r="L315" s="38">
        <f t="shared" si="19"/>
        <v>6.9356190022191525E-3</v>
      </c>
    </row>
    <row r="316" spans="1:12">
      <c r="A316" s="35">
        <v>42794</v>
      </c>
      <c r="B316" s="37">
        <v>1012.3</v>
      </c>
      <c r="C316" s="37">
        <v>28984.49</v>
      </c>
      <c r="D316" s="38">
        <f t="shared" si="16"/>
        <v>1.2467642967802676E-2</v>
      </c>
      <c r="E316" s="38">
        <f t="shared" si="17"/>
        <v>-5.0048284921394058E-3</v>
      </c>
      <c r="H316" s="35">
        <v>44620</v>
      </c>
      <c r="I316" s="37">
        <v>1717.3</v>
      </c>
      <c r="J316" s="37">
        <v>56247.28</v>
      </c>
      <c r="K316" s="38">
        <f t="shared" si="18"/>
        <v>-8.3031701450262119E-3</v>
      </c>
      <c r="L316" s="38">
        <f t="shared" si="19"/>
        <v>-1.3935181028321031E-2</v>
      </c>
    </row>
    <row r="317" spans="1:12">
      <c r="A317" s="35">
        <v>42795</v>
      </c>
      <c r="B317" s="37">
        <v>1025</v>
      </c>
      <c r="C317" s="37">
        <v>28839.79</v>
      </c>
      <c r="D317" s="38">
        <f t="shared" si="16"/>
        <v>-4.2529333529154941E-3</v>
      </c>
      <c r="E317" s="38">
        <f t="shared" si="17"/>
        <v>-2.545418745528255E-4</v>
      </c>
      <c r="H317" s="35">
        <v>44622</v>
      </c>
      <c r="I317" s="37">
        <v>1703.1</v>
      </c>
      <c r="J317" s="37">
        <v>55468.9</v>
      </c>
      <c r="K317" s="38">
        <f t="shared" si="18"/>
        <v>1.0193887289856788E-2</v>
      </c>
      <c r="L317" s="38">
        <f t="shared" si="19"/>
        <v>-6.6241495169710148E-3</v>
      </c>
    </row>
    <row r="318" spans="1:12">
      <c r="A318" s="35">
        <v>42796</v>
      </c>
      <c r="B318" s="37">
        <v>1020.65</v>
      </c>
      <c r="C318" s="37">
        <v>28832.45</v>
      </c>
      <c r="D318" s="38">
        <f t="shared" si="16"/>
        <v>1.0235005030463077E-2</v>
      </c>
      <c r="E318" s="38">
        <f t="shared" si="17"/>
        <v>7.4546860261805155E-3</v>
      </c>
      <c r="H318" s="35">
        <v>44623</v>
      </c>
      <c r="I318" s="37">
        <v>1720.55</v>
      </c>
      <c r="J318" s="37">
        <v>55102.68</v>
      </c>
      <c r="K318" s="38">
        <f t="shared" si="18"/>
        <v>1.7421101354414799E-3</v>
      </c>
      <c r="L318" s="38">
        <f t="shared" si="19"/>
        <v>-1.405166870820943E-2</v>
      </c>
    </row>
    <row r="319" spans="1:12">
      <c r="A319" s="35">
        <v>42797</v>
      </c>
      <c r="B319" s="37">
        <v>1031.1500000000001</v>
      </c>
      <c r="C319" s="37">
        <v>29048.19</v>
      </c>
      <c r="D319" s="38">
        <f t="shared" si="16"/>
        <v>2.6150135967227765E-3</v>
      </c>
      <c r="E319" s="38">
        <f t="shared" si="17"/>
        <v>-1.6755175308885456E-3</v>
      </c>
      <c r="H319" s="35">
        <v>44624</v>
      </c>
      <c r="I319" s="37">
        <v>1723.55</v>
      </c>
      <c r="J319" s="37">
        <v>54333.81</v>
      </c>
      <c r="K319" s="38">
        <f t="shared" si="18"/>
        <v>9.2403418007335914E-3</v>
      </c>
      <c r="L319" s="38">
        <f t="shared" si="19"/>
        <v>-2.7826162900285736E-2</v>
      </c>
    </row>
    <row r="320" spans="1:12">
      <c r="A320" s="35">
        <v>42800</v>
      </c>
      <c r="B320" s="37">
        <v>1033.8499999999999</v>
      </c>
      <c r="C320" s="37">
        <v>28999.56</v>
      </c>
      <c r="D320" s="38">
        <f t="shared" si="16"/>
        <v>-1.3781231476598831E-2</v>
      </c>
      <c r="E320" s="38">
        <f t="shared" si="17"/>
        <v>-3.3719365644958792E-3</v>
      </c>
      <c r="H320" s="35">
        <v>44627</v>
      </c>
      <c r="I320" s="37">
        <v>1739.55</v>
      </c>
      <c r="J320" s="37">
        <v>52842.75</v>
      </c>
      <c r="K320" s="38">
        <f t="shared" si="18"/>
        <v>2.2115739343635379E-2</v>
      </c>
      <c r="L320" s="38">
        <f t="shared" si="19"/>
        <v>1.0941245629979045E-2</v>
      </c>
    </row>
    <row r="321" spans="1:12">
      <c r="A321" s="35">
        <v>42801</v>
      </c>
      <c r="B321" s="37">
        <v>1019.7</v>
      </c>
      <c r="C321" s="37">
        <v>28901.94</v>
      </c>
      <c r="D321" s="38">
        <f t="shared" si="16"/>
        <v>-1.2284621298723389E-2</v>
      </c>
      <c r="E321" s="38">
        <f t="shared" si="17"/>
        <v>9.4032505376349072E-4</v>
      </c>
      <c r="H321" s="35">
        <v>44628</v>
      </c>
      <c r="I321" s="37">
        <v>1778.45</v>
      </c>
      <c r="J321" s="37">
        <v>53424.09</v>
      </c>
      <c r="K321" s="38">
        <f t="shared" si="18"/>
        <v>1.9488909933099971E-2</v>
      </c>
      <c r="L321" s="38">
        <f t="shared" si="19"/>
        <v>2.2638589234392728E-2</v>
      </c>
    </row>
    <row r="322" spans="1:12">
      <c r="A322" s="35">
        <v>42802</v>
      </c>
      <c r="B322" s="37">
        <v>1007.25</v>
      </c>
      <c r="C322" s="37">
        <v>28929.13</v>
      </c>
      <c r="D322" s="38">
        <f t="shared" si="16"/>
        <v>4.3093907243534459E-3</v>
      </c>
      <c r="E322" s="38">
        <f t="shared" si="17"/>
        <v>5.9092506716503044E-4</v>
      </c>
      <c r="H322" s="35">
        <v>44629</v>
      </c>
      <c r="I322" s="37">
        <v>1813.45</v>
      </c>
      <c r="J322" s="37">
        <v>54647.33</v>
      </c>
      <c r="K322" s="38">
        <f t="shared" si="18"/>
        <v>6.2392836226209374E-3</v>
      </c>
      <c r="L322" s="38">
        <f t="shared" si="19"/>
        <v>1.4840836133133917E-2</v>
      </c>
    </row>
    <row r="323" spans="1:12">
      <c r="A323" s="35">
        <v>42803</v>
      </c>
      <c r="B323" s="37">
        <v>1011.6</v>
      </c>
      <c r="C323" s="37">
        <v>28946.23</v>
      </c>
      <c r="D323" s="38">
        <f t="shared" si="16"/>
        <v>8.3674258926630628E-3</v>
      </c>
      <c r="E323" s="38">
        <f t="shared" si="17"/>
        <v>1.7003653095728974E-2</v>
      </c>
      <c r="H323" s="35">
        <v>44630</v>
      </c>
      <c r="I323" s="37">
        <v>1824.8</v>
      </c>
      <c r="J323" s="37">
        <v>55464.39</v>
      </c>
      <c r="K323" s="38">
        <f t="shared" si="18"/>
        <v>-1.3709524781687994E-3</v>
      </c>
      <c r="L323" s="38">
        <f t="shared" si="19"/>
        <v>1.5477234075852921E-3</v>
      </c>
    </row>
    <row r="324" spans="1:12">
      <c r="A324" s="35">
        <v>42804</v>
      </c>
      <c r="B324" s="37">
        <v>1020.1</v>
      </c>
      <c r="C324" s="37">
        <v>29442.63</v>
      </c>
      <c r="D324" s="38">
        <f t="shared" si="16"/>
        <v>1.4500765010996121E-2</v>
      </c>
      <c r="E324" s="38">
        <f t="shared" si="17"/>
        <v>-1.5132375458052725E-3</v>
      </c>
      <c r="H324" s="35">
        <v>44631</v>
      </c>
      <c r="I324" s="37">
        <v>1822.3</v>
      </c>
      <c r="J324" s="37">
        <v>55550.3</v>
      </c>
      <c r="K324" s="38">
        <f t="shared" si="18"/>
        <v>3.6900580427071929E-2</v>
      </c>
      <c r="L324" s="38">
        <f t="shared" si="19"/>
        <v>1.6704257296215753E-2</v>
      </c>
    </row>
    <row r="325" spans="1:12">
      <c r="A325" s="35">
        <v>42808</v>
      </c>
      <c r="B325" s="37">
        <v>1035</v>
      </c>
      <c r="C325" s="37">
        <v>29398.11</v>
      </c>
      <c r="D325" s="38">
        <f t="shared" ref="D325:D388" si="20">LN(B326/B325)</f>
        <v>-2.2374046504613918E-2</v>
      </c>
      <c r="E325" s="38">
        <f t="shared" ref="E325:E388" si="21">LN(C326/C325)</f>
        <v>6.3658199277324256E-3</v>
      </c>
      <c r="H325" s="35">
        <v>44634</v>
      </c>
      <c r="I325" s="37">
        <v>1890.8</v>
      </c>
      <c r="J325" s="37">
        <v>56486.02</v>
      </c>
      <c r="K325" s="38">
        <f t="shared" ref="K325:K388" si="22">LN(I326/I325)</f>
        <v>-2.7696511572575556E-2</v>
      </c>
      <c r="L325" s="38">
        <f t="shared" ref="L325:L388" si="23">LN(J326/J325)</f>
        <v>-1.2634265156289163E-2</v>
      </c>
    </row>
    <row r="326" spans="1:12">
      <c r="A326" s="35">
        <v>42809</v>
      </c>
      <c r="B326" s="37">
        <v>1012.1</v>
      </c>
      <c r="C326" s="37">
        <v>29585.85</v>
      </c>
      <c r="D326" s="38">
        <f t="shared" si="20"/>
        <v>1.6074049898156275E-2</v>
      </c>
      <c r="E326" s="38">
        <f t="shared" si="21"/>
        <v>2.1318542909287098E-3</v>
      </c>
      <c r="H326" s="35">
        <v>44635</v>
      </c>
      <c r="I326" s="37">
        <v>1839.15</v>
      </c>
      <c r="J326" s="37">
        <v>55776.85</v>
      </c>
      <c r="K326" s="38">
        <f t="shared" si="22"/>
        <v>2.6558779769313475E-2</v>
      </c>
      <c r="L326" s="38">
        <f t="shared" si="23"/>
        <v>1.8470507823567E-2</v>
      </c>
    </row>
    <row r="327" spans="1:12">
      <c r="A327" s="35">
        <v>42810</v>
      </c>
      <c r="B327" s="37">
        <v>1028.5</v>
      </c>
      <c r="C327" s="37">
        <v>29648.99</v>
      </c>
      <c r="D327" s="38">
        <f t="shared" si="20"/>
        <v>1.1119283042406414E-2</v>
      </c>
      <c r="E327" s="38">
        <f t="shared" si="21"/>
        <v>-4.4027448880957004E-3</v>
      </c>
      <c r="H327" s="35">
        <v>44636</v>
      </c>
      <c r="I327" s="37">
        <v>1888.65</v>
      </c>
      <c r="J327" s="37">
        <v>56816.65</v>
      </c>
      <c r="K327" s="38">
        <f t="shared" si="22"/>
        <v>-1.8301094530332015E-2</v>
      </c>
      <c r="L327" s="38">
        <f t="shared" si="23"/>
        <v>1.8264803238476818E-2</v>
      </c>
    </row>
    <row r="328" spans="1:12">
      <c r="A328" s="35">
        <v>42811</v>
      </c>
      <c r="B328" s="37">
        <v>1040</v>
      </c>
      <c r="C328" s="37">
        <v>29518.74</v>
      </c>
      <c r="D328" s="38">
        <f t="shared" si="20"/>
        <v>-1.8830023505547248E-2</v>
      </c>
      <c r="E328" s="38">
        <f t="shared" si="21"/>
        <v>-1.128394560870237E-3</v>
      </c>
      <c r="H328" s="35">
        <v>44637</v>
      </c>
      <c r="I328" s="37">
        <v>1854.4</v>
      </c>
      <c r="J328" s="37">
        <v>57863.93</v>
      </c>
      <c r="K328" s="38">
        <f t="shared" si="22"/>
        <v>-9.7113576556022213E-4</v>
      </c>
      <c r="L328" s="38">
        <f t="shared" si="23"/>
        <v>-9.9246692545240968E-3</v>
      </c>
    </row>
    <row r="329" spans="1:12">
      <c r="A329" s="35">
        <v>42814</v>
      </c>
      <c r="B329" s="37">
        <v>1020.6</v>
      </c>
      <c r="C329" s="37">
        <v>29485.45</v>
      </c>
      <c r="D329" s="38">
        <f t="shared" si="20"/>
        <v>1.1107977411636836E-2</v>
      </c>
      <c r="E329" s="38">
        <f t="shared" si="21"/>
        <v>-1.0835674384547467E-2</v>
      </c>
      <c r="H329" s="35">
        <v>44641</v>
      </c>
      <c r="I329" s="37">
        <v>1852.6</v>
      </c>
      <c r="J329" s="37">
        <v>57292.49</v>
      </c>
      <c r="K329" s="38">
        <f t="shared" si="22"/>
        <v>1.8557178424166518E-2</v>
      </c>
      <c r="L329" s="38">
        <f t="shared" si="23"/>
        <v>1.2088960210204971E-2</v>
      </c>
    </row>
    <row r="330" spans="1:12">
      <c r="A330" s="35">
        <v>42815</v>
      </c>
      <c r="B330" s="37">
        <v>1032</v>
      </c>
      <c r="C330" s="37">
        <v>29167.68</v>
      </c>
      <c r="D330" s="38">
        <f t="shared" si="20"/>
        <v>-4.0780714833788482E-3</v>
      </c>
      <c r="E330" s="38">
        <f t="shared" si="21"/>
        <v>5.6232780609926031E-3</v>
      </c>
      <c r="H330" s="35">
        <v>44642</v>
      </c>
      <c r="I330" s="37">
        <v>1887.3</v>
      </c>
      <c r="J330" s="37">
        <v>57989.3</v>
      </c>
      <c r="K330" s="38">
        <f t="shared" si="22"/>
        <v>-8.2199896221206992E-3</v>
      </c>
      <c r="L330" s="38">
        <f t="shared" si="23"/>
        <v>-5.2644567896269574E-3</v>
      </c>
    </row>
    <row r="331" spans="1:12">
      <c r="A331" s="35">
        <v>42816</v>
      </c>
      <c r="B331" s="37">
        <v>1027.8</v>
      </c>
      <c r="C331" s="37">
        <v>29332.16</v>
      </c>
      <c r="D331" s="38">
        <f t="shared" si="20"/>
        <v>1.2376874298073912E-2</v>
      </c>
      <c r="E331" s="38">
        <f t="shared" si="21"/>
        <v>3.0377757067369892E-3</v>
      </c>
      <c r="H331" s="35">
        <v>44643</v>
      </c>
      <c r="I331" s="37">
        <v>1871.85</v>
      </c>
      <c r="J331" s="37">
        <v>57684.82</v>
      </c>
      <c r="K331" s="38">
        <f t="shared" si="22"/>
        <v>7.9815253310179489E-3</v>
      </c>
      <c r="L331" s="38">
        <f t="shared" si="23"/>
        <v>-1.5464890899295123E-3</v>
      </c>
    </row>
    <row r="332" spans="1:12">
      <c r="A332" s="35">
        <v>42817</v>
      </c>
      <c r="B332" s="37">
        <v>1040.5999999999999</v>
      </c>
      <c r="C332" s="37">
        <v>29421.4</v>
      </c>
      <c r="D332" s="38">
        <f t="shared" si="20"/>
        <v>-8.4926200456535879E-3</v>
      </c>
      <c r="E332" s="38">
        <f t="shared" si="21"/>
        <v>-6.2821398059138851E-3</v>
      </c>
      <c r="H332" s="35">
        <v>44644</v>
      </c>
      <c r="I332" s="37">
        <v>1886.85</v>
      </c>
      <c r="J332" s="37">
        <v>57595.68</v>
      </c>
      <c r="K332" s="38">
        <f t="shared" si="22"/>
        <v>-5.5537244986880062E-3</v>
      </c>
      <c r="L332" s="38">
        <f t="shared" si="23"/>
        <v>-4.06201507951024E-3</v>
      </c>
    </row>
    <row r="333" spans="1:12">
      <c r="A333" s="35">
        <v>42818</v>
      </c>
      <c r="B333" s="37">
        <v>1031.8</v>
      </c>
      <c r="C333" s="37">
        <v>29237.15</v>
      </c>
      <c r="D333" s="38">
        <f t="shared" si="20"/>
        <v>-2.9117753271945958E-3</v>
      </c>
      <c r="E333" s="38">
        <f t="shared" si="21"/>
        <v>5.8782705425579618E-3</v>
      </c>
      <c r="H333" s="35">
        <v>44645</v>
      </c>
      <c r="I333" s="37">
        <v>1876.4</v>
      </c>
      <c r="J333" s="37">
        <v>57362.2</v>
      </c>
      <c r="K333" s="38">
        <f t="shared" si="22"/>
        <v>-1.573396593772695E-3</v>
      </c>
      <c r="L333" s="38">
        <f t="shared" si="23"/>
        <v>4.0239906714817164E-3</v>
      </c>
    </row>
    <row r="334" spans="1:12">
      <c r="A334" s="35">
        <v>42821</v>
      </c>
      <c r="B334" s="37">
        <v>1028.8</v>
      </c>
      <c r="C334" s="37">
        <v>29409.52</v>
      </c>
      <c r="D334" s="38">
        <f t="shared" si="20"/>
        <v>6.1049659063496155E-3</v>
      </c>
      <c r="E334" s="38">
        <f t="shared" si="21"/>
        <v>4.1366884600792884E-3</v>
      </c>
      <c r="H334" s="35">
        <v>44648</v>
      </c>
      <c r="I334" s="37">
        <v>1873.45</v>
      </c>
      <c r="J334" s="37">
        <v>57593.49</v>
      </c>
      <c r="K334" s="38">
        <f t="shared" si="22"/>
        <v>6.6235096577892142E-3</v>
      </c>
      <c r="L334" s="38">
        <f t="shared" si="23"/>
        <v>6.0614460788189529E-3</v>
      </c>
    </row>
    <row r="335" spans="1:12">
      <c r="A335" s="35">
        <v>42822</v>
      </c>
      <c r="B335" s="37">
        <v>1035.0999999999999</v>
      </c>
      <c r="C335" s="37">
        <v>29531.43</v>
      </c>
      <c r="D335" s="38">
        <f t="shared" si="20"/>
        <v>-3.6294167451012224E-3</v>
      </c>
      <c r="E335" s="38">
        <f t="shared" si="21"/>
        <v>3.9199865670929458E-3</v>
      </c>
      <c r="H335" s="35">
        <v>44649</v>
      </c>
      <c r="I335" s="37">
        <v>1885.9</v>
      </c>
      <c r="J335" s="37">
        <v>57943.65</v>
      </c>
      <c r="K335" s="38">
        <f t="shared" si="22"/>
        <v>1.6721390761150468E-2</v>
      </c>
      <c r="L335" s="38">
        <f t="shared" si="23"/>
        <v>1.269596031318875E-2</v>
      </c>
    </row>
    <row r="336" spans="1:12">
      <c r="A336" s="35">
        <v>42823</v>
      </c>
      <c r="B336" s="37">
        <v>1031.3499999999999</v>
      </c>
      <c r="C336" s="37">
        <v>29647.42</v>
      </c>
      <c r="D336" s="38">
        <f t="shared" si="20"/>
        <v>-6.6639349656487552E-3</v>
      </c>
      <c r="E336" s="38">
        <f t="shared" si="21"/>
        <v>-9.0841729729150707E-4</v>
      </c>
      <c r="H336" s="35">
        <v>44650</v>
      </c>
      <c r="I336" s="37">
        <v>1917.7</v>
      </c>
      <c r="J336" s="37">
        <v>58683.99</v>
      </c>
      <c r="K336" s="38">
        <f t="shared" si="22"/>
        <v>-5.4903534084392797E-3</v>
      </c>
      <c r="L336" s="38">
        <f t="shared" si="23"/>
        <v>-1.9697667399559897E-3</v>
      </c>
    </row>
    <row r="337" spans="1:12">
      <c r="A337" s="35">
        <v>42824</v>
      </c>
      <c r="B337" s="37">
        <v>1024.5</v>
      </c>
      <c r="C337" s="37">
        <v>29620.5</v>
      </c>
      <c r="D337" s="38">
        <f t="shared" si="20"/>
        <v>-3.6180550884290278E-3</v>
      </c>
      <c r="E337" s="38">
        <f t="shared" si="21"/>
        <v>9.733538831000893E-3</v>
      </c>
      <c r="H337" s="35">
        <v>44651</v>
      </c>
      <c r="I337" s="37">
        <v>1907.2</v>
      </c>
      <c r="J337" s="37">
        <v>58568.51</v>
      </c>
      <c r="K337" s="38">
        <f t="shared" si="22"/>
        <v>-2.5462338703187851E-3</v>
      </c>
      <c r="L337" s="38">
        <f t="shared" si="23"/>
        <v>1.2018962588523793E-2</v>
      </c>
    </row>
    <row r="338" spans="1:12">
      <c r="A338" s="35">
        <v>42825</v>
      </c>
      <c r="B338" s="37">
        <v>1020.8</v>
      </c>
      <c r="C338" s="37">
        <v>29910.22</v>
      </c>
      <c r="D338" s="38">
        <f t="shared" si="20"/>
        <v>-1.1181005534292535E-2</v>
      </c>
      <c r="E338" s="38">
        <f t="shared" si="21"/>
        <v>2.1381181157586792E-3</v>
      </c>
      <c r="H338" s="35">
        <v>44652</v>
      </c>
      <c r="I338" s="37">
        <v>1902.35</v>
      </c>
      <c r="J338" s="37">
        <v>59276.69</v>
      </c>
      <c r="K338" s="38">
        <f t="shared" si="22"/>
        <v>-1.0515844104364347E-2</v>
      </c>
      <c r="L338" s="38">
        <f t="shared" si="23"/>
        <v>2.2272460963342205E-2</v>
      </c>
    </row>
    <row r="339" spans="1:12">
      <c r="A339" s="35">
        <v>42828</v>
      </c>
      <c r="B339" s="37">
        <v>1009.45</v>
      </c>
      <c r="C339" s="37">
        <v>29974.240000000002</v>
      </c>
      <c r="D339" s="38">
        <f t="shared" si="20"/>
        <v>-1.4016240631779068E-2</v>
      </c>
      <c r="E339" s="38">
        <f t="shared" si="21"/>
        <v>-1.5659022544456417E-3</v>
      </c>
      <c r="H339" s="35">
        <v>44655</v>
      </c>
      <c r="I339" s="37">
        <v>1882.45</v>
      </c>
      <c r="J339" s="37">
        <v>60611.74</v>
      </c>
      <c r="K339" s="38">
        <f t="shared" si="22"/>
        <v>-1.1406409146429645E-2</v>
      </c>
      <c r="L339" s="38">
        <f t="shared" si="23"/>
        <v>-7.2066930312501302E-3</v>
      </c>
    </row>
    <row r="340" spans="1:12">
      <c r="A340" s="35">
        <v>42830</v>
      </c>
      <c r="B340" s="37">
        <v>995.4</v>
      </c>
      <c r="C340" s="37">
        <v>29927.34</v>
      </c>
      <c r="D340" s="38">
        <f t="shared" si="20"/>
        <v>3.7602511028444253E-3</v>
      </c>
      <c r="E340" s="38">
        <f t="shared" si="21"/>
        <v>-7.4028639070009353E-3</v>
      </c>
      <c r="H340" s="35">
        <v>44656</v>
      </c>
      <c r="I340" s="37">
        <v>1861.1</v>
      </c>
      <c r="J340" s="37">
        <v>60176.5</v>
      </c>
      <c r="K340" s="38">
        <f t="shared" si="22"/>
        <v>-1.7699097352515285E-2</v>
      </c>
      <c r="L340" s="38">
        <f t="shared" si="23"/>
        <v>-9.4516874050654068E-3</v>
      </c>
    </row>
    <row r="341" spans="1:12">
      <c r="A341" s="35">
        <v>42831</v>
      </c>
      <c r="B341" s="37">
        <v>999.15</v>
      </c>
      <c r="C341" s="37">
        <v>29706.61</v>
      </c>
      <c r="D341" s="38">
        <f t="shared" si="20"/>
        <v>-1.8077648430679973E-2</v>
      </c>
      <c r="E341" s="38">
        <f t="shared" si="21"/>
        <v>-4.4151492845092366E-3</v>
      </c>
      <c r="H341" s="35">
        <v>44657</v>
      </c>
      <c r="I341" s="37">
        <v>1828.45</v>
      </c>
      <c r="J341" s="37">
        <v>59610.41</v>
      </c>
      <c r="K341" s="38">
        <f t="shared" si="22"/>
        <v>-9.3133820622706403E-3</v>
      </c>
      <c r="L341" s="38">
        <f t="shared" si="23"/>
        <v>-9.7005818452605141E-3</v>
      </c>
    </row>
    <row r="342" spans="1:12">
      <c r="A342" s="35">
        <v>42832</v>
      </c>
      <c r="B342" s="37">
        <v>981.25</v>
      </c>
      <c r="C342" s="37">
        <v>29575.74</v>
      </c>
      <c r="D342" s="38">
        <f t="shared" si="20"/>
        <v>-2.9264832715966239E-2</v>
      </c>
      <c r="E342" s="38">
        <f t="shared" si="21"/>
        <v>7.1629467930961511E-3</v>
      </c>
      <c r="H342" s="35">
        <v>44658</v>
      </c>
      <c r="I342" s="37">
        <v>1811.5</v>
      </c>
      <c r="J342" s="37">
        <v>59034.95</v>
      </c>
      <c r="K342" s="38">
        <f t="shared" si="22"/>
        <v>1.9853312648001201E-3</v>
      </c>
      <c r="L342" s="38">
        <f t="shared" si="23"/>
        <v>6.9585457890301381E-3</v>
      </c>
    </row>
    <row r="343" spans="1:12">
      <c r="A343" s="35">
        <v>42835</v>
      </c>
      <c r="B343" s="37">
        <v>952.95</v>
      </c>
      <c r="C343" s="37">
        <v>29788.35</v>
      </c>
      <c r="D343" s="38">
        <f t="shared" si="20"/>
        <v>1.4791165967454639E-2</v>
      </c>
      <c r="E343" s="38">
        <f t="shared" si="21"/>
        <v>-4.8751750343543811E-3</v>
      </c>
      <c r="H343" s="35">
        <v>44659</v>
      </c>
      <c r="I343" s="37">
        <v>1815.1</v>
      </c>
      <c r="J343" s="37">
        <v>59447.18</v>
      </c>
      <c r="K343" s="38">
        <f t="shared" si="22"/>
        <v>-2.7055464734592652E-2</v>
      </c>
      <c r="L343" s="38">
        <f t="shared" si="23"/>
        <v>-8.1514321388349888E-3</v>
      </c>
    </row>
    <row r="344" spans="1:12">
      <c r="A344" s="35">
        <v>42836</v>
      </c>
      <c r="B344" s="37">
        <v>967.15</v>
      </c>
      <c r="C344" s="37">
        <v>29643.48</v>
      </c>
      <c r="D344" s="38">
        <f t="shared" si="20"/>
        <v>1.7045898907757642E-3</v>
      </c>
      <c r="E344" s="38">
        <f t="shared" si="21"/>
        <v>-6.1595733392470773E-3</v>
      </c>
      <c r="H344" s="35">
        <v>44662</v>
      </c>
      <c r="I344" s="37">
        <v>1766.65</v>
      </c>
      <c r="J344" s="37">
        <v>58964.57</v>
      </c>
      <c r="K344" s="38">
        <f t="shared" si="22"/>
        <v>-1.4366998352872761E-2</v>
      </c>
      <c r="L344" s="38">
        <f t="shared" si="23"/>
        <v>-6.6053821156131899E-3</v>
      </c>
    </row>
    <row r="345" spans="1:12">
      <c r="A345" s="35">
        <v>42837</v>
      </c>
      <c r="B345" s="37">
        <v>968.8</v>
      </c>
      <c r="C345" s="37">
        <v>29461.45</v>
      </c>
      <c r="D345" s="38">
        <f t="shared" si="20"/>
        <v>-3.9369361690605668E-2</v>
      </c>
      <c r="E345" s="38">
        <f t="shared" si="21"/>
        <v>-1.6234368138273252E-3</v>
      </c>
      <c r="H345" s="35">
        <v>44663</v>
      </c>
      <c r="I345" s="37">
        <v>1741.45</v>
      </c>
      <c r="J345" s="37">
        <v>58576.37</v>
      </c>
      <c r="K345" s="38">
        <f t="shared" si="22"/>
        <v>4.1259621295294388E-3</v>
      </c>
      <c r="L345" s="38">
        <f t="shared" si="23"/>
        <v>-4.0617494277745674E-3</v>
      </c>
    </row>
    <row r="346" spans="1:12">
      <c r="A346" s="35">
        <v>42838</v>
      </c>
      <c r="B346" s="37">
        <v>931.4</v>
      </c>
      <c r="C346" s="37">
        <v>29413.66</v>
      </c>
      <c r="D346" s="38">
        <f t="shared" si="20"/>
        <v>-7.1113326301638245E-3</v>
      </c>
      <c r="E346" s="38">
        <f t="shared" si="21"/>
        <v>-3.2200115132870761E-3</v>
      </c>
      <c r="H346" s="35">
        <v>44664</v>
      </c>
      <c r="I346" s="37">
        <v>1748.65</v>
      </c>
      <c r="J346" s="37">
        <v>58338.93</v>
      </c>
      <c r="K346" s="38">
        <f t="shared" si="22"/>
        <v>-7.5523251016058418E-2</v>
      </c>
      <c r="L346" s="38">
        <f t="shared" si="23"/>
        <v>-2.0297362774429742E-2</v>
      </c>
    </row>
    <row r="347" spans="1:12">
      <c r="A347" s="35">
        <v>42842</v>
      </c>
      <c r="B347" s="37">
        <v>924.8</v>
      </c>
      <c r="C347" s="37">
        <v>29319.1</v>
      </c>
      <c r="D347" s="38">
        <f t="shared" si="20"/>
        <v>-2.5985289632637376E-3</v>
      </c>
      <c r="E347" s="38">
        <f t="shared" si="21"/>
        <v>5.9567985555632208E-4</v>
      </c>
      <c r="H347" s="35">
        <v>44669</v>
      </c>
      <c r="I347" s="37">
        <v>1621.45</v>
      </c>
      <c r="J347" s="37">
        <v>57166.74</v>
      </c>
      <c r="K347" s="38">
        <f t="shared" si="22"/>
        <v>-3.6106138341173308E-2</v>
      </c>
      <c r="L347" s="38">
        <f t="shared" si="23"/>
        <v>-1.2384047755906435E-2</v>
      </c>
    </row>
    <row r="348" spans="1:12">
      <c r="A348" s="35">
        <v>42843</v>
      </c>
      <c r="B348" s="37">
        <v>922.4</v>
      </c>
      <c r="C348" s="37">
        <v>29336.57</v>
      </c>
      <c r="D348" s="38">
        <f t="shared" si="20"/>
        <v>-3.9104981399061623E-3</v>
      </c>
      <c r="E348" s="38">
        <f t="shared" si="21"/>
        <v>2.9210884952161438E-3</v>
      </c>
      <c r="H348" s="35">
        <v>44670</v>
      </c>
      <c r="I348" s="37">
        <v>1563.95</v>
      </c>
      <c r="J348" s="37">
        <v>56463.15</v>
      </c>
      <c r="K348" s="38">
        <f t="shared" si="22"/>
        <v>1.5166227622550342E-2</v>
      </c>
      <c r="L348" s="38">
        <f t="shared" si="23"/>
        <v>1.012073327353143E-2</v>
      </c>
    </row>
    <row r="349" spans="1:12">
      <c r="A349" s="35">
        <v>42844</v>
      </c>
      <c r="B349" s="37">
        <v>918.8</v>
      </c>
      <c r="C349" s="37">
        <v>29422.39</v>
      </c>
      <c r="D349" s="38">
        <f t="shared" si="20"/>
        <v>9.5860356579435708E-3</v>
      </c>
      <c r="E349" s="38">
        <f t="shared" si="21"/>
        <v>-1.9422439611684284E-3</v>
      </c>
      <c r="H349" s="35">
        <v>44671</v>
      </c>
      <c r="I349" s="37">
        <v>1587.85</v>
      </c>
      <c r="J349" s="37">
        <v>57037.5</v>
      </c>
      <c r="K349" s="38">
        <f t="shared" si="22"/>
        <v>1.9118894458984501E-2</v>
      </c>
      <c r="L349" s="38">
        <f t="shared" si="23"/>
        <v>1.5210145096966726E-2</v>
      </c>
    </row>
    <row r="350" spans="1:12">
      <c r="A350" s="35">
        <v>42845</v>
      </c>
      <c r="B350" s="37">
        <v>927.65</v>
      </c>
      <c r="C350" s="37">
        <v>29365.3</v>
      </c>
      <c r="D350" s="38">
        <f t="shared" si="20"/>
        <v>-4.2671628743222688E-3</v>
      </c>
      <c r="E350" s="38">
        <f t="shared" si="21"/>
        <v>9.8453654694785116E-3</v>
      </c>
      <c r="H350" s="35">
        <v>44672</v>
      </c>
      <c r="I350" s="37">
        <v>1618.5</v>
      </c>
      <c r="J350" s="37">
        <v>57911.68</v>
      </c>
      <c r="K350" s="38">
        <f t="shared" si="22"/>
        <v>-2.0473844170777234E-2</v>
      </c>
      <c r="L350" s="38">
        <f t="shared" si="23"/>
        <v>-1.2415019380875882E-2</v>
      </c>
    </row>
    <row r="351" spans="1:12">
      <c r="A351" s="35">
        <v>42846</v>
      </c>
      <c r="B351" s="37">
        <v>923.7</v>
      </c>
      <c r="C351" s="37">
        <v>29655.84</v>
      </c>
      <c r="D351" s="38">
        <f t="shared" si="20"/>
        <v>2.5408852702462491E-3</v>
      </c>
      <c r="E351" s="38">
        <f t="shared" si="21"/>
        <v>9.6445189337687285E-3</v>
      </c>
      <c r="H351" s="35">
        <v>44673</v>
      </c>
      <c r="I351" s="37">
        <v>1585.7</v>
      </c>
      <c r="J351" s="37">
        <v>57197.15</v>
      </c>
      <c r="K351" s="38">
        <f t="shared" si="22"/>
        <v>-1.5411073478171073E-2</v>
      </c>
      <c r="L351" s="38">
        <f t="shared" si="23"/>
        <v>-1.0850450247956851E-2</v>
      </c>
    </row>
    <row r="352" spans="1:12">
      <c r="A352" s="35">
        <v>42849</v>
      </c>
      <c r="B352" s="37">
        <v>926.05</v>
      </c>
      <c r="C352" s="37">
        <v>29943.24</v>
      </c>
      <c r="D352" s="38">
        <f t="shared" si="20"/>
        <v>3.1805099450279103E-3</v>
      </c>
      <c r="E352" s="38">
        <f t="shared" si="21"/>
        <v>6.3289422578409445E-3</v>
      </c>
      <c r="H352" s="35">
        <v>44676</v>
      </c>
      <c r="I352" s="37">
        <v>1561.45</v>
      </c>
      <c r="J352" s="37">
        <v>56579.89</v>
      </c>
      <c r="K352" s="38">
        <f t="shared" si="22"/>
        <v>1.1651729936213766E-2</v>
      </c>
      <c r="L352" s="38">
        <f t="shared" si="23"/>
        <v>1.363447240480135E-2</v>
      </c>
    </row>
    <row r="353" spans="1:12">
      <c r="A353" s="35">
        <v>42850</v>
      </c>
      <c r="B353" s="37">
        <v>929</v>
      </c>
      <c r="C353" s="37">
        <v>30133.35</v>
      </c>
      <c r="D353" s="38">
        <f t="shared" si="20"/>
        <v>-1.6223464260744391E-2</v>
      </c>
      <c r="E353" s="38">
        <f t="shared" si="21"/>
        <v>-3.4443078781130738E-3</v>
      </c>
      <c r="H353" s="35">
        <v>44677</v>
      </c>
      <c r="I353" s="37">
        <v>1579.75</v>
      </c>
      <c r="J353" s="37">
        <v>57356.61</v>
      </c>
      <c r="K353" s="38">
        <f t="shared" si="22"/>
        <v>-1.6949287796052388E-2</v>
      </c>
      <c r="L353" s="38">
        <f t="shared" si="23"/>
        <v>-9.4104534145010611E-3</v>
      </c>
    </row>
    <row r="354" spans="1:12">
      <c r="A354" s="35">
        <v>42851</v>
      </c>
      <c r="B354" s="37">
        <v>914.05</v>
      </c>
      <c r="C354" s="37">
        <v>30029.74</v>
      </c>
      <c r="D354" s="38">
        <f t="shared" si="20"/>
        <v>1.0772683070340357E-2</v>
      </c>
      <c r="E354" s="38">
        <f t="shared" si="21"/>
        <v>-3.7145482085413116E-3</v>
      </c>
      <c r="H354" s="35">
        <v>44678</v>
      </c>
      <c r="I354" s="37">
        <v>1553.2</v>
      </c>
      <c r="J354" s="37">
        <v>56819.39</v>
      </c>
      <c r="K354" s="38">
        <f t="shared" si="22"/>
        <v>1.9193957649876102E-2</v>
      </c>
      <c r="L354" s="38">
        <f t="shared" si="23"/>
        <v>1.2273500903775384E-2</v>
      </c>
    </row>
    <row r="355" spans="1:12">
      <c r="A355" s="35">
        <v>42852</v>
      </c>
      <c r="B355" s="37">
        <v>923.95</v>
      </c>
      <c r="C355" s="37">
        <v>29918.400000000001</v>
      </c>
      <c r="D355" s="38">
        <f t="shared" si="20"/>
        <v>-4.9366742513069668E-3</v>
      </c>
      <c r="E355" s="38">
        <f t="shared" si="21"/>
        <v>9.291509071407979E-5</v>
      </c>
      <c r="H355" s="35">
        <v>44679</v>
      </c>
      <c r="I355" s="37">
        <v>1583.3</v>
      </c>
      <c r="J355" s="37">
        <v>57521.06</v>
      </c>
      <c r="K355" s="38">
        <f t="shared" si="22"/>
        <v>-9.7741321409836514E-3</v>
      </c>
      <c r="L355" s="38">
        <f t="shared" si="23"/>
        <v>-8.0325488383057187E-3</v>
      </c>
    </row>
    <row r="356" spans="1:12">
      <c r="A356" s="35">
        <v>42853</v>
      </c>
      <c r="B356" s="37">
        <v>919.4</v>
      </c>
      <c r="C356" s="37">
        <v>29921.18</v>
      </c>
      <c r="D356" s="38">
        <f t="shared" si="20"/>
        <v>1.7387528831792978E-3</v>
      </c>
      <c r="E356" s="38">
        <f t="shared" si="21"/>
        <v>-8.8203860273750371E-4</v>
      </c>
      <c r="H356" s="35">
        <v>44680</v>
      </c>
      <c r="I356" s="37">
        <v>1567.9</v>
      </c>
      <c r="J356" s="37">
        <v>57060.87</v>
      </c>
      <c r="K356" s="38">
        <f t="shared" si="22"/>
        <v>-1.7143368887850709E-2</v>
      </c>
      <c r="L356" s="38">
        <f t="shared" si="23"/>
        <v>-1.4886417545150463E-3</v>
      </c>
    </row>
    <row r="357" spans="1:12">
      <c r="A357" s="35">
        <v>42857</v>
      </c>
      <c r="B357" s="37">
        <v>921</v>
      </c>
      <c r="C357" s="37">
        <v>29894.799999999999</v>
      </c>
      <c r="D357" s="38">
        <f t="shared" si="20"/>
        <v>1.5781438668490761E-2</v>
      </c>
      <c r="E357" s="38">
        <f t="shared" si="21"/>
        <v>7.7110047507561261E-3</v>
      </c>
      <c r="H357" s="35">
        <v>44683</v>
      </c>
      <c r="I357" s="37">
        <v>1541.25</v>
      </c>
      <c r="J357" s="37">
        <v>56975.99</v>
      </c>
      <c r="K357" s="38">
        <f t="shared" si="22"/>
        <v>-3.4446933841004311E-3</v>
      </c>
      <c r="L357" s="38">
        <f t="shared" si="23"/>
        <v>-2.3205973085636E-2</v>
      </c>
    </row>
    <row r="358" spans="1:12">
      <c r="A358" s="35">
        <v>42858</v>
      </c>
      <c r="B358" s="37">
        <v>935.65</v>
      </c>
      <c r="C358" s="37">
        <v>30126.21</v>
      </c>
      <c r="D358" s="38">
        <f t="shared" si="20"/>
        <v>6.9446302104581731E-4</v>
      </c>
      <c r="E358" s="38">
        <f t="shared" si="21"/>
        <v>-8.9159532176502337E-3</v>
      </c>
      <c r="H358" s="35">
        <v>44685</v>
      </c>
      <c r="I358" s="37">
        <v>1535.95</v>
      </c>
      <c r="J358" s="37">
        <v>55669.03</v>
      </c>
      <c r="K358" s="38">
        <f t="shared" si="22"/>
        <v>3.1593041485687361E-2</v>
      </c>
      <c r="L358" s="38">
        <f t="shared" si="23"/>
        <v>5.9620410119170402E-4</v>
      </c>
    </row>
    <row r="359" spans="1:12">
      <c r="A359" s="35">
        <v>42859</v>
      </c>
      <c r="B359" s="37">
        <v>936.3</v>
      </c>
      <c r="C359" s="37">
        <v>29858.799999999999</v>
      </c>
      <c r="D359" s="38">
        <f t="shared" si="20"/>
        <v>-5.1397479032002352E-3</v>
      </c>
      <c r="E359" s="38">
        <f t="shared" si="21"/>
        <v>2.2530763508553167E-3</v>
      </c>
      <c r="H359" s="35">
        <v>44686</v>
      </c>
      <c r="I359" s="37">
        <v>1585.25</v>
      </c>
      <c r="J359" s="37">
        <v>55702.23</v>
      </c>
      <c r="K359" s="38">
        <f t="shared" si="22"/>
        <v>-2.6721953072565918E-2</v>
      </c>
      <c r="L359" s="38">
        <f t="shared" si="23"/>
        <v>-1.5680928696127697E-2</v>
      </c>
    </row>
    <row r="360" spans="1:12">
      <c r="A360" s="35">
        <v>42860</v>
      </c>
      <c r="B360" s="37">
        <v>931.5</v>
      </c>
      <c r="C360" s="37">
        <v>29926.15</v>
      </c>
      <c r="D360" s="38">
        <f t="shared" si="20"/>
        <v>1.4864814585585768E-2</v>
      </c>
      <c r="E360" s="38">
        <f t="shared" si="21"/>
        <v>2.3722255930715131E-4</v>
      </c>
      <c r="H360" s="35">
        <v>44687</v>
      </c>
      <c r="I360" s="37">
        <v>1543.45</v>
      </c>
      <c r="J360" s="37">
        <v>54835.58</v>
      </c>
      <c r="K360" s="38">
        <f t="shared" si="22"/>
        <v>1.7182829256580118E-2</v>
      </c>
      <c r="L360" s="38">
        <f t="shared" si="23"/>
        <v>-6.6768616735877395E-3</v>
      </c>
    </row>
    <row r="361" spans="1:12">
      <c r="A361" s="35">
        <v>42863</v>
      </c>
      <c r="B361" s="37">
        <v>945.45</v>
      </c>
      <c r="C361" s="37">
        <v>29933.25</v>
      </c>
      <c r="D361" s="38">
        <f t="shared" si="20"/>
        <v>1.3212485076168371E-3</v>
      </c>
      <c r="E361" s="38">
        <f t="shared" si="21"/>
        <v>1.046578410732917E-2</v>
      </c>
      <c r="H361" s="35">
        <v>44690</v>
      </c>
      <c r="I361" s="37">
        <v>1570.2</v>
      </c>
      <c r="J361" s="37">
        <v>54470.67</v>
      </c>
      <c r="K361" s="38">
        <f t="shared" si="22"/>
        <v>-1.0628181227094814E-2</v>
      </c>
      <c r="L361" s="38">
        <f t="shared" si="23"/>
        <v>-1.9445863509594571E-3</v>
      </c>
    </row>
    <row r="362" spans="1:12">
      <c r="A362" s="35">
        <v>42864</v>
      </c>
      <c r="B362" s="37">
        <v>946.7</v>
      </c>
      <c r="C362" s="37">
        <v>30248.17</v>
      </c>
      <c r="D362" s="38">
        <f t="shared" si="20"/>
        <v>-3.7039039116843514E-3</v>
      </c>
      <c r="E362" s="38">
        <f t="shared" si="21"/>
        <v>9.2893867170810331E-5</v>
      </c>
      <c r="H362" s="35">
        <v>44691</v>
      </c>
      <c r="I362" s="37">
        <v>1553.6</v>
      </c>
      <c r="J362" s="37">
        <v>54364.85</v>
      </c>
      <c r="K362" s="38">
        <f t="shared" si="22"/>
        <v>-1.713882512552253E-2</v>
      </c>
      <c r="L362" s="38">
        <f t="shared" si="23"/>
        <v>-5.0982450835856874E-3</v>
      </c>
    </row>
    <row r="363" spans="1:12">
      <c r="A363" s="35">
        <v>42865</v>
      </c>
      <c r="B363" s="37">
        <v>943.2</v>
      </c>
      <c r="C363" s="37">
        <v>30250.98</v>
      </c>
      <c r="D363" s="38">
        <f t="shared" si="20"/>
        <v>6.8890599158153527E-4</v>
      </c>
      <c r="E363" s="38">
        <f t="shared" si="21"/>
        <v>-2.0791173742271082E-3</v>
      </c>
      <c r="H363" s="35">
        <v>44692</v>
      </c>
      <c r="I363" s="37">
        <v>1527.2</v>
      </c>
      <c r="J363" s="37">
        <v>54088.39</v>
      </c>
      <c r="K363" s="38">
        <f t="shared" si="22"/>
        <v>-1.1823154735002389E-2</v>
      </c>
      <c r="L363" s="38">
        <f t="shared" si="23"/>
        <v>-2.1643417589470547E-2</v>
      </c>
    </row>
    <row r="364" spans="1:12">
      <c r="A364" s="35">
        <v>42866</v>
      </c>
      <c r="B364" s="37">
        <v>943.85</v>
      </c>
      <c r="C364" s="37">
        <v>30188.15</v>
      </c>
      <c r="D364" s="38">
        <f t="shared" si="20"/>
        <v>2.1020299575179705E-2</v>
      </c>
      <c r="E364" s="38">
        <f t="shared" si="21"/>
        <v>4.4280159020729975E-3</v>
      </c>
      <c r="H364" s="35">
        <v>44693</v>
      </c>
      <c r="I364" s="37">
        <v>1509.25</v>
      </c>
      <c r="J364" s="37">
        <v>52930.31</v>
      </c>
      <c r="K364" s="38">
        <f t="shared" si="22"/>
        <v>-3.9168874348747013E-3</v>
      </c>
      <c r="L364" s="38">
        <f t="shared" si="23"/>
        <v>-2.5857925667875305E-3</v>
      </c>
    </row>
    <row r="365" spans="1:12">
      <c r="A365" s="35">
        <v>42867</v>
      </c>
      <c r="B365" s="37">
        <v>963.9</v>
      </c>
      <c r="C365" s="37">
        <v>30322.12</v>
      </c>
      <c r="D365" s="38">
        <f t="shared" si="20"/>
        <v>-1.2475042386236939E-2</v>
      </c>
      <c r="E365" s="38">
        <f t="shared" si="21"/>
        <v>8.5537406033036317E-3</v>
      </c>
      <c r="H365" s="35">
        <v>44694</v>
      </c>
      <c r="I365" s="37">
        <v>1503.35</v>
      </c>
      <c r="J365" s="37">
        <v>52793.62</v>
      </c>
      <c r="K365" s="38">
        <f t="shared" si="22"/>
        <v>-9.4233137328640394E-3</v>
      </c>
      <c r="L365" s="38">
        <f t="shared" si="23"/>
        <v>3.4078567153864262E-3</v>
      </c>
    </row>
    <row r="366" spans="1:12">
      <c r="A366" s="35">
        <v>42870</v>
      </c>
      <c r="B366" s="37">
        <v>951.95</v>
      </c>
      <c r="C366" s="37">
        <v>30582.6</v>
      </c>
      <c r="D366" s="38">
        <f t="shared" si="20"/>
        <v>4.7682764766219469E-3</v>
      </c>
      <c r="E366" s="38">
        <f t="shared" si="21"/>
        <v>2.4875354446599598E-3</v>
      </c>
      <c r="H366" s="35">
        <v>44697</v>
      </c>
      <c r="I366" s="37">
        <v>1489.25</v>
      </c>
      <c r="J366" s="37">
        <v>52973.84</v>
      </c>
      <c r="K366" s="38">
        <f t="shared" si="22"/>
        <v>1.9549144790876223E-2</v>
      </c>
      <c r="L366" s="38">
        <f t="shared" si="23"/>
        <v>2.5066109639218341E-2</v>
      </c>
    </row>
    <row r="367" spans="1:12">
      <c r="A367" s="35">
        <v>42871</v>
      </c>
      <c r="B367" s="37">
        <v>956.5</v>
      </c>
      <c r="C367" s="37">
        <v>30658.77</v>
      </c>
      <c r="D367" s="38">
        <f t="shared" si="20"/>
        <v>-4.505692119889093E-3</v>
      </c>
      <c r="E367" s="38">
        <f t="shared" si="21"/>
        <v>-7.3323932507448905E-3</v>
      </c>
      <c r="H367" s="35">
        <v>44698</v>
      </c>
      <c r="I367" s="37">
        <v>1518.65</v>
      </c>
      <c r="J367" s="37">
        <v>54318.47</v>
      </c>
      <c r="K367" s="38">
        <f t="shared" si="22"/>
        <v>-5.910826725982741E-3</v>
      </c>
      <c r="L367" s="38">
        <f t="shared" si="23"/>
        <v>-2.0260402960952917E-3</v>
      </c>
    </row>
    <row r="368" spans="1:12">
      <c r="A368" s="35">
        <v>42872</v>
      </c>
      <c r="B368" s="37">
        <v>952.2</v>
      </c>
      <c r="C368" s="37">
        <v>30434.79</v>
      </c>
      <c r="D368" s="38">
        <f t="shared" si="20"/>
        <v>9.9274549580177923E-3</v>
      </c>
      <c r="E368" s="38">
        <f t="shared" si="21"/>
        <v>9.8949576142023476E-4</v>
      </c>
      <c r="H368" s="35">
        <v>44699</v>
      </c>
      <c r="I368" s="37">
        <v>1509.7</v>
      </c>
      <c r="J368" s="37">
        <v>54208.53</v>
      </c>
      <c r="K368" s="38">
        <f t="shared" si="22"/>
        <v>-5.6196472747945467E-2</v>
      </c>
      <c r="L368" s="38">
        <f t="shared" si="23"/>
        <v>-2.6474255344111325E-2</v>
      </c>
    </row>
    <row r="369" spans="1:12">
      <c r="A369" s="35">
        <v>42873</v>
      </c>
      <c r="B369" s="37">
        <v>961.7</v>
      </c>
      <c r="C369" s="37">
        <v>30464.92</v>
      </c>
      <c r="D369" s="38">
        <f t="shared" si="20"/>
        <v>-3.9591633295901329E-3</v>
      </c>
      <c r="E369" s="38">
        <f t="shared" si="21"/>
        <v>3.4750081212484591E-3</v>
      </c>
      <c r="H369" s="35">
        <v>44700</v>
      </c>
      <c r="I369" s="37">
        <v>1427.2</v>
      </c>
      <c r="J369" s="37">
        <v>52792.23</v>
      </c>
      <c r="K369" s="38">
        <f t="shared" si="22"/>
        <v>1.9635001359933037E-2</v>
      </c>
      <c r="L369" s="38">
        <f t="shared" si="23"/>
        <v>2.8646091769246346E-2</v>
      </c>
    </row>
    <row r="370" spans="1:12">
      <c r="A370" s="35">
        <v>42874</v>
      </c>
      <c r="B370" s="37">
        <v>957.9</v>
      </c>
      <c r="C370" s="37">
        <v>30570.97</v>
      </c>
      <c r="D370" s="38">
        <f t="shared" si="20"/>
        <v>1.9294454920610324E-3</v>
      </c>
      <c r="E370" s="38">
        <f t="shared" si="21"/>
        <v>-6.7520033752094836E-3</v>
      </c>
      <c r="H370" s="35">
        <v>44701</v>
      </c>
      <c r="I370" s="37">
        <v>1455.5</v>
      </c>
      <c r="J370" s="37">
        <v>54326.39</v>
      </c>
      <c r="K370" s="38">
        <f t="shared" si="22"/>
        <v>9.0281715741389011E-3</v>
      </c>
      <c r="L370" s="38">
        <f t="shared" si="23"/>
        <v>-6.9566821384974985E-4</v>
      </c>
    </row>
    <row r="371" spans="1:12">
      <c r="A371" s="35">
        <v>42877</v>
      </c>
      <c r="B371" s="37">
        <v>959.75</v>
      </c>
      <c r="C371" s="37">
        <v>30365.25</v>
      </c>
      <c r="D371" s="38">
        <f t="shared" si="20"/>
        <v>-2.4515569224984762E-3</v>
      </c>
      <c r="E371" s="38">
        <f t="shared" si="21"/>
        <v>-2.0970260156902357E-3</v>
      </c>
      <c r="H371" s="35">
        <v>44704</v>
      </c>
      <c r="I371" s="37">
        <v>1468.7</v>
      </c>
      <c r="J371" s="37">
        <v>54288.61</v>
      </c>
      <c r="K371" s="38">
        <f t="shared" si="22"/>
        <v>-1.8901555885878513E-2</v>
      </c>
      <c r="L371" s="38">
        <f t="shared" si="23"/>
        <v>-4.3566128067359048E-3</v>
      </c>
    </row>
    <row r="372" spans="1:12">
      <c r="A372" s="35">
        <v>42878</v>
      </c>
      <c r="B372" s="37">
        <v>957.4</v>
      </c>
      <c r="C372" s="37">
        <v>30301.64</v>
      </c>
      <c r="D372" s="38">
        <f t="shared" si="20"/>
        <v>-4.0294149078811715E-3</v>
      </c>
      <c r="E372" s="38">
        <f t="shared" si="21"/>
        <v>1.468913339866953E-2</v>
      </c>
      <c r="H372" s="35">
        <v>44705</v>
      </c>
      <c r="I372" s="37">
        <v>1441.2</v>
      </c>
      <c r="J372" s="37">
        <v>54052.61</v>
      </c>
      <c r="K372" s="38">
        <f t="shared" si="22"/>
        <v>-2.0858555116351346E-2</v>
      </c>
      <c r="L372" s="38">
        <f t="shared" si="23"/>
        <v>-5.6279320698662885E-3</v>
      </c>
    </row>
    <row r="373" spans="1:12">
      <c r="A373" s="35">
        <v>42879</v>
      </c>
      <c r="B373" s="37">
        <v>953.55</v>
      </c>
      <c r="C373" s="37">
        <v>30750.03</v>
      </c>
      <c r="D373" s="38">
        <f t="shared" si="20"/>
        <v>2.929760812471709E-2</v>
      </c>
      <c r="E373" s="38">
        <f t="shared" si="21"/>
        <v>9.0058208243581073E-3</v>
      </c>
      <c r="H373" s="35">
        <v>44706</v>
      </c>
      <c r="I373" s="37">
        <v>1411.45</v>
      </c>
      <c r="J373" s="37">
        <v>53749.26</v>
      </c>
      <c r="K373" s="38">
        <f t="shared" si="22"/>
        <v>8.7118089121859844E-3</v>
      </c>
      <c r="L373" s="38">
        <f t="shared" si="23"/>
        <v>9.3197278067077872E-3</v>
      </c>
    </row>
    <row r="374" spans="1:12">
      <c r="A374" s="35">
        <v>42880</v>
      </c>
      <c r="B374" s="37">
        <v>981.9</v>
      </c>
      <c r="C374" s="37">
        <v>31028.21</v>
      </c>
      <c r="D374" s="38">
        <f t="shared" si="20"/>
        <v>1.4458570463938463E-2</v>
      </c>
      <c r="E374" s="38">
        <f t="shared" si="21"/>
        <v>2.6093762718582113E-3</v>
      </c>
      <c r="H374" s="35">
        <v>44707</v>
      </c>
      <c r="I374" s="37">
        <v>1423.8</v>
      </c>
      <c r="J374" s="37">
        <v>54252.53</v>
      </c>
      <c r="K374" s="38">
        <f t="shared" si="22"/>
        <v>2.5689104405545036E-2</v>
      </c>
      <c r="L374" s="38">
        <f t="shared" si="23"/>
        <v>1.1584265071360044E-2</v>
      </c>
    </row>
    <row r="375" spans="1:12">
      <c r="A375" s="35">
        <v>42881</v>
      </c>
      <c r="B375" s="37">
        <v>996.2</v>
      </c>
      <c r="C375" s="37">
        <v>31109.279999999999</v>
      </c>
      <c r="D375" s="38">
        <f t="shared" si="20"/>
        <v>-1.100187731075427E-2</v>
      </c>
      <c r="E375" s="38">
        <f t="shared" si="21"/>
        <v>1.6097984034230046E-3</v>
      </c>
      <c r="H375" s="35">
        <v>44708</v>
      </c>
      <c r="I375" s="37">
        <v>1460.85</v>
      </c>
      <c r="J375" s="37">
        <v>54884.66</v>
      </c>
      <c r="K375" s="38">
        <f t="shared" si="22"/>
        <v>4.464668665893487E-2</v>
      </c>
      <c r="L375" s="38">
        <f t="shared" si="23"/>
        <v>1.8790846946595927E-2</v>
      </c>
    </row>
    <row r="376" spans="1:12">
      <c r="A376" s="35">
        <v>42884</v>
      </c>
      <c r="B376" s="37">
        <v>985.3</v>
      </c>
      <c r="C376" s="37">
        <v>31159.4</v>
      </c>
      <c r="D376" s="38">
        <f t="shared" si="20"/>
        <v>1.125279945093105E-2</v>
      </c>
      <c r="E376" s="38">
        <f t="shared" si="21"/>
        <v>-4.3656067923697744E-4</v>
      </c>
      <c r="H376" s="35">
        <v>44711</v>
      </c>
      <c r="I376" s="37">
        <v>1527.55</v>
      </c>
      <c r="J376" s="37">
        <v>55925.74</v>
      </c>
      <c r="K376" s="38">
        <f t="shared" si="22"/>
        <v>-1.5570164457935239E-2</v>
      </c>
      <c r="L376" s="38">
        <f t="shared" si="23"/>
        <v>-6.4458572940174919E-3</v>
      </c>
    </row>
    <row r="377" spans="1:12">
      <c r="A377" s="35">
        <v>42885</v>
      </c>
      <c r="B377" s="37">
        <v>996.45</v>
      </c>
      <c r="C377" s="37">
        <v>31145.8</v>
      </c>
      <c r="D377" s="38">
        <f t="shared" si="20"/>
        <v>-1.9763489118839635E-2</v>
      </c>
      <c r="E377" s="38">
        <f t="shared" si="21"/>
        <v>-2.636336926282006E-4</v>
      </c>
      <c r="H377" s="35">
        <v>44712</v>
      </c>
      <c r="I377" s="37">
        <v>1503.95</v>
      </c>
      <c r="J377" s="37">
        <v>55566.41</v>
      </c>
      <c r="K377" s="38">
        <f t="shared" si="22"/>
        <v>-1.6796412103594043E-2</v>
      </c>
      <c r="L377" s="38">
        <f t="shared" si="23"/>
        <v>-3.3392377215737232E-3</v>
      </c>
    </row>
    <row r="378" spans="1:12">
      <c r="A378" s="35">
        <v>42886</v>
      </c>
      <c r="B378" s="37">
        <v>976.95</v>
      </c>
      <c r="C378" s="37">
        <v>31137.59</v>
      </c>
      <c r="D378" s="38">
        <f t="shared" si="20"/>
        <v>-6.1605000008913384E-3</v>
      </c>
      <c r="E378" s="38">
        <f t="shared" si="21"/>
        <v>4.3486076095996364E-3</v>
      </c>
      <c r="H378" s="35">
        <v>44713</v>
      </c>
      <c r="I378" s="37">
        <v>1478.9</v>
      </c>
      <c r="J378" s="37">
        <v>55381.17</v>
      </c>
      <c r="K378" s="38">
        <f t="shared" si="22"/>
        <v>1.9419386199026594E-2</v>
      </c>
      <c r="L378" s="38">
        <f t="shared" si="23"/>
        <v>7.8587244227807888E-3</v>
      </c>
    </row>
    <row r="379" spans="1:12">
      <c r="A379" s="35">
        <v>42887</v>
      </c>
      <c r="B379" s="37">
        <v>970.95</v>
      </c>
      <c r="C379" s="37">
        <v>31273.29</v>
      </c>
      <c r="D379" s="38">
        <f t="shared" si="20"/>
        <v>-1.5460732826147185E-3</v>
      </c>
      <c r="E379" s="38">
        <f t="shared" si="21"/>
        <v>1.1568678808239856E-3</v>
      </c>
      <c r="H379" s="35">
        <v>44714</v>
      </c>
      <c r="I379" s="37">
        <v>1507.9</v>
      </c>
      <c r="J379" s="37">
        <v>55818.11</v>
      </c>
      <c r="K379" s="38">
        <f t="shared" si="22"/>
        <v>9.3073050498810976E-3</v>
      </c>
      <c r="L379" s="38">
        <f t="shared" si="23"/>
        <v>-8.760851029585529E-4</v>
      </c>
    </row>
    <row r="380" spans="1:12">
      <c r="A380" s="35">
        <v>42888</v>
      </c>
      <c r="B380" s="37">
        <v>969.45</v>
      </c>
      <c r="C380" s="37">
        <v>31309.49</v>
      </c>
      <c r="D380" s="38">
        <f t="shared" si="20"/>
        <v>-9.5873042801741457E-3</v>
      </c>
      <c r="E380" s="38">
        <f t="shared" si="21"/>
        <v>-3.8057615488852128E-3</v>
      </c>
      <c r="H380" s="35">
        <v>44715</v>
      </c>
      <c r="I380" s="37">
        <v>1522</v>
      </c>
      <c r="J380" s="37">
        <v>55769.23</v>
      </c>
      <c r="K380" s="38">
        <f t="shared" si="22"/>
        <v>5.4712079736241592E-3</v>
      </c>
      <c r="L380" s="38">
        <f t="shared" si="23"/>
        <v>-1.6853228305523723E-3</v>
      </c>
    </row>
    <row r="381" spans="1:12">
      <c r="A381" s="35">
        <v>42891</v>
      </c>
      <c r="B381" s="37">
        <v>960.2</v>
      </c>
      <c r="C381" s="37">
        <v>31190.560000000001</v>
      </c>
      <c r="D381" s="38">
        <f t="shared" si="20"/>
        <v>1.9849593532569362E-2</v>
      </c>
      <c r="E381" s="38">
        <f t="shared" si="21"/>
        <v>2.5846195032314203E-3</v>
      </c>
      <c r="H381" s="35">
        <v>44718</v>
      </c>
      <c r="I381" s="37">
        <v>1530.35</v>
      </c>
      <c r="J381" s="37">
        <v>55675.32</v>
      </c>
      <c r="K381" s="38">
        <f t="shared" si="22"/>
        <v>-1.5209669025740271E-2</v>
      </c>
      <c r="L381" s="38">
        <f t="shared" si="23"/>
        <v>-1.0254041141391607E-2</v>
      </c>
    </row>
    <row r="382" spans="1:12">
      <c r="A382" s="35">
        <v>42892</v>
      </c>
      <c r="B382" s="37">
        <v>979.45</v>
      </c>
      <c r="C382" s="37">
        <v>31271.279999999999</v>
      </c>
      <c r="D382" s="38">
        <f t="shared" si="20"/>
        <v>-1.8496624600575013E-2</v>
      </c>
      <c r="E382" s="38">
        <f t="shared" si="21"/>
        <v>-1.853896144361801E-3</v>
      </c>
      <c r="H382" s="35">
        <v>44719</v>
      </c>
      <c r="I382" s="37">
        <v>1507.25</v>
      </c>
      <c r="J382" s="37">
        <v>55107.34</v>
      </c>
      <c r="K382" s="38">
        <f t="shared" si="22"/>
        <v>-4.8550241681146892E-3</v>
      </c>
      <c r="L382" s="38">
        <f t="shared" si="23"/>
        <v>-3.9063746410020464E-3</v>
      </c>
    </row>
    <row r="383" spans="1:12">
      <c r="A383" s="35">
        <v>42893</v>
      </c>
      <c r="B383" s="37">
        <v>961.5</v>
      </c>
      <c r="C383" s="37">
        <v>31213.360000000001</v>
      </c>
      <c r="D383" s="38">
        <f t="shared" si="20"/>
        <v>-5.4228936733374681E-3</v>
      </c>
      <c r="E383" s="38">
        <f t="shared" si="21"/>
        <v>1.559013444451424E-3</v>
      </c>
      <c r="H383" s="35">
        <v>44720</v>
      </c>
      <c r="I383" s="37">
        <v>1499.95</v>
      </c>
      <c r="J383" s="37">
        <v>54892.49</v>
      </c>
      <c r="K383" s="38">
        <f t="shared" si="22"/>
        <v>9.7196034783219813E-3</v>
      </c>
      <c r="L383" s="38">
        <f t="shared" si="23"/>
        <v>7.7630232572527243E-3</v>
      </c>
    </row>
    <row r="384" spans="1:12">
      <c r="A384" s="35">
        <v>42894</v>
      </c>
      <c r="B384" s="37">
        <v>956.3</v>
      </c>
      <c r="C384" s="37">
        <v>31262.06</v>
      </c>
      <c r="D384" s="38">
        <f t="shared" si="20"/>
        <v>-8.031750045354339E-3</v>
      </c>
      <c r="E384" s="38">
        <f t="shared" si="21"/>
        <v>-5.3356757741488481E-3</v>
      </c>
      <c r="H384" s="35">
        <v>44721</v>
      </c>
      <c r="I384" s="37">
        <v>1514.6</v>
      </c>
      <c r="J384" s="37">
        <v>55320.28</v>
      </c>
      <c r="K384" s="38">
        <f t="shared" si="22"/>
        <v>-2.5036822094364797E-2</v>
      </c>
      <c r="L384" s="38">
        <f t="shared" si="23"/>
        <v>-1.8551991561549186E-2</v>
      </c>
    </row>
    <row r="385" spans="1:12">
      <c r="A385" s="35">
        <v>42895</v>
      </c>
      <c r="B385" s="37">
        <v>948.65</v>
      </c>
      <c r="C385" s="37">
        <v>31095.7</v>
      </c>
      <c r="D385" s="38">
        <f t="shared" si="20"/>
        <v>1.5843882896089803E-2</v>
      </c>
      <c r="E385" s="38">
        <f t="shared" si="21"/>
        <v>2.5048557837264378E-4</v>
      </c>
      <c r="H385" s="35">
        <v>44722</v>
      </c>
      <c r="I385" s="37">
        <v>1477.15</v>
      </c>
      <c r="J385" s="37">
        <v>54303.44</v>
      </c>
      <c r="K385" s="38">
        <f t="shared" si="22"/>
        <v>-3.6504303037333E-2</v>
      </c>
      <c r="L385" s="38">
        <f t="shared" si="23"/>
        <v>-2.7192307186445636E-2</v>
      </c>
    </row>
    <row r="386" spans="1:12">
      <c r="A386" s="35">
        <v>42898</v>
      </c>
      <c r="B386" s="37">
        <v>963.8</v>
      </c>
      <c r="C386" s="37">
        <v>31103.49</v>
      </c>
      <c r="D386" s="38">
        <f t="shared" si="20"/>
        <v>-5.8272797572104787E-3</v>
      </c>
      <c r="E386" s="38">
        <f t="shared" si="21"/>
        <v>1.6839228256882301E-3</v>
      </c>
      <c r="H386" s="35">
        <v>44725</v>
      </c>
      <c r="I386" s="37">
        <v>1424.2</v>
      </c>
      <c r="J386" s="37">
        <v>52846.7</v>
      </c>
      <c r="K386" s="38">
        <f t="shared" si="22"/>
        <v>1.120645706446809E-2</v>
      </c>
      <c r="L386" s="38">
        <f t="shared" si="23"/>
        <v>-2.9018327782235967E-3</v>
      </c>
    </row>
    <row r="387" spans="1:12">
      <c r="A387" s="35">
        <v>42899</v>
      </c>
      <c r="B387" s="37">
        <v>958.2</v>
      </c>
      <c r="C387" s="37">
        <v>31155.91</v>
      </c>
      <c r="D387" s="38">
        <f t="shared" si="20"/>
        <v>4.6952031537866759E-4</v>
      </c>
      <c r="E387" s="38">
        <f t="shared" si="21"/>
        <v>-2.576825690805043E-3</v>
      </c>
      <c r="H387" s="35">
        <v>44726</v>
      </c>
      <c r="I387" s="37">
        <v>1440.25</v>
      </c>
      <c r="J387" s="37">
        <v>52693.57</v>
      </c>
      <c r="K387" s="38">
        <f t="shared" si="22"/>
        <v>-1.299854075296699E-2</v>
      </c>
      <c r="L387" s="38">
        <f t="shared" si="23"/>
        <v>-2.8921967771854602E-3</v>
      </c>
    </row>
    <row r="388" spans="1:12">
      <c r="A388" s="35">
        <v>42900</v>
      </c>
      <c r="B388" s="37">
        <v>958.65</v>
      </c>
      <c r="C388" s="37">
        <v>31075.73</v>
      </c>
      <c r="D388" s="38">
        <f t="shared" si="20"/>
        <v>-6.6459335644001834E-3</v>
      </c>
      <c r="E388" s="38">
        <f t="shared" si="21"/>
        <v>-6.2222237105502651E-4</v>
      </c>
      <c r="H388" s="35">
        <v>44727</v>
      </c>
      <c r="I388" s="37">
        <v>1421.65</v>
      </c>
      <c r="J388" s="37">
        <v>52541.39</v>
      </c>
      <c r="K388" s="38">
        <f t="shared" si="22"/>
        <v>-1.7383721424606809E-2</v>
      </c>
      <c r="L388" s="38">
        <f t="shared" si="23"/>
        <v>-2.010118318557735E-2</v>
      </c>
    </row>
    <row r="389" spans="1:12">
      <c r="A389" s="35">
        <v>42901</v>
      </c>
      <c r="B389" s="37">
        <v>952.3</v>
      </c>
      <c r="C389" s="37">
        <v>31056.400000000001</v>
      </c>
      <c r="D389" s="38">
        <f t="shared" ref="D389:D452" si="24">LN(B390/B389)</f>
        <v>-1.2468462458915162E-2</v>
      </c>
      <c r="E389" s="38">
        <f t="shared" ref="E389:E452" si="25">LN(C390/C389)</f>
        <v>8.1827715027169255E-3</v>
      </c>
      <c r="H389" s="35">
        <v>44728</v>
      </c>
      <c r="I389" s="37">
        <v>1397.15</v>
      </c>
      <c r="J389" s="37">
        <v>51495.79</v>
      </c>
      <c r="K389" s="38">
        <f t="shared" ref="K389:K452" si="26">LN(I390/I389)</f>
        <v>-6.8227785494814454E-3</v>
      </c>
      <c r="L389" s="38">
        <f t="shared" ref="L389:L452" si="27">LN(J390/J389)</f>
        <v>-2.6322198369969673E-3</v>
      </c>
    </row>
    <row r="390" spans="1:12">
      <c r="A390" s="35">
        <v>42902</v>
      </c>
      <c r="B390" s="37">
        <v>940.5</v>
      </c>
      <c r="C390" s="37">
        <v>31311.57</v>
      </c>
      <c r="D390" s="38">
        <f t="shared" si="24"/>
        <v>-1.1818635387931915E-2</v>
      </c>
      <c r="E390" s="38">
        <f t="shared" si="25"/>
        <v>-4.4849711097413056E-4</v>
      </c>
      <c r="H390" s="35">
        <v>44729</v>
      </c>
      <c r="I390" s="37">
        <v>1387.65</v>
      </c>
      <c r="J390" s="37">
        <v>51360.42</v>
      </c>
      <c r="K390" s="38">
        <f t="shared" si="26"/>
        <v>1.9341168137195934E-2</v>
      </c>
      <c r="L390" s="38">
        <f t="shared" si="27"/>
        <v>4.6119742278640675E-3</v>
      </c>
    </row>
    <row r="391" spans="1:12">
      <c r="A391" s="35">
        <v>42905</v>
      </c>
      <c r="B391" s="37">
        <v>929.45</v>
      </c>
      <c r="C391" s="37">
        <v>31297.53</v>
      </c>
      <c r="D391" s="38">
        <f t="shared" si="24"/>
        <v>1.5321265939134002E-2</v>
      </c>
      <c r="E391" s="38">
        <f t="shared" si="25"/>
        <v>-4.4390350094403424E-4</v>
      </c>
      <c r="H391" s="35">
        <v>44732</v>
      </c>
      <c r="I391" s="37">
        <v>1414.75</v>
      </c>
      <c r="J391" s="37">
        <v>51597.84</v>
      </c>
      <c r="K391" s="38">
        <f t="shared" si="26"/>
        <v>2.4610719391986891E-2</v>
      </c>
      <c r="L391" s="38">
        <f t="shared" si="27"/>
        <v>1.7944029096928767E-2</v>
      </c>
    </row>
    <row r="392" spans="1:12">
      <c r="A392" s="35">
        <v>42906</v>
      </c>
      <c r="B392" s="37">
        <v>943.8</v>
      </c>
      <c r="C392" s="37">
        <v>31283.64</v>
      </c>
      <c r="D392" s="38">
        <f t="shared" si="24"/>
        <v>1.5891934876514747E-4</v>
      </c>
      <c r="E392" s="38">
        <f t="shared" si="25"/>
        <v>2.2692993619667851E-4</v>
      </c>
      <c r="H392" s="35">
        <v>44733</v>
      </c>
      <c r="I392" s="37">
        <v>1450</v>
      </c>
      <c r="J392" s="37">
        <v>52532.07</v>
      </c>
      <c r="K392" s="38">
        <f t="shared" si="26"/>
        <v>-8.7624160138147656E-3</v>
      </c>
      <c r="L392" s="38">
        <f t="shared" si="27"/>
        <v>-1.3598843452667111E-2</v>
      </c>
    </row>
    <row r="393" spans="1:12">
      <c r="A393" s="35">
        <v>42907</v>
      </c>
      <c r="B393" s="37">
        <v>943.95</v>
      </c>
      <c r="C393" s="37">
        <v>31290.74</v>
      </c>
      <c r="D393" s="38">
        <f t="shared" si="24"/>
        <v>-3.874225358021152E-3</v>
      </c>
      <c r="E393" s="38">
        <f t="shared" si="25"/>
        <v>-4.8865247136378812E-3</v>
      </c>
      <c r="H393" s="35">
        <v>44734</v>
      </c>
      <c r="I393" s="37">
        <v>1437.35</v>
      </c>
      <c r="J393" s="37">
        <v>51822.53</v>
      </c>
      <c r="K393" s="38">
        <f t="shared" si="26"/>
        <v>1.0966880946241599E-2</v>
      </c>
      <c r="L393" s="38">
        <f t="shared" si="27"/>
        <v>8.515710048782656E-3</v>
      </c>
    </row>
    <row r="394" spans="1:12">
      <c r="A394" s="35">
        <v>42908</v>
      </c>
      <c r="B394" s="37">
        <v>940.3</v>
      </c>
      <c r="C394" s="37">
        <v>31138.21</v>
      </c>
      <c r="D394" s="38">
        <f t="shared" si="24"/>
        <v>3.2383963745908247E-3</v>
      </c>
      <c r="E394" s="38">
        <f t="shared" si="25"/>
        <v>-5.7961598396998803E-3</v>
      </c>
      <c r="H394" s="35">
        <v>44735</v>
      </c>
      <c r="I394" s="37">
        <v>1453.2</v>
      </c>
      <c r="J394" s="37">
        <v>52265.72</v>
      </c>
      <c r="K394" s="38">
        <f t="shared" si="26"/>
        <v>-7.7023090394836881E-3</v>
      </c>
      <c r="L394" s="38">
        <f t="shared" si="27"/>
        <v>8.8055376059626139E-3</v>
      </c>
    </row>
    <row r="395" spans="1:12">
      <c r="A395" s="35">
        <v>42909</v>
      </c>
      <c r="B395" s="37">
        <v>943.35</v>
      </c>
      <c r="C395" s="37">
        <v>30958.25</v>
      </c>
      <c r="D395" s="38">
        <f t="shared" si="24"/>
        <v>-1.8185236661600313E-2</v>
      </c>
      <c r="E395" s="38">
        <f t="shared" si="25"/>
        <v>-4.0111672378695456E-3</v>
      </c>
      <c r="H395" s="35">
        <v>44736</v>
      </c>
      <c r="I395" s="37">
        <v>1442.05</v>
      </c>
      <c r="J395" s="37">
        <v>52727.98</v>
      </c>
      <c r="K395" s="38">
        <f t="shared" si="26"/>
        <v>2.2287146172775558E-2</v>
      </c>
      <c r="L395" s="38">
        <f t="shared" si="27"/>
        <v>8.1840673642607394E-3</v>
      </c>
    </row>
    <row r="396" spans="1:12">
      <c r="A396" s="35">
        <v>42913</v>
      </c>
      <c r="B396" s="37">
        <v>926.35</v>
      </c>
      <c r="C396" s="37">
        <v>30834.32</v>
      </c>
      <c r="D396" s="38">
        <f t="shared" si="24"/>
        <v>-2.1072545957961045E-3</v>
      </c>
      <c r="E396" s="38">
        <f t="shared" si="25"/>
        <v>7.5212543810253263E-4</v>
      </c>
      <c r="H396" s="35">
        <v>44739</v>
      </c>
      <c r="I396" s="37">
        <v>1474.55</v>
      </c>
      <c r="J396" s="37">
        <v>53161.279999999999</v>
      </c>
      <c r="K396" s="38">
        <f t="shared" si="26"/>
        <v>3.8581339315467943E-3</v>
      </c>
      <c r="L396" s="38">
        <f t="shared" si="27"/>
        <v>3.0412249844677803E-4</v>
      </c>
    </row>
    <row r="397" spans="1:12">
      <c r="A397" s="35">
        <v>42914</v>
      </c>
      <c r="B397" s="37">
        <v>924.4</v>
      </c>
      <c r="C397" s="37">
        <v>30857.52</v>
      </c>
      <c r="D397" s="38">
        <f t="shared" si="24"/>
        <v>5.5019287612730035E-3</v>
      </c>
      <c r="E397" s="38">
        <f t="shared" si="25"/>
        <v>2.0748114449472541E-3</v>
      </c>
      <c r="H397" s="35">
        <v>44740</v>
      </c>
      <c r="I397" s="37">
        <v>1480.25</v>
      </c>
      <c r="J397" s="37">
        <v>53177.45</v>
      </c>
      <c r="K397" s="38">
        <f t="shared" si="26"/>
        <v>-1.1243515921984307E-2</v>
      </c>
      <c r="L397" s="38">
        <f t="shared" si="27"/>
        <v>-2.8337822606671194E-3</v>
      </c>
    </row>
    <row r="398" spans="1:12">
      <c r="A398" s="35">
        <v>42915</v>
      </c>
      <c r="B398" s="37">
        <v>929.5</v>
      </c>
      <c r="C398" s="37">
        <v>30921.61</v>
      </c>
      <c r="D398" s="38">
        <f t="shared" si="24"/>
        <v>6.5946677622987339E-3</v>
      </c>
      <c r="E398" s="38">
        <f t="shared" si="25"/>
        <v>9.6555113339472174E-3</v>
      </c>
      <c r="H398" s="35">
        <v>44741</v>
      </c>
      <c r="I398" s="37">
        <v>1463.7</v>
      </c>
      <c r="J398" s="37">
        <v>53026.97</v>
      </c>
      <c r="K398" s="38">
        <f t="shared" si="26"/>
        <v>-1.7094605687737138E-3</v>
      </c>
      <c r="L398" s="38">
        <f t="shared" si="27"/>
        <v>-1.5144384192365874E-4</v>
      </c>
    </row>
    <row r="399" spans="1:12">
      <c r="A399" s="35">
        <v>42916</v>
      </c>
      <c r="B399" s="37">
        <v>935.65</v>
      </c>
      <c r="C399" s="37">
        <v>31221.62</v>
      </c>
      <c r="D399" s="38">
        <f t="shared" si="24"/>
        <v>1.6693109074383632E-2</v>
      </c>
      <c r="E399" s="38">
        <f t="shared" si="25"/>
        <v>-3.7897590785104557E-4</v>
      </c>
      <c r="H399" s="35">
        <v>44742</v>
      </c>
      <c r="I399" s="37">
        <v>1461.2</v>
      </c>
      <c r="J399" s="37">
        <v>53018.94</v>
      </c>
      <c r="K399" s="38">
        <f t="shared" si="26"/>
        <v>1.1465635514138402E-2</v>
      </c>
      <c r="L399" s="38">
        <f t="shared" si="27"/>
        <v>-2.0959750937593878E-3</v>
      </c>
    </row>
    <row r="400" spans="1:12">
      <c r="A400" s="35">
        <v>42919</v>
      </c>
      <c r="B400" s="37">
        <v>951.4</v>
      </c>
      <c r="C400" s="37">
        <v>31209.79</v>
      </c>
      <c r="D400" s="38">
        <f t="shared" si="24"/>
        <v>9.5193982104301873E-3</v>
      </c>
      <c r="E400" s="38">
        <f t="shared" si="25"/>
        <v>1.1454584406644112E-3</v>
      </c>
      <c r="H400" s="35">
        <v>44743</v>
      </c>
      <c r="I400" s="37">
        <v>1478.05</v>
      </c>
      <c r="J400" s="37">
        <v>52907.93</v>
      </c>
      <c r="K400" s="38">
        <f t="shared" si="26"/>
        <v>6.5412600896954873E-3</v>
      </c>
      <c r="L400" s="38">
        <f t="shared" si="27"/>
        <v>6.1585211797859241E-3</v>
      </c>
    </row>
    <row r="401" spans="1:12">
      <c r="A401" s="35">
        <v>42920</v>
      </c>
      <c r="B401" s="37">
        <v>960.5</v>
      </c>
      <c r="C401" s="37">
        <v>31245.56</v>
      </c>
      <c r="D401" s="38">
        <f t="shared" si="24"/>
        <v>-9.8873448097613909E-3</v>
      </c>
      <c r="E401" s="38">
        <f t="shared" si="25"/>
        <v>3.9536966837324713E-3</v>
      </c>
      <c r="H401" s="35">
        <v>44746</v>
      </c>
      <c r="I401" s="37">
        <v>1487.75</v>
      </c>
      <c r="J401" s="37">
        <v>53234.77</v>
      </c>
      <c r="K401" s="38">
        <f t="shared" si="26"/>
        <v>-7.6920861035214248E-3</v>
      </c>
      <c r="L401" s="38">
        <f t="shared" si="27"/>
        <v>-1.8881425329793815E-3</v>
      </c>
    </row>
    <row r="402" spans="1:12">
      <c r="A402" s="35">
        <v>42921</v>
      </c>
      <c r="B402" s="37">
        <v>951.05</v>
      </c>
      <c r="C402" s="37">
        <v>31369.34</v>
      </c>
      <c r="D402" s="38">
        <f t="shared" si="24"/>
        <v>-3.7397004422686057E-3</v>
      </c>
      <c r="E402" s="38">
        <f t="shared" si="25"/>
        <v>-2.7769820568927697E-4</v>
      </c>
      <c r="H402" s="35">
        <v>44747</v>
      </c>
      <c r="I402" s="37">
        <v>1476.35</v>
      </c>
      <c r="J402" s="37">
        <v>53134.35</v>
      </c>
      <c r="K402" s="38">
        <f t="shared" si="26"/>
        <v>1.0511163716381153E-2</v>
      </c>
      <c r="L402" s="38">
        <f t="shared" si="27"/>
        <v>1.1538101598165861E-2</v>
      </c>
    </row>
    <row r="403" spans="1:12">
      <c r="A403" s="35">
        <v>42922</v>
      </c>
      <c r="B403" s="37">
        <v>947.5</v>
      </c>
      <c r="C403" s="37">
        <v>31360.63</v>
      </c>
      <c r="D403" s="38">
        <f t="shared" si="24"/>
        <v>-1.2211460478989359E-2</v>
      </c>
      <c r="E403" s="38">
        <f t="shared" si="25"/>
        <v>1.1256650041799911E-2</v>
      </c>
      <c r="H403" s="35">
        <v>44748</v>
      </c>
      <c r="I403" s="37">
        <v>1491.95</v>
      </c>
      <c r="J403" s="37">
        <v>53750.97</v>
      </c>
      <c r="K403" s="38">
        <f t="shared" si="26"/>
        <v>4.5474382039026829E-3</v>
      </c>
      <c r="L403" s="38">
        <f t="shared" si="27"/>
        <v>7.9216991238123917E-3</v>
      </c>
    </row>
    <row r="404" spans="1:12">
      <c r="A404" s="35">
        <v>42923</v>
      </c>
      <c r="B404" s="37">
        <v>936</v>
      </c>
      <c r="C404" s="37">
        <v>31715.64</v>
      </c>
      <c r="D404" s="38">
        <f t="shared" si="24"/>
        <v>2.4327734690105029E-2</v>
      </c>
      <c r="E404" s="38">
        <f t="shared" si="25"/>
        <v>9.9113298701658872E-4</v>
      </c>
      <c r="H404" s="35">
        <v>44749</v>
      </c>
      <c r="I404" s="37">
        <v>1498.75</v>
      </c>
      <c r="J404" s="37">
        <v>54178.46</v>
      </c>
      <c r="K404" s="38">
        <f t="shared" si="26"/>
        <v>1.0123727655670002E-2</v>
      </c>
      <c r="L404" s="38">
        <f t="shared" si="27"/>
        <v>5.5840226525243741E-3</v>
      </c>
    </row>
    <row r="405" spans="1:12">
      <c r="A405" s="35">
        <v>42926</v>
      </c>
      <c r="B405" s="37">
        <v>959.05</v>
      </c>
      <c r="C405" s="37">
        <v>31747.09</v>
      </c>
      <c r="D405" s="38">
        <f t="shared" si="24"/>
        <v>1.7314436214039677E-2</v>
      </c>
      <c r="E405" s="38">
        <f t="shared" si="25"/>
        <v>1.8167830322997158E-3</v>
      </c>
      <c r="H405" s="35">
        <v>44750</v>
      </c>
      <c r="I405" s="37">
        <v>1514</v>
      </c>
      <c r="J405" s="37">
        <v>54481.84</v>
      </c>
      <c r="K405" s="38">
        <f t="shared" si="26"/>
        <v>-2.7589804078525983E-2</v>
      </c>
      <c r="L405" s="38">
        <f t="shared" si="27"/>
        <v>-1.5909689389841108E-3</v>
      </c>
    </row>
    <row r="406" spans="1:12">
      <c r="A406" s="35">
        <v>42927</v>
      </c>
      <c r="B406" s="37">
        <v>975.8</v>
      </c>
      <c r="C406" s="37">
        <v>31804.82</v>
      </c>
      <c r="D406" s="38">
        <f t="shared" si="24"/>
        <v>-2.05170363313634E-3</v>
      </c>
      <c r="E406" s="38">
        <f t="shared" si="25"/>
        <v>7.2854954453114374E-3</v>
      </c>
      <c r="H406" s="35">
        <v>44753</v>
      </c>
      <c r="I406" s="37">
        <v>1472.8</v>
      </c>
      <c r="J406" s="37">
        <v>54395.23</v>
      </c>
      <c r="K406" s="38">
        <f t="shared" si="26"/>
        <v>-2.356444692726543E-2</v>
      </c>
      <c r="L406" s="38">
        <f t="shared" si="27"/>
        <v>-9.3944421466369485E-3</v>
      </c>
    </row>
    <row r="407" spans="1:12">
      <c r="A407" s="35">
        <v>42928</v>
      </c>
      <c r="B407" s="37">
        <v>973.8</v>
      </c>
      <c r="C407" s="37">
        <v>32037.38</v>
      </c>
      <c r="D407" s="38">
        <f t="shared" si="24"/>
        <v>2.563972483025213E-3</v>
      </c>
      <c r="E407" s="38">
        <f t="shared" si="25"/>
        <v>-5.1921591759240555E-4</v>
      </c>
      <c r="H407" s="35">
        <v>44754</v>
      </c>
      <c r="I407" s="37">
        <v>1438.5</v>
      </c>
      <c r="J407" s="37">
        <v>53886.61</v>
      </c>
      <c r="K407" s="38">
        <f t="shared" si="26"/>
        <v>4.4738148801397471E-3</v>
      </c>
      <c r="L407" s="38">
        <f t="shared" si="27"/>
        <v>-6.9359191342613204E-3</v>
      </c>
    </row>
    <row r="408" spans="1:12">
      <c r="A408" s="35">
        <v>42929</v>
      </c>
      <c r="B408" s="37">
        <v>976.3</v>
      </c>
      <c r="C408" s="37">
        <v>32020.75</v>
      </c>
      <c r="D408" s="38">
        <f t="shared" si="24"/>
        <v>-4.3626727649770068E-3</v>
      </c>
      <c r="E408" s="38">
        <f t="shared" si="25"/>
        <v>1.6859213988118132E-3</v>
      </c>
      <c r="H408" s="35">
        <v>44755</v>
      </c>
      <c r="I408" s="37">
        <v>1444.95</v>
      </c>
      <c r="J408" s="37">
        <v>53514.15</v>
      </c>
      <c r="K408" s="38">
        <f t="shared" si="26"/>
        <v>-1.1029843383993336E-2</v>
      </c>
      <c r="L408" s="38">
        <f t="shared" si="27"/>
        <v>-1.8329702140216432E-3</v>
      </c>
    </row>
    <row r="409" spans="1:12">
      <c r="A409" s="35">
        <v>42930</v>
      </c>
      <c r="B409" s="37">
        <v>972.05</v>
      </c>
      <c r="C409" s="37">
        <v>32074.78</v>
      </c>
      <c r="D409" s="38">
        <f t="shared" si="24"/>
        <v>1.3589664539942835E-2</v>
      </c>
      <c r="E409" s="38">
        <f t="shared" si="25"/>
        <v>-1.140674305567933E-2</v>
      </c>
      <c r="H409" s="35">
        <v>44756</v>
      </c>
      <c r="I409" s="37">
        <v>1429.1</v>
      </c>
      <c r="J409" s="37">
        <v>53416.15</v>
      </c>
      <c r="K409" s="38">
        <f t="shared" si="26"/>
        <v>9.7915800241594564E-4</v>
      </c>
      <c r="L409" s="38">
        <f t="shared" si="27"/>
        <v>6.4310703392155581E-3</v>
      </c>
    </row>
    <row r="410" spans="1:12">
      <c r="A410" s="35">
        <v>42933</v>
      </c>
      <c r="B410" s="37">
        <v>985.35</v>
      </c>
      <c r="C410" s="37">
        <v>31710.99</v>
      </c>
      <c r="D410" s="38">
        <f t="shared" si="24"/>
        <v>5.0742103271049504E-5</v>
      </c>
      <c r="E410" s="38">
        <f t="shared" si="25"/>
        <v>7.6763074466794125E-3</v>
      </c>
      <c r="H410" s="35">
        <v>44757</v>
      </c>
      <c r="I410" s="37">
        <v>1430.5</v>
      </c>
      <c r="J410" s="37">
        <v>53760.78</v>
      </c>
      <c r="K410" s="38">
        <f t="shared" si="26"/>
        <v>4.0785642933294584E-2</v>
      </c>
      <c r="L410" s="38">
        <f t="shared" si="27"/>
        <v>1.4044494744477897E-2</v>
      </c>
    </row>
    <row r="411" spans="1:12">
      <c r="A411" s="35">
        <v>42934</v>
      </c>
      <c r="B411" s="37">
        <v>985.4</v>
      </c>
      <c r="C411" s="37">
        <v>31955.35</v>
      </c>
      <c r="D411" s="38">
        <f t="shared" si="24"/>
        <v>-5.5971244680899541E-3</v>
      </c>
      <c r="E411" s="38">
        <f t="shared" si="25"/>
        <v>-1.5956846311104217E-3</v>
      </c>
      <c r="H411" s="35">
        <v>44760</v>
      </c>
      <c r="I411" s="37">
        <v>1490.05</v>
      </c>
      <c r="J411" s="37">
        <v>54521.15</v>
      </c>
      <c r="K411" s="38">
        <f t="shared" si="26"/>
        <v>-3.4622465214436803E-3</v>
      </c>
      <c r="L411" s="38">
        <f t="shared" si="27"/>
        <v>4.5104436229039795E-3</v>
      </c>
    </row>
    <row r="412" spans="1:12">
      <c r="A412" s="35">
        <v>42935</v>
      </c>
      <c r="B412" s="37">
        <v>979.9</v>
      </c>
      <c r="C412" s="37">
        <v>31904.400000000001</v>
      </c>
      <c r="D412" s="38">
        <f t="shared" si="24"/>
        <v>-1.1185913751006556E-2</v>
      </c>
      <c r="E412" s="38">
        <f t="shared" si="25"/>
        <v>3.8943766959695612E-3</v>
      </c>
      <c r="H412" s="35">
        <v>44761</v>
      </c>
      <c r="I412" s="37">
        <v>1484.9</v>
      </c>
      <c r="J412" s="37">
        <v>54767.62</v>
      </c>
      <c r="K412" s="38">
        <f t="shared" si="26"/>
        <v>2.0035005196502819E-2</v>
      </c>
      <c r="L412" s="38">
        <f t="shared" si="27"/>
        <v>1.1435864516165881E-2</v>
      </c>
    </row>
    <row r="413" spans="1:12">
      <c r="A413" s="35">
        <v>42936</v>
      </c>
      <c r="B413" s="37">
        <v>969</v>
      </c>
      <c r="C413" s="37">
        <v>32028.89</v>
      </c>
      <c r="D413" s="38">
        <f t="shared" si="24"/>
        <v>1.1185913751006435E-2</v>
      </c>
      <c r="E413" s="38">
        <f t="shared" si="25"/>
        <v>6.7516650159968059E-3</v>
      </c>
      <c r="H413" s="35">
        <v>44762</v>
      </c>
      <c r="I413" s="37">
        <v>1514.95</v>
      </c>
      <c r="J413" s="37">
        <v>55397.53</v>
      </c>
      <c r="K413" s="38">
        <f t="shared" si="26"/>
        <v>1.1746312627809069E-2</v>
      </c>
      <c r="L413" s="38">
        <f t="shared" si="27"/>
        <v>5.1210290428885946E-3</v>
      </c>
    </row>
    <row r="414" spans="1:12">
      <c r="A414" s="35">
        <v>42937</v>
      </c>
      <c r="B414" s="37">
        <v>979.9</v>
      </c>
      <c r="C414" s="37">
        <v>32245.87</v>
      </c>
      <c r="D414" s="38">
        <f t="shared" si="24"/>
        <v>1.1465804673160024E-2</v>
      </c>
      <c r="E414" s="38">
        <f t="shared" si="25"/>
        <v>-5.4595533766446213E-4</v>
      </c>
      <c r="H414" s="35">
        <v>44763</v>
      </c>
      <c r="I414" s="37">
        <v>1532.85</v>
      </c>
      <c r="J414" s="37">
        <v>55681.95</v>
      </c>
      <c r="K414" s="38">
        <f t="shared" si="26"/>
        <v>-1.7472435017558189E-2</v>
      </c>
      <c r="L414" s="38">
        <f t="shared" si="27"/>
        <v>6.9846440939884203E-3</v>
      </c>
    </row>
    <row r="415" spans="1:12">
      <c r="A415" s="35">
        <v>42940</v>
      </c>
      <c r="B415" s="37">
        <v>991.2</v>
      </c>
      <c r="C415" s="37">
        <v>32228.27</v>
      </c>
      <c r="D415" s="38">
        <f t="shared" si="24"/>
        <v>2.97177038915748E-3</v>
      </c>
      <c r="E415" s="38">
        <f t="shared" si="25"/>
        <v>4.7729004984572252E-3</v>
      </c>
      <c r="H415" s="35">
        <v>44764</v>
      </c>
      <c r="I415" s="37">
        <v>1506.3</v>
      </c>
      <c r="J415" s="37">
        <v>56072.23</v>
      </c>
      <c r="K415" s="38">
        <f t="shared" si="26"/>
        <v>-2.2930073353878539E-3</v>
      </c>
      <c r="L415" s="38">
        <f t="shared" si="27"/>
        <v>-5.4723713297028052E-3</v>
      </c>
    </row>
    <row r="416" spans="1:12">
      <c r="A416" s="35">
        <v>42941</v>
      </c>
      <c r="B416" s="37">
        <v>994.15</v>
      </c>
      <c r="C416" s="37">
        <v>32382.46</v>
      </c>
      <c r="D416" s="38">
        <f t="shared" si="24"/>
        <v>-4.0243473554853589E-4</v>
      </c>
      <c r="E416" s="38">
        <f t="shared" si="25"/>
        <v>2.5939632300950751E-5</v>
      </c>
      <c r="H416" s="35">
        <v>44767</v>
      </c>
      <c r="I416" s="37">
        <v>1502.85</v>
      </c>
      <c r="J416" s="37">
        <v>55766.22</v>
      </c>
      <c r="K416" s="38">
        <f t="shared" si="26"/>
        <v>-3.4559139522641356E-2</v>
      </c>
      <c r="L416" s="38">
        <f t="shared" si="27"/>
        <v>-8.9653646839666801E-3</v>
      </c>
    </row>
    <row r="417" spans="1:12">
      <c r="A417" s="35">
        <v>42942</v>
      </c>
      <c r="B417" s="37">
        <v>993.75</v>
      </c>
      <c r="C417" s="37">
        <v>32383.3</v>
      </c>
      <c r="D417" s="38">
        <f t="shared" si="24"/>
        <v>-2.182126715293032E-2</v>
      </c>
      <c r="E417" s="38">
        <f t="shared" si="25"/>
        <v>-2.2697920096485498E-3</v>
      </c>
      <c r="H417" s="35">
        <v>44768</v>
      </c>
      <c r="I417" s="37">
        <v>1451.8</v>
      </c>
      <c r="J417" s="37">
        <v>55268.49</v>
      </c>
      <c r="K417" s="38">
        <f t="shared" si="26"/>
        <v>1.3274228439371219E-2</v>
      </c>
      <c r="L417" s="38">
        <f t="shared" si="27"/>
        <v>9.8633546986528504E-3</v>
      </c>
    </row>
    <row r="418" spans="1:12">
      <c r="A418" s="35">
        <v>42943</v>
      </c>
      <c r="B418" s="37">
        <v>972.3</v>
      </c>
      <c r="C418" s="37">
        <v>32309.88</v>
      </c>
      <c r="D418" s="38">
        <f t="shared" si="24"/>
        <v>2.5938565598382941E-2</v>
      </c>
      <c r="E418" s="38">
        <f t="shared" si="25"/>
        <v>6.3266102081614818E-3</v>
      </c>
      <c r="H418" s="35">
        <v>44769</v>
      </c>
      <c r="I418" s="37">
        <v>1471.2</v>
      </c>
      <c r="J418" s="37">
        <v>55816.32</v>
      </c>
      <c r="K418" s="38">
        <f t="shared" si="26"/>
        <v>3.0952900171554391E-2</v>
      </c>
      <c r="L418" s="38">
        <f t="shared" si="27"/>
        <v>1.8486938330278646E-2</v>
      </c>
    </row>
    <row r="419" spans="1:12">
      <c r="A419" s="35">
        <v>42944</v>
      </c>
      <c r="B419" s="37">
        <v>997.85</v>
      </c>
      <c r="C419" s="37">
        <v>32514.94</v>
      </c>
      <c r="D419" s="38">
        <f t="shared" si="24"/>
        <v>1.3388946494130463E-2</v>
      </c>
      <c r="E419" s="38">
        <f t="shared" si="25"/>
        <v>1.8506657060637297E-3</v>
      </c>
      <c r="H419" s="35">
        <v>44770</v>
      </c>
      <c r="I419" s="37">
        <v>1517.45</v>
      </c>
      <c r="J419" s="37">
        <v>56857.79</v>
      </c>
      <c r="K419" s="38">
        <f t="shared" si="26"/>
        <v>2.0965538631120419E-2</v>
      </c>
      <c r="L419" s="38">
        <f t="shared" si="27"/>
        <v>1.2452703143907838E-2</v>
      </c>
    </row>
    <row r="420" spans="1:12">
      <c r="A420" s="35">
        <v>42947</v>
      </c>
      <c r="B420" s="37">
        <v>1011.3</v>
      </c>
      <c r="C420" s="37">
        <v>32575.17</v>
      </c>
      <c r="D420" s="38">
        <f t="shared" si="24"/>
        <v>-6.2490904149485986E-3</v>
      </c>
      <c r="E420" s="38">
        <f t="shared" si="25"/>
        <v>-3.0262009253101069E-3</v>
      </c>
      <c r="H420" s="35">
        <v>44771</v>
      </c>
      <c r="I420" s="37">
        <v>1549.6</v>
      </c>
      <c r="J420" s="37">
        <v>57570.25</v>
      </c>
      <c r="K420" s="38">
        <f t="shared" si="26"/>
        <v>6.4511969207256689E-4</v>
      </c>
      <c r="L420" s="38">
        <f t="shared" si="27"/>
        <v>9.4264684715859356E-3</v>
      </c>
    </row>
    <row r="421" spans="1:12">
      <c r="A421" s="35">
        <v>42948</v>
      </c>
      <c r="B421" s="37">
        <v>1005</v>
      </c>
      <c r="C421" s="37">
        <v>32476.74</v>
      </c>
      <c r="D421" s="38">
        <f t="shared" si="24"/>
        <v>-1.2566187034589425E-2</v>
      </c>
      <c r="E421" s="38">
        <f t="shared" si="25"/>
        <v>-7.3819821454665716E-3</v>
      </c>
      <c r="H421" s="35">
        <v>44774</v>
      </c>
      <c r="I421" s="37">
        <v>1550.6</v>
      </c>
      <c r="J421" s="37">
        <v>58115.5</v>
      </c>
      <c r="K421" s="38">
        <f t="shared" si="26"/>
        <v>-4.9781903358783412E-3</v>
      </c>
      <c r="L421" s="38">
        <f t="shared" si="27"/>
        <v>3.5887598226622483E-4</v>
      </c>
    </row>
    <row r="422" spans="1:12">
      <c r="A422" s="35">
        <v>42949</v>
      </c>
      <c r="B422" s="37">
        <v>992.45</v>
      </c>
      <c r="C422" s="37">
        <v>32237.88</v>
      </c>
      <c r="D422" s="38">
        <f t="shared" si="24"/>
        <v>-8.9573231165491502E-3</v>
      </c>
      <c r="E422" s="38">
        <f t="shared" si="25"/>
        <v>2.7114496063136936E-3</v>
      </c>
      <c r="H422" s="35">
        <v>44775</v>
      </c>
      <c r="I422" s="37">
        <v>1542.9</v>
      </c>
      <c r="J422" s="37">
        <v>58136.36</v>
      </c>
      <c r="K422" s="38">
        <f t="shared" si="26"/>
        <v>1.431790357764462E-2</v>
      </c>
      <c r="L422" s="38">
        <f t="shared" si="27"/>
        <v>3.6771561387639101E-3</v>
      </c>
    </row>
    <row r="423" spans="1:12">
      <c r="A423" s="35">
        <v>42950</v>
      </c>
      <c r="B423" s="37">
        <v>983.6</v>
      </c>
      <c r="C423" s="37">
        <v>32325.41</v>
      </c>
      <c r="D423" s="38">
        <f t="shared" si="24"/>
        <v>1.7775976645542061E-3</v>
      </c>
      <c r="E423" s="38">
        <f t="shared" si="25"/>
        <v>-1.6018807408350888E-3</v>
      </c>
      <c r="H423" s="35">
        <v>44776</v>
      </c>
      <c r="I423" s="37">
        <v>1565.15</v>
      </c>
      <c r="J423" s="37">
        <v>58350.53</v>
      </c>
      <c r="K423" s="38">
        <f t="shared" si="26"/>
        <v>2.1803189271976848E-2</v>
      </c>
      <c r="L423" s="38">
        <f t="shared" si="27"/>
        <v>-8.8693185620705413E-4</v>
      </c>
    </row>
    <row r="424" spans="1:12">
      <c r="A424" s="35">
        <v>42951</v>
      </c>
      <c r="B424" s="37">
        <v>985.35</v>
      </c>
      <c r="C424" s="37">
        <v>32273.67</v>
      </c>
      <c r="D424" s="38">
        <f t="shared" si="24"/>
        <v>-1.7609874057184432E-2</v>
      </c>
      <c r="E424" s="38">
        <f t="shared" si="25"/>
        <v>-8.0724855076360173E-3</v>
      </c>
      <c r="H424" s="35">
        <v>44777</v>
      </c>
      <c r="I424" s="37">
        <v>1599.65</v>
      </c>
      <c r="J424" s="37">
        <v>58298.8</v>
      </c>
      <c r="K424" s="38">
        <f t="shared" si="26"/>
        <v>1.0509393412348774E-2</v>
      </c>
      <c r="L424" s="38">
        <f t="shared" si="27"/>
        <v>1.5276804369159518E-3</v>
      </c>
    </row>
    <row r="425" spans="1:12">
      <c r="A425" s="35">
        <v>42954</v>
      </c>
      <c r="B425" s="37">
        <v>968.15</v>
      </c>
      <c r="C425" s="37">
        <v>32014.19</v>
      </c>
      <c r="D425" s="38">
        <f t="shared" si="24"/>
        <v>-3.6735263145356726E-3</v>
      </c>
      <c r="E425" s="38">
        <f t="shared" si="25"/>
        <v>-6.780879059520027E-3</v>
      </c>
      <c r="H425" s="35">
        <v>44778</v>
      </c>
      <c r="I425" s="37">
        <v>1616.55</v>
      </c>
      <c r="J425" s="37">
        <v>58387.93</v>
      </c>
      <c r="K425" s="38">
        <f t="shared" si="26"/>
        <v>1.5761905817563821E-3</v>
      </c>
      <c r="L425" s="38">
        <f t="shared" si="27"/>
        <v>7.9348084795921626E-3</v>
      </c>
    </row>
    <row r="426" spans="1:12">
      <c r="A426" s="35">
        <v>42955</v>
      </c>
      <c r="B426" s="37">
        <v>964.6</v>
      </c>
      <c r="C426" s="37">
        <v>31797.84</v>
      </c>
      <c r="D426" s="38">
        <f t="shared" si="24"/>
        <v>5.0153927421425892E-3</v>
      </c>
      <c r="E426" s="38">
        <f t="shared" si="25"/>
        <v>-8.4167082346797498E-3</v>
      </c>
      <c r="H426" s="35">
        <v>44781</v>
      </c>
      <c r="I426" s="37">
        <v>1619.1</v>
      </c>
      <c r="J426" s="37">
        <v>58853.07</v>
      </c>
      <c r="K426" s="38">
        <f t="shared" si="26"/>
        <v>-1.0992192654173196E-2</v>
      </c>
      <c r="L426" s="38">
        <f t="shared" si="27"/>
        <v>-6.081395706228252E-4</v>
      </c>
    </row>
    <row r="427" spans="1:12">
      <c r="A427" s="35">
        <v>42956</v>
      </c>
      <c r="B427" s="37">
        <v>969.45</v>
      </c>
      <c r="C427" s="37">
        <v>31531.33</v>
      </c>
      <c r="D427" s="38">
        <f t="shared" si="24"/>
        <v>1.3371443366401994E-2</v>
      </c>
      <c r="E427" s="38">
        <f t="shared" si="25"/>
        <v>-1.0128077813750682E-2</v>
      </c>
      <c r="H427" s="35">
        <v>44783</v>
      </c>
      <c r="I427" s="37">
        <v>1601.4</v>
      </c>
      <c r="J427" s="37">
        <v>58817.29</v>
      </c>
      <c r="K427" s="38">
        <f t="shared" si="26"/>
        <v>1.1362700253817562E-2</v>
      </c>
      <c r="L427" s="38">
        <f t="shared" si="27"/>
        <v>8.7230426969330428E-3</v>
      </c>
    </row>
    <row r="428" spans="1:12">
      <c r="A428" s="35">
        <v>42957</v>
      </c>
      <c r="B428" s="37">
        <v>982.5</v>
      </c>
      <c r="C428" s="37">
        <v>31213.59</v>
      </c>
      <c r="D428" s="38">
        <f t="shared" si="24"/>
        <v>5.3292855480838331E-3</v>
      </c>
      <c r="E428" s="38">
        <f t="shared" si="25"/>
        <v>7.5145631610697835E-3</v>
      </c>
      <c r="H428" s="35">
        <v>44784</v>
      </c>
      <c r="I428" s="37">
        <v>1619.7</v>
      </c>
      <c r="J428" s="37">
        <v>59332.6</v>
      </c>
      <c r="K428" s="38">
        <f t="shared" si="26"/>
        <v>-1.5680739442238703E-2</v>
      </c>
      <c r="L428" s="38">
        <f t="shared" si="27"/>
        <v>2.1916686003950426E-3</v>
      </c>
    </row>
    <row r="429" spans="1:12">
      <c r="A429" s="35">
        <v>42958</v>
      </c>
      <c r="B429" s="37">
        <v>987.75</v>
      </c>
      <c r="C429" s="37">
        <v>31449.03</v>
      </c>
      <c r="D429" s="38">
        <f t="shared" si="24"/>
        <v>-8.4384396620906712E-3</v>
      </c>
      <c r="E429" s="38">
        <f t="shared" si="25"/>
        <v>1.0182321675094587E-2</v>
      </c>
      <c r="H429" s="35">
        <v>44785</v>
      </c>
      <c r="I429" s="37">
        <v>1594.5</v>
      </c>
      <c r="J429" s="37">
        <v>59462.78</v>
      </c>
      <c r="K429" s="38">
        <f t="shared" si="26"/>
        <v>8.1497042406817807E-4</v>
      </c>
      <c r="L429" s="38">
        <f t="shared" si="27"/>
        <v>6.360694205011945E-3</v>
      </c>
    </row>
    <row r="430" spans="1:12">
      <c r="A430" s="35">
        <v>42961</v>
      </c>
      <c r="B430" s="37">
        <v>979.45</v>
      </c>
      <c r="C430" s="37">
        <v>31770.89</v>
      </c>
      <c r="D430" s="38">
        <f t="shared" si="24"/>
        <v>-2.7092668329146137E-3</v>
      </c>
      <c r="E430" s="38">
        <f t="shared" si="25"/>
        <v>7.7305055972544802E-4</v>
      </c>
      <c r="H430" s="35">
        <v>44789</v>
      </c>
      <c r="I430" s="37">
        <v>1595.8</v>
      </c>
      <c r="J430" s="37">
        <v>59842.21</v>
      </c>
      <c r="K430" s="38">
        <f t="shared" si="26"/>
        <v>6.8383273772151133E-3</v>
      </c>
      <c r="L430" s="38">
        <f t="shared" si="27"/>
        <v>6.9594262156747605E-3</v>
      </c>
    </row>
    <row r="431" spans="1:12">
      <c r="A431" s="35">
        <v>42963</v>
      </c>
      <c r="B431" s="37">
        <v>976.8</v>
      </c>
      <c r="C431" s="37">
        <v>31795.46</v>
      </c>
      <c r="D431" s="38">
        <f t="shared" si="24"/>
        <v>4.4402799366671991E-2</v>
      </c>
      <c r="E431" s="38">
        <f t="shared" si="25"/>
        <v>-8.5527811729165931E-3</v>
      </c>
      <c r="H431" s="35">
        <v>44790</v>
      </c>
      <c r="I431" s="37">
        <v>1606.75</v>
      </c>
      <c r="J431" s="37">
        <v>60260.13</v>
      </c>
      <c r="K431" s="38">
        <f t="shared" si="26"/>
        <v>-1.5081255912158089E-2</v>
      </c>
      <c r="L431" s="38">
        <f t="shared" si="27"/>
        <v>6.2824466911668613E-4</v>
      </c>
    </row>
    <row r="432" spans="1:12">
      <c r="A432" s="35">
        <v>42964</v>
      </c>
      <c r="B432" s="37">
        <v>1021.15</v>
      </c>
      <c r="C432" s="37">
        <v>31524.68</v>
      </c>
      <c r="D432" s="38">
        <f t="shared" si="24"/>
        <v>-0.10094715116706096</v>
      </c>
      <c r="E432" s="38">
        <f t="shared" si="25"/>
        <v>-8.4681950365367107E-3</v>
      </c>
      <c r="H432" s="35">
        <v>44791</v>
      </c>
      <c r="I432" s="37">
        <v>1582.7</v>
      </c>
      <c r="J432" s="37">
        <v>60298</v>
      </c>
      <c r="K432" s="38">
        <f t="shared" si="26"/>
        <v>9.2450581440512089E-3</v>
      </c>
      <c r="L432" s="38">
        <f t="shared" si="27"/>
        <v>-1.0869332394789702E-2</v>
      </c>
    </row>
    <row r="433" spans="1:12">
      <c r="A433" s="35">
        <v>42965</v>
      </c>
      <c r="B433" s="37">
        <v>923.1</v>
      </c>
      <c r="C433" s="37">
        <v>31258.85</v>
      </c>
      <c r="D433" s="38">
        <f t="shared" si="24"/>
        <v>-5.5229441421994617E-2</v>
      </c>
      <c r="E433" s="38">
        <f t="shared" si="25"/>
        <v>1.0551441650261922E-3</v>
      </c>
      <c r="H433" s="35">
        <v>44792</v>
      </c>
      <c r="I433" s="37">
        <v>1597.4</v>
      </c>
      <c r="J433" s="37">
        <v>59646.15</v>
      </c>
      <c r="K433" s="38">
        <f t="shared" si="26"/>
        <v>-1.3836361746394526E-2</v>
      </c>
      <c r="L433" s="38">
        <f t="shared" si="27"/>
        <v>-1.4732234912463969E-2</v>
      </c>
    </row>
    <row r="434" spans="1:12">
      <c r="A434" s="35">
        <v>42968</v>
      </c>
      <c r="B434" s="37">
        <v>873.5</v>
      </c>
      <c r="C434" s="37">
        <v>31291.85</v>
      </c>
      <c r="D434" s="38">
        <f t="shared" si="24"/>
        <v>4.1698858010825596E-3</v>
      </c>
      <c r="E434" s="38">
        <f t="shared" si="25"/>
        <v>8.7865858028056253E-3</v>
      </c>
      <c r="H434" s="35">
        <v>44795</v>
      </c>
      <c r="I434" s="37">
        <v>1575.45</v>
      </c>
      <c r="J434" s="37">
        <v>58773.87</v>
      </c>
      <c r="K434" s="38">
        <f t="shared" si="26"/>
        <v>-2.1104054571844132E-2</v>
      </c>
      <c r="L434" s="38">
        <f t="shared" si="27"/>
        <v>4.3704433304453671E-3</v>
      </c>
    </row>
    <row r="435" spans="1:12">
      <c r="A435" s="35">
        <v>42969</v>
      </c>
      <c r="B435" s="37">
        <v>877.15</v>
      </c>
      <c r="C435" s="37">
        <v>31568.01</v>
      </c>
      <c r="D435" s="38">
        <f t="shared" si="24"/>
        <v>1.958688757358008E-2</v>
      </c>
      <c r="E435" s="38">
        <f t="shared" si="25"/>
        <v>8.8816321823157428E-4</v>
      </c>
      <c r="H435" s="35">
        <v>44796</v>
      </c>
      <c r="I435" s="37">
        <v>1542.55</v>
      </c>
      <c r="J435" s="37">
        <v>59031.3</v>
      </c>
      <c r="K435" s="38">
        <f t="shared" si="26"/>
        <v>-3.4092602464962604E-3</v>
      </c>
      <c r="L435" s="38">
        <f t="shared" si="27"/>
        <v>9.1655100491518787E-4</v>
      </c>
    </row>
    <row r="436" spans="1:12">
      <c r="A436" s="35">
        <v>42970</v>
      </c>
      <c r="B436" s="37">
        <v>894.5</v>
      </c>
      <c r="C436" s="37">
        <v>31596.06</v>
      </c>
      <c r="D436" s="38">
        <f t="shared" si="24"/>
        <v>1.9923182507872794E-2</v>
      </c>
      <c r="E436" s="38">
        <f t="shared" si="25"/>
        <v>4.8861225019254228E-3</v>
      </c>
      <c r="H436" s="35">
        <v>44797</v>
      </c>
      <c r="I436" s="37">
        <v>1537.3</v>
      </c>
      <c r="J436" s="37">
        <v>59085.43</v>
      </c>
      <c r="K436" s="38">
        <f t="shared" si="26"/>
        <v>-1.2074161375892043E-2</v>
      </c>
      <c r="L436" s="38">
        <f t="shared" si="27"/>
        <v>-5.2725322307956742E-3</v>
      </c>
    </row>
    <row r="437" spans="1:12">
      <c r="A437" s="35">
        <v>42971</v>
      </c>
      <c r="B437" s="37">
        <v>912.5</v>
      </c>
      <c r="C437" s="37">
        <v>31750.82</v>
      </c>
      <c r="D437" s="38">
        <f t="shared" si="24"/>
        <v>3.0914446313540307E-2</v>
      </c>
      <c r="E437" s="38">
        <f t="shared" si="25"/>
        <v>-1.1480472458190227E-2</v>
      </c>
      <c r="H437" s="35">
        <v>44798</v>
      </c>
      <c r="I437" s="37">
        <v>1518.85</v>
      </c>
      <c r="J437" s="37">
        <v>58774.720000000001</v>
      </c>
      <c r="K437" s="38">
        <f t="shared" si="26"/>
        <v>1.9732304886437312E-3</v>
      </c>
      <c r="L437" s="38">
        <f t="shared" si="27"/>
        <v>1.0058789921261755E-3</v>
      </c>
    </row>
    <row r="438" spans="1:12">
      <c r="A438" s="35">
        <v>42975</v>
      </c>
      <c r="B438" s="37">
        <v>941.15</v>
      </c>
      <c r="C438" s="37">
        <v>31388.39</v>
      </c>
      <c r="D438" s="38">
        <f t="shared" si="24"/>
        <v>-1.4555830385804797E-2</v>
      </c>
      <c r="E438" s="38">
        <f t="shared" si="25"/>
        <v>8.1882146748021318E-3</v>
      </c>
      <c r="H438" s="35">
        <v>44799</v>
      </c>
      <c r="I438" s="37">
        <v>1521.85</v>
      </c>
      <c r="J438" s="37">
        <v>58833.87</v>
      </c>
      <c r="K438" s="38">
        <f t="shared" si="26"/>
        <v>-4.0121338721581544E-2</v>
      </c>
      <c r="L438" s="38">
        <f t="shared" si="27"/>
        <v>-1.4746879355400555E-2</v>
      </c>
    </row>
    <row r="439" spans="1:12">
      <c r="A439" s="35">
        <v>42976</v>
      </c>
      <c r="B439" s="37">
        <v>927.55</v>
      </c>
      <c r="C439" s="37">
        <v>31646.46</v>
      </c>
      <c r="D439" s="38">
        <f t="shared" si="24"/>
        <v>-9.7076914106287743E-4</v>
      </c>
      <c r="E439" s="38">
        <f t="shared" si="25"/>
        <v>2.6517542810180652E-3</v>
      </c>
      <c r="H439" s="35">
        <v>44802</v>
      </c>
      <c r="I439" s="37">
        <v>1462</v>
      </c>
      <c r="J439" s="37">
        <v>57972.62</v>
      </c>
      <c r="K439" s="38">
        <f t="shared" si="26"/>
        <v>2.1116106730704989E-2</v>
      </c>
      <c r="L439" s="38">
        <f t="shared" si="27"/>
        <v>2.6628313640766593E-2</v>
      </c>
    </row>
    <row r="440" spans="1:12">
      <c r="A440" s="35">
        <v>42977</v>
      </c>
      <c r="B440" s="37">
        <v>926.65</v>
      </c>
      <c r="C440" s="37">
        <v>31730.49</v>
      </c>
      <c r="D440" s="38">
        <f t="shared" si="24"/>
        <v>-1.2324051852585645E-2</v>
      </c>
      <c r="E440" s="38">
        <f t="shared" si="25"/>
        <v>5.0843581797249526E-3</v>
      </c>
      <c r="H440" s="35">
        <v>44803</v>
      </c>
      <c r="I440" s="37">
        <v>1493.2</v>
      </c>
      <c r="J440" s="37">
        <v>59537.07</v>
      </c>
      <c r="K440" s="38">
        <f t="shared" si="26"/>
        <v>-1.9475865794347614E-2</v>
      </c>
      <c r="L440" s="38">
        <f t="shared" si="27"/>
        <v>-1.3025647621612986E-2</v>
      </c>
    </row>
    <row r="441" spans="1:12">
      <c r="A441" s="35">
        <v>42978</v>
      </c>
      <c r="B441" s="37">
        <v>915.3</v>
      </c>
      <c r="C441" s="37">
        <v>31892.23</v>
      </c>
      <c r="D441" s="38">
        <f t="shared" si="24"/>
        <v>5.2304793975820633E-3</v>
      </c>
      <c r="E441" s="38">
        <f t="shared" si="25"/>
        <v>-5.9747501718008739E-3</v>
      </c>
      <c r="H441" s="35">
        <v>44805</v>
      </c>
      <c r="I441" s="37">
        <v>1464.4</v>
      </c>
      <c r="J441" s="37">
        <v>58766.59</v>
      </c>
      <c r="K441" s="38">
        <f t="shared" si="26"/>
        <v>-7.884043168787977E-3</v>
      </c>
      <c r="L441" s="38">
        <f t="shared" si="27"/>
        <v>6.2498981365187803E-4</v>
      </c>
    </row>
    <row r="442" spans="1:12">
      <c r="A442" s="35">
        <v>42979</v>
      </c>
      <c r="B442" s="37">
        <v>920.1</v>
      </c>
      <c r="C442" s="37">
        <v>31702.25</v>
      </c>
      <c r="D442" s="38">
        <f t="shared" si="24"/>
        <v>-2.0644194225951474E-2</v>
      </c>
      <c r="E442" s="38">
        <f t="shared" si="25"/>
        <v>3.3789028837743745E-3</v>
      </c>
      <c r="H442" s="35">
        <v>44806</v>
      </c>
      <c r="I442" s="37">
        <v>1452.9</v>
      </c>
      <c r="J442" s="37">
        <v>58803.33</v>
      </c>
      <c r="K442" s="38">
        <f t="shared" si="26"/>
        <v>5.4568989980245978E-3</v>
      </c>
      <c r="L442" s="38">
        <f t="shared" si="27"/>
        <v>7.4994436581140274E-3</v>
      </c>
    </row>
    <row r="443" spans="1:12">
      <c r="A443" s="35">
        <v>42982</v>
      </c>
      <c r="B443" s="37">
        <v>901.3</v>
      </c>
      <c r="C443" s="37">
        <v>31809.55</v>
      </c>
      <c r="D443" s="38">
        <f t="shared" si="24"/>
        <v>-2.2192632137234413E-4</v>
      </c>
      <c r="E443" s="38">
        <f t="shared" si="25"/>
        <v>-4.650283023094056E-3</v>
      </c>
      <c r="H443" s="35">
        <v>44809</v>
      </c>
      <c r="I443" s="37">
        <v>1460.85</v>
      </c>
      <c r="J443" s="37">
        <v>59245.98</v>
      </c>
      <c r="K443" s="38">
        <f t="shared" si="26"/>
        <v>-3.7720365690173461E-3</v>
      </c>
      <c r="L443" s="38">
        <f t="shared" si="27"/>
        <v>-8.2723360945310682E-4</v>
      </c>
    </row>
    <row r="444" spans="1:12">
      <c r="A444" s="35">
        <v>42983</v>
      </c>
      <c r="B444" s="37">
        <v>901.1</v>
      </c>
      <c r="C444" s="37">
        <v>31661.97</v>
      </c>
      <c r="D444" s="38">
        <f t="shared" si="24"/>
        <v>-6.0107037598419637E-3</v>
      </c>
      <c r="E444" s="38">
        <f t="shared" si="25"/>
        <v>2.4319100712494776E-5</v>
      </c>
      <c r="H444" s="35">
        <v>44810</v>
      </c>
      <c r="I444" s="37">
        <v>1455.35</v>
      </c>
      <c r="J444" s="37">
        <v>59196.99</v>
      </c>
      <c r="K444" s="38">
        <f t="shared" si="26"/>
        <v>1.6820284418120409E-3</v>
      </c>
      <c r="L444" s="38">
        <f t="shared" si="27"/>
        <v>-2.8433721078137569E-3</v>
      </c>
    </row>
    <row r="445" spans="1:12">
      <c r="A445" s="35">
        <v>42984</v>
      </c>
      <c r="B445" s="37">
        <v>895.7</v>
      </c>
      <c r="C445" s="37">
        <v>31662.74</v>
      </c>
      <c r="D445" s="38">
        <f t="shared" si="24"/>
        <v>-1.6748080988220434E-4</v>
      </c>
      <c r="E445" s="38">
        <f t="shared" si="25"/>
        <v>7.8231727111518112E-4</v>
      </c>
      <c r="H445" s="35">
        <v>44811</v>
      </c>
      <c r="I445" s="37">
        <v>1457.8</v>
      </c>
      <c r="J445" s="37">
        <v>59028.91</v>
      </c>
      <c r="K445" s="38">
        <f t="shared" si="26"/>
        <v>1.23734002997697E-2</v>
      </c>
      <c r="L445" s="38">
        <f t="shared" si="27"/>
        <v>1.1107357100497371E-2</v>
      </c>
    </row>
    <row r="446" spans="1:12">
      <c r="A446" s="35">
        <v>42985</v>
      </c>
      <c r="B446" s="37">
        <v>895.55</v>
      </c>
      <c r="C446" s="37">
        <v>31687.52</v>
      </c>
      <c r="D446" s="38">
        <f t="shared" si="24"/>
        <v>-1.2528605687976355E-2</v>
      </c>
      <c r="E446" s="38">
        <f t="shared" si="25"/>
        <v>6.1236931896913784E-3</v>
      </c>
      <c r="H446" s="35">
        <v>44812</v>
      </c>
      <c r="I446" s="37">
        <v>1475.95</v>
      </c>
      <c r="J446" s="37">
        <v>59688.22</v>
      </c>
      <c r="K446" s="38">
        <f t="shared" si="26"/>
        <v>2.4032216221114407E-2</v>
      </c>
      <c r="L446" s="38">
        <f t="shared" si="27"/>
        <v>1.7562576617521954E-3</v>
      </c>
    </row>
    <row r="447" spans="1:12">
      <c r="A447" s="35">
        <v>42986</v>
      </c>
      <c r="B447" s="37">
        <v>884.4</v>
      </c>
      <c r="C447" s="37">
        <v>31882.16</v>
      </c>
      <c r="D447" s="38">
        <f t="shared" si="24"/>
        <v>-6.6366277793903231E-3</v>
      </c>
      <c r="E447" s="38">
        <f t="shared" si="25"/>
        <v>8.6351710714171227E-3</v>
      </c>
      <c r="H447" s="35">
        <v>44813</v>
      </c>
      <c r="I447" s="37">
        <v>1511.85</v>
      </c>
      <c r="J447" s="37">
        <v>59793.14</v>
      </c>
      <c r="K447" s="38">
        <f t="shared" si="26"/>
        <v>1.55871176576461E-2</v>
      </c>
      <c r="L447" s="38">
        <f t="shared" si="27"/>
        <v>5.3706182891961477E-3</v>
      </c>
    </row>
    <row r="448" spans="1:12">
      <c r="A448" s="35">
        <v>42989</v>
      </c>
      <c r="B448" s="37">
        <v>878.55</v>
      </c>
      <c r="C448" s="37">
        <v>32158.66</v>
      </c>
      <c r="D448" s="38">
        <f t="shared" si="24"/>
        <v>6.0145437779912112E-3</v>
      </c>
      <c r="E448" s="38">
        <f t="shared" si="25"/>
        <v>8.6253699686482193E-4</v>
      </c>
      <c r="H448" s="35">
        <v>44816</v>
      </c>
      <c r="I448" s="37">
        <v>1535.6</v>
      </c>
      <c r="J448" s="37">
        <v>60115.13</v>
      </c>
      <c r="K448" s="38">
        <f t="shared" si="26"/>
        <v>6.1027262052033527E-3</v>
      </c>
      <c r="L448" s="38">
        <f t="shared" si="27"/>
        <v>7.5559944967375286E-3</v>
      </c>
    </row>
    <row r="449" spans="1:12">
      <c r="A449" s="35">
        <v>42990</v>
      </c>
      <c r="B449" s="37">
        <v>883.85</v>
      </c>
      <c r="C449" s="37">
        <v>32186.41</v>
      </c>
      <c r="D449" s="38">
        <f t="shared" si="24"/>
        <v>-3.3948172782765143E-4</v>
      </c>
      <c r="E449" s="38">
        <f t="shared" si="25"/>
        <v>1.7234655973673648E-3</v>
      </c>
      <c r="H449" s="35">
        <v>44817</v>
      </c>
      <c r="I449" s="37">
        <v>1545</v>
      </c>
      <c r="J449" s="37">
        <v>60571.08</v>
      </c>
      <c r="K449" s="38">
        <f t="shared" si="26"/>
        <v>-4.6365920557925655E-2</v>
      </c>
      <c r="L449" s="38">
        <f t="shared" si="27"/>
        <v>-3.7068122850878221E-3</v>
      </c>
    </row>
    <row r="450" spans="1:12">
      <c r="A450" s="35">
        <v>42991</v>
      </c>
      <c r="B450" s="37">
        <v>883.55</v>
      </c>
      <c r="C450" s="37">
        <v>32241.93</v>
      </c>
      <c r="D450" s="38">
        <f t="shared" si="24"/>
        <v>9.8545156520411063E-3</v>
      </c>
      <c r="E450" s="38">
        <f t="shared" si="25"/>
        <v>9.5110349737456776E-4</v>
      </c>
      <c r="H450" s="35">
        <v>44818</v>
      </c>
      <c r="I450" s="37">
        <v>1475</v>
      </c>
      <c r="J450" s="37">
        <v>60346.97</v>
      </c>
      <c r="K450" s="38">
        <f t="shared" si="26"/>
        <v>-2.9551005661768336E-2</v>
      </c>
      <c r="L450" s="38">
        <f t="shared" si="27"/>
        <v>-6.8666155297613524E-3</v>
      </c>
    </row>
    <row r="451" spans="1:12">
      <c r="A451" s="35">
        <v>42992</v>
      </c>
      <c r="B451" s="37">
        <v>892.3</v>
      </c>
      <c r="C451" s="37">
        <v>32272.61</v>
      </c>
      <c r="D451" s="38">
        <f t="shared" si="24"/>
        <v>1.8102554419197364E-2</v>
      </c>
      <c r="E451" s="38">
        <f t="shared" si="25"/>
        <v>4.6726045064865024E-3</v>
      </c>
      <c r="H451" s="35">
        <v>44819</v>
      </c>
      <c r="I451" s="37">
        <v>1432.05</v>
      </c>
      <c r="J451" s="37">
        <v>59934.01</v>
      </c>
      <c r="K451" s="38">
        <f t="shared" si="26"/>
        <v>-3.7639616760107374E-2</v>
      </c>
      <c r="L451" s="38">
        <f t="shared" si="27"/>
        <v>-1.84088017444974E-2</v>
      </c>
    </row>
    <row r="452" spans="1:12">
      <c r="A452" s="35">
        <v>42993</v>
      </c>
      <c r="B452" s="37">
        <v>908.6</v>
      </c>
      <c r="C452" s="37">
        <v>32423.759999999998</v>
      </c>
      <c r="D452" s="38">
        <f t="shared" si="24"/>
        <v>-1.651027768533578E-4</v>
      </c>
      <c r="E452" s="38">
        <f t="shared" si="25"/>
        <v>-6.5991910287618828E-4</v>
      </c>
      <c r="H452" s="35">
        <v>44820</v>
      </c>
      <c r="I452" s="37">
        <v>1379.15</v>
      </c>
      <c r="J452" s="37">
        <v>58840.79</v>
      </c>
      <c r="K452" s="38">
        <f t="shared" si="26"/>
        <v>8.0521838234532735E-3</v>
      </c>
      <c r="L452" s="38">
        <f t="shared" si="27"/>
        <v>5.0929904304841305E-3</v>
      </c>
    </row>
    <row r="453" spans="1:12">
      <c r="A453" s="35">
        <v>42996</v>
      </c>
      <c r="B453" s="37">
        <v>908.45</v>
      </c>
      <c r="C453" s="37">
        <v>32402.37</v>
      </c>
      <c r="D453" s="38">
        <f t="shared" ref="D453:D516" si="28">LN(B454/B453)</f>
        <v>3.1323009536314617E-3</v>
      </c>
      <c r="E453" s="38">
        <f t="shared" ref="E453:E516" si="29">LN(C454/C453)</f>
        <v>-5.740485609625554E-5</v>
      </c>
      <c r="H453" s="35">
        <v>44823</v>
      </c>
      <c r="I453" s="37">
        <v>1390.3</v>
      </c>
      <c r="J453" s="37">
        <v>59141.23</v>
      </c>
      <c r="K453" s="38">
        <f t="shared" ref="K453:K516" si="30">LN(I454/I453)</f>
        <v>-1.4035595128005719E-3</v>
      </c>
      <c r="L453" s="38">
        <f t="shared" ref="L453:L516" si="31">LN(J454/J453)</f>
        <v>9.7343066969017636E-3</v>
      </c>
    </row>
    <row r="454" spans="1:12">
      <c r="A454" s="35">
        <v>42997</v>
      </c>
      <c r="B454" s="37">
        <v>911.3</v>
      </c>
      <c r="C454" s="37">
        <v>32400.51</v>
      </c>
      <c r="D454" s="38">
        <f t="shared" si="28"/>
        <v>7.6783857225033877E-4</v>
      </c>
      <c r="E454" s="38">
        <f t="shared" si="29"/>
        <v>-9.4085976567166848E-4</v>
      </c>
      <c r="H454" s="35">
        <v>44824</v>
      </c>
      <c r="I454" s="37">
        <v>1388.35</v>
      </c>
      <c r="J454" s="37">
        <v>59719.74</v>
      </c>
      <c r="K454" s="38">
        <f t="shared" si="30"/>
        <v>-8.5356227295651909E-3</v>
      </c>
      <c r="L454" s="38">
        <f t="shared" si="31"/>
        <v>-4.4129569607210461E-3</v>
      </c>
    </row>
    <row r="455" spans="1:12">
      <c r="A455" s="35">
        <v>42998</v>
      </c>
      <c r="B455" s="37">
        <v>912</v>
      </c>
      <c r="C455" s="37">
        <v>32370.04</v>
      </c>
      <c r="D455" s="38">
        <f t="shared" si="28"/>
        <v>-2.6900183661063403E-3</v>
      </c>
      <c r="E455" s="38">
        <f t="shared" si="29"/>
        <v>-1.3924092886575935E-2</v>
      </c>
      <c r="H455" s="35">
        <v>44825</v>
      </c>
      <c r="I455" s="37">
        <v>1376.55</v>
      </c>
      <c r="J455" s="37">
        <v>59456.78</v>
      </c>
      <c r="K455" s="38">
        <f t="shared" si="30"/>
        <v>-6.3767592691361908E-3</v>
      </c>
      <c r="L455" s="38">
        <f t="shared" si="31"/>
        <v>-5.6851215515974166E-3</v>
      </c>
    </row>
    <row r="456" spans="1:12">
      <c r="A456" s="35">
        <v>42999</v>
      </c>
      <c r="B456" s="37">
        <v>909.55</v>
      </c>
      <c r="C456" s="37">
        <v>31922.44</v>
      </c>
      <c r="D456" s="38">
        <f t="shared" si="28"/>
        <v>-1.2724225668754384E-2</v>
      </c>
      <c r="E456" s="38">
        <f t="shared" si="29"/>
        <v>-9.3097235414496583E-3</v>
      </c>
      <c r="H456" s="35">
        <v>44826</v>
      </c>
      <c r="I456" s="37">
        <v>1367.8</v>
      </c>
      <c r="J456" s="37">
        <v>59119.72</v>
      </c>
      <c r="K456" s="38">
        <f t="shared" si="30"/>
        <v>-1.8660476317325547E-3</v>
      </c>
      <c r="L456" s="38">
        <f t="shared" si="31"/>
        <v>-1.7417465454006385E-2</v>
      </c>
    </row>
    <row r="457" spans="1:12">
      <c r="A457" s="35">
        <v>43000</v>
      </c>
      <c r="B457" s="37">
        <v>898.05</v>
      </c>
      <c r="C457" s="37">
        <v>31626.63</v>
      </c>
      <c r="D457" s="38">
        <f t="shared" si="28"/>
        <v>-1.5601496450375161E-3</v>
      </c>
      <c r="E457" s="38">
        <f t="shared" si="29"/>
        <v>-8.499615941271909E-4</v>
      </c>
      <c r="H457" s="35">
        <v>44827</v>
      </c>
      <c r="I457" s="37">
        <v>1365.25</v>
      </c>
      <c r="J457" s="37">
        <v>58098.92</v>
      </c>
      <c r="K457" s="38">
        <f t="shared" si="30"/>
        <v>1.0564761287347613E-2</v>
      </c>
      <c r="L457" s="38">
        <f t="shared" si="31"/>
        <v>-1.6551327847038173E-2</v>
      </c>
    </row>
    <row r="458" spans="1:12">
      <c r="A458" s="35">
        <v>43003</v>
      </c>
      <c r="B458" s="37">
        <v>896.65</v>
      </c>
      <c r="C458" s="37">
        <v>31599.759999999998</v>
      </c>
      <c r="D458" s="38">
        <f t="shared" si="28"/>
        <v>1.0870275081244201E-2</v>
      </c>
      <c r="E458" s="38">
        <f t="shared" si="29"/>
        <v>-1.4020402204334077E-2</v>
      </c>
      <c r="H458" s="35">
        <v>44830</v>
      </c>
      <c r="I458" s="37">
        <v>1379.75</v>
      </c>
      <c r="J458" s="37">
        <v>57145.22</v>
      </c>
      <c r="K458" s="38">
        <f t="shared" si="30"/>
        <v>8.9829064149555514E-3</v>
      </c>
      <c r="L458" s="38">
        <f t="shared" si="31"/>
        <v>-6.59940433258149E-4</v>
      </c>
    </row>
    <row r="459" spans="1:12">
      <c r="A459" s="35">
        <v>43004</v>
      </c>
      <c r="B459" s="37">
        <v>906.45</v>
      </c>
      <c r="C459" s="37">
        <v>31159.81</v>
      </c>
      <c r="D459" s="38">
        <f t="shared" si="28"/>
        <v>-8.6422342776336421E-3</v>
      </c>
      <c r="E459" s="38">
        <f t="shared" si="29"/>
        <v>3.9290729987953429E-3</v>
      </c>
      <c r="H459" s="35">
        <v>44831</v>
      </c>
      <c r="I459" s="37">
        <v>1392.2</v>
      </c>
      <c r="J459" s="37">
        <v>57107.519999999997</v>
      </c>
      <c r="K459" s="38">
        <f t="shared" si="30"/>
        <v>1.6148425449530534E-3</v>
      </c>
      <c r="L459" s="38">
        <f t="shared" si="31"/>
        <v>-8.9572107097108111E-3</v>
      </c>
    </row>
    <row r="460" spans="1:12">
      <c r="A460" s="35">
        <v>43005</v>
      </c>
      <c r="B460" s="37">
        <v>898.65</v>
      </c>
      <c r="C460" s="37">
        <v>31282.48</v>
      </c>
      <c r="D460" s="38">
        <f t="shared" si="28"/>
        <v>-3.2881017168939018E-3</v>
      </c>
      <c r="E460" s="38">
        <f t="shared" si="29"/>
        <v>3.963801541924924E-5</v>
      </c>
      <c r="H460" s="35">
        <v>44832</v>
      </c>
      <c r="I460" s="37">
        <v>1394.45</v>
      </c>
      <c r="J460" s="37">
        <v>56598.28</v>
      </c>
      <c r="K460" s="38">
        <f t="shared" si="30"/>
        <v>2.2206312850243386E-3</v>
      </c>
      <c r="L460" s="38">
        <f t="shared" si="31"/>
        <v>-3.3328573973110303E-3</v>
      </c>
    </row>
    <row r="461" spans="1:12">
      <c r="A461" s="35">
        <v>43006</v>
      </c>
      <c r="B461" s="37">
        <v>895.7</v>
      </c>
      <c r="C461" s="37">
        <v>31283.72</v>
      </c>
      <c r="D461" s="38">
        <f t="shared" si="28"/>
        <v>3.399373554106733E-3</v>
      </c>
      <c r="E461" s="38">
        <f t="shared" si="29"/>
        <v>6.8065333320172245E-3</v>
      </c>
      <c r="H461" s="35">
        <v>44833</v>
      </c>
      <c r="I461" s="37">
        <v>1397.55</v>
      </c>
      <c r="J461" s="37">
        <v>56409.96</v>
      </c>
      <c r="K461" s="38">
        <f t="shared" si="30"/>
        <v>1.1065169024156898E-2</v>
      </c>
      <c r="L461" s="38">
        <f t="shared" si="31"/>
        <v>1.7867444273833206E-2</v>
      </c>
    </row>
    <row r="462" spans="1:12">
      <c r="A462" s="35">
        <v>43007</v>
      </c>
      <c r="B462" s="37">
        <v>898.75</v>
      </c>
      <c r="C462" s="37">
        <v>31497.38</v>
      </c>
      <c r="D462" s="38">
        <f t="shared" si="28"/>
        <v>5.7691400927669988E-3</v>
      </c>
      <c r="E462" s="38">
        <f t="shared" si="29"/>
        <v>5.5194856400817248E-3</v>
      </c>
      <c r="H462" s="35">
        <v>44834</v>
      </c>
      <c r="I462" s="37">
        <v>1413.1</v>
      </c>
      <c r="J462" s="37">
        <v>57426.92</v>
      </c>
      <c r="K462" s="38">
        <f t="shared" si="30"/>
        <v>-1.3608560268231205E-2</v>
      </c>
      <c r="L462" s="38">
        <f t="shared" si="31"/>
        <v>-1.1173883654918598E-2</v>
      </c>
    </row>
    <row r="463" spans="1:12">
      <c r="A463" s="35">
        <v>43011</v>
      </c>
      <c r="B463" s="37">
        <v>903.95</v>
      </c>
      <c r="C463" s="37">
        <v>31671.71</v>
      </c>
      <c r="D463" s="38">
        <f t="shared" si="28"/>
        <v>-4.6015327209516579E-3</v>
      </c>
      <c r="E463" s="38">
        <f t="shared" si="29"/>
        <v>-2.5189798179026E-3</v>
      </c>
      <c r="H463" s="35">
        <v>44837</v>
      </c>
      <c r="I463" s="37">
        <v>1394</v>
      </c>
      <c r="J463" s="37">
        <v>56788.81</v>
      </c>
      <c r="K463" s="38">
        <f t="shared" si="30"/>
        <v>2.5357262012282205E-2</v>
      </c>
      <c r="L463" s="38">
        <f t="shared" si="31"/>
        <v>2.2231867765537542E-2</v>
      </c>
    </row>
    <row r="464" spans="1:12">
      <c r="A464" s="35">
        <v>43012</v>
      </c>
      <c r="B464" s="37">
        <v>899.8</v>
      </c>
      <c r="C464" s="37">
        <v>31592.03</v>
      </c>
      <c r="D464" s="38">
        <f t="shared" si="28"/>
        <v>3.6607728496811558E-3</v>
      </c>
      <c r="E464" s="38">
        <f t="shared" si="29"/>
        <v>7.0084860554343867E-3</v>
      </c>
      <c r="H464" s="35">
        <v>44838</v>
      </c>
      <c r="I464" s="37">
        <v>1429.8</v>
      </c>
      <c r="J464" s="37">
        <v>58065.47</v>
      </c>
      <c r="K464" s="38">
        <f t="shared" si="30"/>
        <v>1.7436961421208336E-2</v>
      </c>
      <c r="L464" s="38">
        <f t="shared" si="31"/>
        <v>2.6938407040250321E-3</v>
      </c>
    </row>
    <row r="465" spans="1:12">
      <c r="A465" s="35">
        <v>43013</v>
      </c>
      <c r="B465" s="37">
        <v>903.1</v>
      </c>
      <c r="C465" s="37">
        <v>31814.22</v>
      </c>
      <c r="D465" s="38">
        <f t="shared" si="28"/>
        <v>1.7942375930109222E-2</v>
      </c>
      <c r="E465" s="38">
        <f t="shared" si="29"/>
        <v>1.0263723918100881E-3</v>
      </c>
      <c r="H465" s="35">
        <v>44840</v>
      </c>
      <c r="I465" s="37">
        <v>1454.95</v>
      </c>
      <c r="J465" s="37">
        <v>58222.1</v>
      </c>
      <c r="K465" s="38">
        <f t="shared" si="30"/>
        <v>-2.2018105018005289E-3</v>
      </c>
      <c r="L465" s="38">
        <f t="shared" si="31"/>
        <v>-5.2932056560434744E-4</v>
      </c>
    </row>
    <row r="466" spans="1:12">
      <c r="A466" s="35">
        <v>43014</v>
      </c>
      <c r="B466" s="37">
        <v>919.45</v>
      </c>
      <c r="C466" s="37">
        <v>31846.89</v>
      </c>
      <c r="D466" s="38">
        <f t="shared" si="28"/>
        <v>4.5575468177840471E-3</v>
      </c>
      <c r="E466" s="38">
        <f t="shared" si="29"/>
        <v>2.4311888947844995E-3</v>
      </c>
      <c r="H466" s="35">
        <v>44841</v>
      </c>
      <c r="I466" s="37">
        <v>1451.75</v>
      </c>
      <c r="J466" s="37">
        <v>58191.29</v>
      </c>
      <c r="K466" s="38">
        <f t="shared" si="30"/>
        <v>7.5143176408834838E-3</v>
      </c>
      <c r="L466" s="38">
        <f t="shared" si="31"/>
        <v>-3.4459642439688023E-3</v>
      </c>
    </row>
    <row r="467" spans="1:12">
      <c r="A467" s="35">
        <v>43017</v>
      </c>
      <c r="B467" s="37">
        <v>923.65</v>
      </c>
      <c r="C467" s="37">
        <v>31924.41</v>
      </c>
      <c r="D467" s="38">
        <f t="shared" si="28"/>
        <v>1.2854822705377652E-2</v>
      </c>
      <c r="E467" s="38">
        <f t="shared" si="29"/>
        <v>-2.8363340553555177E-3</v>
      </c>
      <c r="H467" s="35">
        <v>44844</v>
      </c>
      <c r="I467" s="37">
        <v>1462.7</v>
      </c>
      <c r="J467" s="37">
        <v>57991.11</v>
      </c>
      <c r="K467" s="38">
        <f t="shared" si="30"/>
        <v>-2.6884457106093697E-2</v>
      </c>
      <c r="L467" s="38">
        <f t="shared" si="31"/>
        <v>-1.4657227933382467E-2</v>
      </c>
    </row>
    <row r="468" spans="1:12">
      <c r="A468" s="35">
        <v>43018</v>
      </c>
      <c r="B468" s="37">
        <v>935.6</v>
      </c>
      <c r="C468" s="37">
        <v>31833.99</v>
      </c>
      <c r="D468" s="38">
        <f t="shared" si="28"/>
        <v>-5.3584952994758664E-3</v>
      </c>
      <c r="E468" s="38">
        <f t="shared" si="29"/>
        <v>1.087953925509602E-2</v>
      </c>
      <c r="H468" s="35">
        <v>44845</v>
      </c>
      <c r="I468" s="37">
        <v>1423.9</v>
      </c>
      <c r="J468" s="37">
        <v>57147.32</v>
      </c>
      <c r="K468" s="38">
        <f t="shared" si="30"/>
        <v>3.4703391238916541E-3</v>
      </c>
      <c r="L468" s="38">
        <f t="shared" si="31"/>
        <v>8.339797946151575E-3</v>
      </c>
    </row>
    <row r="469" spans="1:12">
      <c r="A469" s="35">
        <v>43019</v>
      </c>
      <c r="B469" s="37">
        <v>930.6</v>
      </c>
      <c r="C469" s="37">
        <v>32182.22</v>
      </c>
      <c r="D469" s="38">
        <f t="shared" si="28"/>
        <v>-3.7141746371561406E-3</v>
      </c>
      <c r="E469" s="38">
        <f t="shared" si="29"/>
        <v>7.7527386338367933E-3</v>
      </c>
      <c r="H469" s="35">
        <v>44846</v>
      </c>
      <c r="I469" s="37">
        <v>1428.85</v>
      </c>
      <c r="J469" s="37">
        <v>57625.91</v>
      </c>
      <c r="K469" s="38">
        <f t="shared" si="30"/>
        <v>-6.389125153298713E-3</v>
      </c>
      <c r="L469" s="38">
        <f t="shared" si="31"/>
        <v>-6.8009278925517565E-3</v>
      </c>
    </row>
    <row r="470" spans="1:12">
      <c r="A470" s="35">
        <v>43020</v>
      </c>
      <c r="B470" s="37">
        <v>927.15</v>
      </c>
      <c r="C470" s="37">
        <v>32432.69</v>
      </c>
      <c r="D470" s="38">
        <f t="shared" si="28"/>
        <v>5.1101480182177573E-3</v>
      </c>
      <c r="E470" s="38">
        <f t="shared" si="29"/>
        <v>6.1767934014300228E-3</v>
      </c>
      <c r="H470" s="35">
        <v>44847</v>
      </c>
      <c r="I470" s="37">
        <v>1419.75</v>
      </c>
      <c r="J470" s="37">
        <v>57235.33</v>
      </c>
      <c r="K470" s="38">
        <f t="shared" si="30"/>
        <v>3.7532914719003642E-2</v>
      </c>
      <c r="L470" s="38">
        <f t="shared" si="31"/>
        <v>1.1890865064903354E-2</v>
      </c>
    </row>
    <row r="471" spans="1:12">
      <c r="A471" s="35">
        <v>43021</v>
      </c>
      <c r="B471" s="37">
        <v>931.9</v>
      </c>
      <c r="C471" s="37">
        <v>32633.64</v>
      </c>
      <c r="D471" s="38">
        <f t="shared" si="28"/>
        <v>7.9094042088599294E-3</v>
      </c>
      <c r="E471" s="38">
        <f t="shared" si="29"/>
        <v>-7.5042766861040729E-4</v>
      </c>
      <c r="H471" s="35">
        <v>44848</v>
      </c>
      <c r="I471" s="37">
        <v>1474.05</v>
      </c>
      <c r="J471" s="37">
        <v>57919.97</v>
      </c>
      <c r="K471" s="38">
        <f t="shared" si="30"/>
        <v>1.0896624643081547E-2</v>
      </c>
      <c r="L471" s="38">
        <f t="shared" si="31"/>
        <v>8.4416557389255277E-3</v>
      </c>
    </row>
    <row r="472" spans="1:12">
      <c r="A472" s="35">
        <v>43024</v>
      </c>
      <c r="B472" s="37">
        <v>939.3</v>
      </c>
      <c r="C472" s="37">
        <v>32609.16</v>
      </c>
      <c r="D472" s="38">
        <f t="shared" si="28"/>
        <v>-8.3924052647520418E-3</v>
      </c>
      <c r="E472" s="38">
        <f t="shared" si="29"/>
        <v>-7.6111874319103939E-4</v>
      </c>
      <c r="H472" s="35">
        <v>44851</v>
      </c>
      <c r="I472" s="37">
        <v>1490.2</v>
      </c>
      <c r="J472" s="37">
        <v>58410.98</v>
      </c>
      <c r="K472" s="38">
        <f t="shared" si="30"/>
        <v>8.9186394926113691E-3</v>
      </c>
      <c r="L472" s="38">
        <f t="shared" si="31"/>
        <v>9.3655383596243091E-3</v>
      </c>
    </row>
    <row r="473" spans="1:12">
      <c r="A473" s="35">
        <v>43025</v>
      </c>
      <c r="B473" s="37">
        <v>931.45</v>
      </c>
      <c r="C473" s="37">
        <v>32584.35</v>
      </c>
      <c r="D473" s="38">
        <f t="shared" si="28"/>
        <v>-7.5435456593557024E-3</v>
      </c>
      <c r="E473" s="38">
        <f t="shared" si="29"/>
        <v>-5.9836135232105058E-3</v>
      </c>
      <c r="H473" s="35">
        <v>44852</v>
      </c>
      <c r="I473" s="37">
        <v>1503.55</v>
      </c>
      <c r="J473" s="37">
        <v>58960.6</v>
      </c>
      <c r="K473" s="38">
        <f t="shared" si="30"/>
        <v>-1.2414206375438499E-2</v>
      </c>
      <c r="L473" s="38">
        <f t="shared" si="31"/>
        <v>2.4831509986474134E-3</v>
      </c>
    </row>
    <row r="474" spans="1:12">
      <c r="A474" s="35">
        <v>43026</v>
      </c>
      <c r="B474" s="37">
        <v>924.45</v>
      </c>
      <c r="C474" s="37">
        <v>32389.96</v>
      </c>
      <c r="D474" s="38">
        <f t="shared" si="28"/>
        <v>2.8624685365748088E-3</v>
      </c>
      <c r="E474" s="38">
        <f t="shared" si="29"/>
        <v>3.5983389592329374E-3</v>
      </c>
      <c r="H474" s="35">
        <v>44853</v>
      </c>
      <c r="I474" s="37">
        <v>1485</v>
      </c>
      <c r="J474" s="37">
        <v>59107.19</v>
      </c>
      <c r="K474" s="38">
        <f t="shared" si="30"/>
        <v>1.0250315856167664E-2</v>
      </c>
      <c r="L474" s="38">
        <f t="shared" si="31"/>
        <v>1.6179519579247791E-3</v>
      </c>
    </row>
    <row r="475" spans="1:12">
      <c r="A475" s="35">
        <v>43027</v>
      </c>
      <c r="B475" s="37">
        <v>927.1</v>
      </c>
      <c r="C475" s="37">
        <v>32506.720000000001</v>
      </c>
      <c r="D475" s="38">
        <f t="shared" si="28"/>
        <v>1.3446030889673121E-2</v>
      </c>
      <c r="E475" s="38">
        <f t="shared" si="29"/>
        <v>3.0905792110281155E-3</v>
      </c>
      <c r="H475" s="35">
        <v>44854</v>
      </c>
      <c r="I475" s="37">
        <v>1500.3</v>
      </c>
      <c r="J475" s="37">
        <v>59202.9</v>
      </c>
      <c r="K475" s="38">
        <f t="shared" si="30"/>
        <v>-1.3331555812308443E-4</v>
      </c>
      <c r="L475" s="38">
        <f t="shared" si="31"/>
        <v>1.7593449144670183E-3</v>
      </c>
    </row>
    <row r="476" spans="1:12">
      <c r="A476" s="35">
        <v>43031</v>
      </c>
      <c r="B476" s="37">
        <v>939.65</v>
      </c>
      <c r="C476" s="37">
        <v>32607.34</v>
      </c>
      <c r="D476" s="38">
        <f t="shared" si="28"/>
        <v>-1.3823623471768149E-2</v>
      </c>
      <c r="E476" s="38">
        <f t="shared" si="29"/>
        <v>1.3257195246146488E-2</v>
      </c>
      <c r="H476" s="35">
        <v>44855</v>
      </c>
      <c r="I476" s="37">
        <v>1500.1</v>
      </c>
      <c r="J476" s="37">
        <v>59307.15</v>
      </c>
      <c r="K476" s="38">
        <f t="shared" si="30"/>
        <v>1.1466571369130041E-2</v>
      </c>
      <c r="L476" s="38">
        <f t="shared" si="31"/>
        <v>8.8050802042209456E-3</v>
      </c>
    </row>
    <row r="477" spans="1:12">
      <c r="A477" s="35">
        <v>43032</v>
      </c>
      <c r="B477" s="37">
        <v>926.75</v>
      </c>
      <c r="C477" s="37">
        <v>33042.5</v>
      </c>
      <c r="D477" s="38">
        <f t="shared" si="28"/>
        <v>9.2904032609441318E-3</v>
      </c>
      <c r="E477" s="38">
        <f t="shared" si="29"/>
        <v>3.1615250651847774E-3</v>
      </c>
      <c r="H477" s="35">
        <v>44858</v>
      </c>
      <c r="I477" s="37">
        <v>1517.4</v>
      </c>
      <c r="J477" s="37">
        <v>59831.66</v>
      </c>
      <c r="K477" s="38">
        <f t="shared" si="30"/>
        <v>5.4877485206299044E-3</v>
      </c>
      <c r="L477" s="38">
        <f t="shared" si="31"/>
        <v>-4.8200890100868147E-3</v>
      </c>
    </row>
    <row r="478" spans="1:12">
      <c r="A478" s="35">
        <v>43033</v>
      </c>
      <c r="B478" s="37">
        <v>935.4</v>
      </c>
      <c r="C478" s="37">
        <v>33147.129999999997</v>
      </c>
      <c r="D478" s="38">
        <f t="shared" si="28"/>
        <v>1.2852691664795492E-2</v>
      </c>
      <c r="E478" s="38">
        <f t="shared" si="29"/>
        <v>3.0435409073135218E-4</v>
      </c>
      <c r="H478" s="35">
        <v>44859</v>
      </c>
      <c r="I478" s="37">
        <v>1525.75</v>
      </c>
      <c r="J478" s="37">
        <v>59543.96</v>
      </c>
      <c r="K478" s="38">
        <f t="shared" si="30"/>
        <v>-2.0666925524921685E-3</v>
      </c>
      <c r="L478" s="38">
        <f t="shared" si="31"/>
        <v>3.5687979618284392E-3</v>
      </c>
    </row>
    <row r="479" spans="1:12">
      <c r="A479" s="35">
        <v>43034</v>
      </c>
      <c r="B479" s="37">
        <v>947.5</v>
      </c>
      <c r="C479" s="37">
        <v>33157.22</v>
      </c>
      <c r="D479" s="38">
        <f t="shared" si="28"/>
        <v>-5.2771840957894589E-5</v>
      </c>
      <c r="E479" s="38">
        <f t="shared" si="29"/>
        <v>3.2801732666614281E-3</v>
      </c>
      <c r="H479" s="35">
        <v>44861</v>
      </c>
      <c r="I479" s="37">
        <v>1522.6</v>
      </c>
      <c r="J479" s="37">
        <v>59756.84</v>
      </c>
      <c r="K479" s="38">
        <f t="shared" si="30"/>
        <v>-6.5893754501830199E-3</v>
      </c>
      <c r="L479" s="38">
        <f t="shared" si="31"/>
        <v>3.3915103164117466E-3</v>
      </c>
    </row>
    <row r="480" spans="1:12">
      <c r="A480" s="35">
        <v>43035</v>
      </c>
      <c r="B480" s="37">
        <v>947.45</v>
      </c>
      <c r="C480" s="37">
        <v>33266.160000000003</v>
      </c>
      <c r="D480" s="38">
        <f t="shared" si="28"/>
        <v>-2.9596765962966029E-3</v>
      </c>
      <c r="E480" s="38">
        <f t="shared" si="29"/>
        <v>-1.5953844046136477E-3</v>
      </c>
      <c r="H480" s="35">
        <v>44862</v>
      </c>
      <c r="I480" s="37">
        <v>1512.6</v>
      </c>
      <c r="J480" s="37">
        <v>59959.85</v>
      </c>
      <c r="K480" s="38">
        <f t="shared" si="30"/>
        <v>1.658782502394875E-2</v>
      </c>
      <c r="L480" s="38">
        <f t="shared" si="31"/>
        <v>1.3035777394483599E-2</v>
      </c>
    </row>
    <row r="481" spans="1:12">
      <c r="A481" s="35">
        <v>43038</v>
      </c>
      <c r="B481" s="37">
        <v>944.65</v>
      </c>
      <c r="C481" s="37">
        <v>33213.129999999997</v>
      </c>
      <c r="D481" s="38">
        <f t="shared" si="28"/>
        <v>-2.4648946577144393E-2</v>
      </c>
      <c r="E481" s="38">
        <f t="shared" si="29"/>
        <v>1.1588822983369463E-2</v>
      </c>
      <c r="H481" s="35">
        <v>44865</v>
      </c>
      <c r="I481" s="37">
        <v>1537.9</v>
      </c>
      <c r="J481" s="37">
        <v>60746.59</v>
      </c>
      <c r="K481" s="38">
        <f t="shared" si="30"/>
        <v>2.2407830004261192E-2</v>
      </c>
      <c r="L481" s="38">
        <f t="shared" si="31"/>
        <v>6.1502833526977429E-3</v>
      </c>
    </row>
    <row r="482" spans="1:12">
      <c r="A482" s="35">
        <v>43039</v>
      </c>
      <c r="B482" s="37">
        <v>921.65</v>
      </c>
      <c r="C482" s="37">
        <v>33600.269999999997</v>
      </c>
      <c r="D482" s="38">
        <f t="shared" si="28"/>
        <v>4.9786346681140467E-3</v>
      </c>
      <c r="E482" s="38">
        <f t="shared" si="29"/>
        <v>-8.0537728386963366E-4</v>
      </c>
      <c r="H482" s="35">
        <v>44866</v>
      </c>
      <c r="I482" s="37">
        <v>1572.75</v>
      </c>
      <c r="J482" s="37">
        <v>61121.35</v>
      </c>
      <c r="K482" s="38">
        <f t="shared" si="30"/>
        <v>-1.2991351280295993E-2</v>
      </c>
      <c r="L482" s="38">
        <f t="shared" si="31"/>
        <v>-3.5280625944859555E-3</v>
      </c>
    </row>
    <row r="483" spans="1:12">
      <c r="A483" s="35">
        <v>43040</v>
      </c>
      <c r="B483" s="37">
        <v>926.25</v>
      </c>
      <c r="C483" s="37">
        <v>33573.22</v>
      </c>
      <c r="D483" s="38">
        <f t="shared" si="28"/>
        <v>-3.6232903387656448E-3</v>
      </c>
      <c r="E483" s="38">
        <f t="shared" si="29"/>
        <v>3.3405335175081146E-3</v>
      </c>
      <c r="H483" s="35">
        <v>44867</v>
      </c>
      <c r="I483" s="37">
        <v>1552.45</v>
      </c>
      <c r="J483" s="37">
        <v>60906.09</v>
      </c>
      <c r="K483" s="38">
        <f t="shared" si="30"/>
        <v>-1.4239848784375786E-2</v>
      </c>
      <c r="L483" s="38">
        <f t="shared" si="31"/>
        <v>-1.1447112981717873E-3</v>
      </c>
    </row>
    <row r="484" spans="1:12">
      <c r="A484" s="35">
        <v>43041</v>
      </c>
      <c r="B484" s="37">
        <v>922.9</v>
      </c>
      <c r="C484" s="37">
        <v>33685.56</v>
      </c>
      <c r="D484" s="38">
        <f t="shared" si="28"/>
        <v>4.0550459717882733E-3</v>
      </c>
      <c r="E484" s="38">
        <f t="shared" si="29"/>
        <v>1.3536697324563641E-3</v>
      </c>
      <c r="H484" s="35">
        <v>44868</v>
      </c>
      <c r="I484" s="37">
        <v>1530.5</v>
      </c>
      <c r="J484" s="37">
        <v>60836.41</v>
      </c>
      <c r="K484" s="38">
        <f t="shared" si="30"/>
        <v>-1.0905376767634046E-2</v>
      </c>
      <c r="L484" s="38">
        <f t="shared" si="31"/>
        <v>1.8713039725464105E-3</v>
      </c>
    </row>
    <row r="485" spans="1:12">
      <c r="A485" s="35">
        <v>43042</v>
      </c>
      <c r="B485" s="37">
        <v>926.65</v>
      </c>
      <c r="C485" s="37">
        <v>33731.19</v>
      </c>
      <c r="D485" s="38">
        <f t="shared" si="28"/>
        <v>2.1021433425022374E-3</v>
      </c>
      <c r="E485" s="38">
        <f t="shared" si="29"/>
        <v>-1.0742861165757588E-2</v>
      </c>
      <c r="H485" s="35">
        <v>44869</v>
      </c>
      <c r="I485" s="37">
        <v>1513.9</v>
      </c>
      <c r="J485" s="37">
        <v>60950.36</v>
      </c>
      <c r="K485" s="38">
        <f t="shared" si="30"/>
        <v>-4.5350050414002391E-3</v>
      </c>
      <c r="L485" s="38">
        <f t="shared" si="31"/>
        <v>3.8447506253369485E-3</v>
      </c>
    </row>
    <row r="486" spans="1:12">
      <c r="A486" s="35">
        <v>43045</v>
      </c>
      <c r="B486" s="37">
        <v>928.6</v>
      </c>
      <c r="C486" s="37">
        <v>33370.76</v>
      </c>
      <c r="D486" s="38">
        <f t="shared" si="28"/>
        <v>2.8765980686312604E-2</v>
      </c>
      <c r="E486" s="38">
        <f t="shared" si="29"/>
        <v>-4.5637857020621531E-3</v>
      </c>
      <c r="H486" s="35">
        <v>44872</v>
      </c>
      <c r="I486" s="37">
        <v>1507.05</v>
      </c>
      <c r="J486" s="37">
        <v>61185.15</v>
      </c>
      <c r="K486" s="38">
        <f t="shared" si="30"/>
        <v>2.1211024424176196E-3</v>
      </c>
      <c r="L486" s="38">
        <f t="shared" si="31"/>
        <v>-2.4808000371495439E-3</v>
      </c>
    </row>
    <row r="487" spans="1:12">
      <c r="A487" s="35">
        <v>43046</v>
      </c>
      <c r="B487" s="37">
        <v>955.7</v>
      </c>
      <c r="C487" s="37">
        <v>33218.81</v>
      </c>
      <c r="D487" s="38">
        <f t="shared" si="28"/>
        <v>-3.9315438684485275E-3</v>
      </c>
      <c r="E487" s="38">
        <f t="shared" si="29"/>
        <v>9.664548860910773E-4</v>
      </c>
      <c r="H487" s="35">
        <v>44874</v>
      </c>
      <c r="I487" s="37">
        <v>1510.25</v>
      </c>
      <c r="J487" s="37">
        <v>61033.55</v>
      </c>
      <c r="K487" s="38">
        <f t="shared" si="30"/>
        <v>-5.3112158048133316E-3</v>
      </c>
      <c r="L487" s="38">
        <f t="shared" si="31"/>
        <v>-6.9027728467784405E-3</v>
      </c>
    </row>
    <row r="488" spans="1:12">
      <c r="A488" s="35">
        <v>43047</v>
      </c>
      <c r="B488" s="37">
        <v>951.95</v>
      </c>
      <c r="C488" s="37">
        <v>33250.93</v>
      </c>
      <c r="D488" s="38">
        <f t="shared" si="28"/>
        <v>2.7798921681106139E-3</v>
      </c>
      <c r="E488" s="38">
        <f t="shared" si="29"/>
        <v>1.9118020277643683E-3</v>
      </c>
      <c r="H488" s="35">
        <v>44875</v>
      </c>
      <c r="I488" s="37">
        <v>1502.25</v>
      </c>
      <c r="J488" s="37">
        <v>60613.7</v>
      </c>
      <c r="K488" s="38">
        <f t="shared" si="30"/>
        <v>4.4143481754965248E-2</v>
      </c>
      <c r="L488" s="38">
        <f t="shared" si="31"/>
        <v>1.9302162211082573E-2</v>
      </c>
    </row>
    <row r="489" spans="1:12">
      <c r="A489" s="35">
        <v>43048</v>
      </c>
      <c r="B489" s="37">
        <v>954.6</v>
      </c>
      <c r="C489" s="37">
        <v>33314.559999999998</v>
      </c>
      <c r="D489" s="38">
        <f t="shared" si="28"/>
        <v>6.2656846589277341E-3</v>
      </c>
      <c r="E489" s="38">
        <f t="shared" si="29"/>
        <v>-8.4705242631954794E-3</v>
      </c>
      <c r="H489" s="35">
        <v>44876</v>
      </c>
      <c r="I489" s="37">
        <v>1570.05</v>
      </c>
      <c r="J489" s="37">
        <v>61795.040000000001</v>
      </c>
      <c r="K489" s="38">
        <f t="shared" si="30"/>
        <v>8.8458274053686732E-3</v>
      </c>
      <c r="L489" s="38">
        <f t="shared" si="31"/>
        <v>-2.7692631787707375E-3</v>
      </c>
    </row>
    <row r="490" spans="1:12">
      <c r="A490" s="35">
        <v>43049</v>
      </c>
      <c r="B490" s="37">
        <v>960.6</v>
      </c>
      <c r="C490" s="37">
        <v>33033.56</v>
      </c>
      <c r="D490" s="38">
        <f t="shared" si="28"/>
        <v>-9.2031605437139456E-3</v>
      </c>
      <c r="E490" s="38">
        <f t="shared" si="29"/>
        <v>-2.7795213773088262E-3</v>
      </c>
      <c r="H490" s="35">
        <v>44879</v>
      </c>
      <c r="I490" s="37">
        <v>1584</v>
      </c>
      <c r="J490" s="37">
        <v>61624.15</v>
      </c>
      <c r="K490" s="38">
        <f t="shared" si="30"/>
        <v>6.1050634912169239E-3</v>
      </c>
      <c r="L490" s="38">
        <f t="shared" si="31"/>
        <v>4.0298963484451979E-3</v>
      </c>
    </row>
    <row r="491" spans="1:12">
      <c r="A491" s="35">
        <v>43052</v>
      </c>
      <c r="B491" s="37">
        <v>951.8</v>
      </c>
      <c r="C491" s="37">
        <v>32941.870000000003</v>
      </c>
      <c r="D491" s="38">
        <f t="shared" si="28"/>
        <v>-2.4720591155841507E-3</v>
      </c>
      <c r="E491" s="38">
        <f t="shared" si="29"/>
        <v>-5.5228031146797767E-3</v>
      </c>
      <c r="H491" s="35">
        <v>44880</v>
      </c>
      <c r="I491" s="37">
        <v>1593.7</v>
      </c>
      <c r="J491" s="37">
        <v>61872.99</v>
      </c>
      <c r="K491" s="38">
        <f t="shared" si="30"/>
        <v>5.3193279154284635E-3</v>
      </c>
      <c r="L491" s="38">
        <f t="shared" si="31"/>
        <v>1.7396334299364243E-3</v>
      </c>
    </row>
    <row r="492" spans="1:12">
      <c r="A492" s="35">
        <v>43053</v>
      </c>
      <c r="B492" s="37">
        <v>949.45</v>
      </c>
      <c r="C492" s="37">
        <v>32760.44</v>
      </c>
      <c r="D492" s="38">
        <f t="shared" si="28"/>
        <v>2.6296428322597743E-3</v>
      </c>
      <c r="E492" s="38">
        <f t="shared" si="29"/>
        <v>1.0517613547186626E-2</v>
      </c>
      <c r="H492" s="35">
        <v>44881</v>
      </c>
      <c r="I492" s="37">
        <v>1602.2</v>
      </c>
      <c r="J492" s="37">
        <v>61980.72</v>
      </c>
      <c r="K492" s="38">
        <f t="shared" si="30"/>
        <v>-9.6267656801232778E-3</v>
      </c>
      <c r="L492" s="38">
        <f t="shared" si="31"/>
        <v>-3.7196768825908796E-3</v>
      </c>
    </row>
    <row r="493" spans="1:12">
      <c r="A493" s="35">
        <v>43054</v>
      </c>
      <c r="B493" s="37">
        <v>951.95</v>
      </c>
      <c r="C493" s="37">
        <v>33106.82</v>
      </c>
      <c r="D493" s="38">
        <f t="shared" si="28"/>
        <v>3.7777288469173463E-2</v>
      </c>
      <c r="E493" s="38">
        <f t="shared" si="29"/>
        <v>7.1025535443244719E-3</v>
      </c>
      <c r="H493" s="35">
        <v>44882</v>
      </c>
      <c r="I493" s="37">
        <v>1586.85</v>
      </c>
      <c r="J493" s="37">
        <v>61750.6</v>
      </c>
      <c r="K493" s="38">
        <f t="shared" si="30"/>
        <v>3.8053351996993902E-3</v>
      </c>
      <c r="L493" s="38">
        <f t="shared" si="31"/>
        <v>-1.4118326607652715E-3</v>
      </c>
    </row>
    <row r="494" spans="1:12">
      <c r="A494" s="35">
        <v>43055</v>
      </c>
      <c r="B494" s="37">
        <v>988.6</v>
      </c>
      <c r="C494" s="37">
        <v>33342.800000000003</v>
      </c>
      <c r="D494" s="38">
        <f t="shared" si="28"/>
        <v>-1.8014827213230063E-2</v>
      </c>
      <c r="E494" s="38">
        <f t="shared" si="29"/>
        <v>5.1272288451911568E-4</v>
      </c>
      <c r="H494" s="35">
        <v>44883</v>
      </c>
      <c r="I494" s="37">
        <v>1592.9</v>
      </c>
      <c r="J494" s="37">
        <v>61663.48</v>
      </c>
      <c r="K494" s="38">
        <f t="shared" si="30"/>
        <v>-1.626566667026165E-2</v>
      </c>
      <c r="L494" s="38">
        <f t="shared" si="31"/>
        <v>-8.4463834921183045E-3</v>
      </c>
    </row>
    <row r="495" spans="1:12">
      <c r="A495" s="35">
        <v>43056</v>
      </c>
      <c r="B495" s="37">
        <v>970.95</v>
      </c>
      <c r="C495" s="37">
        <v>33359.9</v>
      </c>
      <c r="D495" s="38">
        <f t="shared" si="28"/>
        <v>-9.9364270412834171E-3</v>
      </c>
      <c r="E495" s="38">
        <f t="shared" si="29"/>
        <v>3.544381368563413E-3</v>
      </c>
      <c r="H495" s="35">
        <v>44886</v>
      </c>
      <c r="I495" s="37">
        <v>1567.2</v>
      </c>
      <c r="J495" s="37">
        <v>61144.84</v>
      </c>
      <c r="K495" s="38">
        <f t="shared" si="30"/>
        <v>1.1672296945392421E-2</v>
      </c>
      <c r="L495" s="38">
        <f t="shared" si="31"/>
        <v>4.4731063668849852E-3</v>
      </c>
    </row>
    <row r="496" spans="1:12">
      <c r="A496" s="35">
        <v>43059</v>
      </c>
      <c r="B496" s="37">
        <v>961.35</v>
      </c>
      <c r="C496" s="37">
        <v>33478.35</v>
      </c>
      <c r="D496" s="38">
        <f t="shared" si="28"/>
        <v>5.2392805622048268E-3</v>
      </c>
      <c r="E496" s="38">
        <f t="shared" si="29"/>
        <v>2.4821052154075959E-3</v>
      </c>
      <c r="H496" s="35">
        <v>44887</v>
      </c>
      <c r="I496" s="37">
        <v>1585.6</v>
      </c>
      <c r="J496" s="37">
        <v>61418.96</v>
      </c>
      <c r="K496" s="38">
        <f t="shared" si="30"/>
        <v>-1.3884508383900569E-3</v>
      </c>
      <c r="L496" s="38">
        <f t="shared" si="31"/>
        <v>1.4906102628279418E-3</v>
      </c>
    </row>
    <row r="497" spans="1:12">
      <c r="A497" s="35">
        <v>43060</v>
      </c>
      <c r="B497" s="37">
        <v>966.4</v>
      </c>
      <c r="C497" s="37">
        <v>33561.550000000003</v>
      </c>
      <c r="D497" s="38">
        <f t="shared" si="28"/>
        <v>-1.0348217528766509E-4</v>
      </c>
      <c r="E497" s="38">
        <f t="shared" si="29"/>
        <v>7.9017565339952562E-4</v>
      </c>
      <c r="H497" s="35">
        <v>44888</v>
      </c>
      <c r="I497" s="37">
        <v>1583.4</v>
      </c>
      <c r="J497" s="37">
        <v>61510.58</v>
      </c>
      <c r="K497" s="38">
        <f t="shared" si="30"/>
        <v>2.8882874148785931E-2</v>
      </c>
      <c r="L497" s="38">
        <f t="shared" si="31"/>
        <v>1.2313613802578673E-2</v>
      </c>
    </row>
    <row r="498" spans="1:12">
      <c r="A498" s="35">
        <v>43061</v>
      </c>
      <c r="B498" s="37">
        <v>966.3</v>
      </c>
      <c r="C498" s="37">
        <v>33588.080000000002</v>
      </c>
      <c r="D498" s="38">
        <f t="shared" si="28"/>
        <v>2.5643740581210644E-2</v>
      </c>
      <c r="E498" s="38">
        <f t="shared" si="29"/>
        <v>2.7103816773548341E-3</v>
      </c>
      <c r="H498" s="35">
        <v>44889</v>
      </c>
      <c r="I498" s="37">
        <v>1629.8</v>
      </c>
      <c r="J498" s="37">
        <v>62272.68</v>
      </c>
      <c r="K498" s="38">
        <f t="shared" si="30"/>
        <v>5.8272379008594962E-4</v>
      </c>
      <c r="L498" s="38">
        <f t="shared" si="31"/>
        <v>3.3652756536135835E-4</v>
      </c>
    </row>
    <row r="499" spans="1:12">
      <c r="A499" s="35">
        <v>43062</v>
      </c>
      <c r="B499" s="37">
        <v>991.4</v>
      </c>
      <c r="C499" s="37">
        <v>33679.24</v>
      </c>
      <c r="D499" s="38">
        <f t="shared" si="28"/>
        <v>1.8538018072926033E-2</v>
      </c>
      <c r="E499" s="38">
        <f t="shared" si="29"/>
        <v>1.3411732645836688E-3</v>
      </c>
      <c r="H499" s="35">
        <v>44890</v>
      </c>
      <c r="I499" s="37">
        <v>1630.75</v>
      </c>
      <c r="J499" s="37">
        <v>62293.64</v>
      </c>
      <c r="K499" s="38">
        <f t="shared" si="30"/>
        <v>-4.6097192876092645E-3</v>
      </c>
      <c r="L499" s="38">
        <f t="shared" si="31"/>
        <v>3.3840198885464494E-3</v>
      </c>
    </row>
    <row r="500" spans="1:12">
      <c r="A500" s="35">
        <v>43063</v>
      </c>
      <c r="B500" s="37">
        <v>1009.95</v>
      </c>
      <c r="C500" s="37">
        <v>33724.44</v>
      </c>
      <c r="D500" s="38">
        <f t="shared" si="28"/>
        <v>-1.2403954895381134E-2</v>
      </c>
      <c r="E500" s="38">
        <f t="shared" si="29"/>
        <v>-3.1436092842846816E-3</v>
      </c>
      <c r="H500" s="35">
        <v>44893</v>
      </c>
      <c r="I500" s="37">
        <v>1623.25</v>
      </c>
      <c r="J500" s="37">
        <v>62504.800000000003</v>
      </c>
      <c r="K500" s="38">
        <f t="shared" si="30"/>
        <v>3.1062133815782946E-3</v>
      </c>
      <c r="L500" s="38">
        <f t="shared" si="31"/>
        <v>2.8284187198561912E-3</v>
      </c>
    </row>
    <row r="501" spans="1:12">
      <c r="A501" s="35">
        <v>43066</v>
      </c>
      <c r="B501" s="37">
        <v>997.5</v>
      </c>
      <c r="C501" s="37">
        <v>33618.589999999997</v>
      </c>
      <c r="D501" s="38">
        <f t="shared" si="28"/>
        <v>-1.3118250684838267E-2</v>
      </c>
      <c r="E501" s="38">
        <f t="shared" si="29"/>
        <v>-4.7098132639754249E-4</v>
      </c>
      <c r="H501" s="35">
        <v>44894</v>
      </c>
      <c r="I501" s="37">
        <v>1628.3</v>
      </c>
      <c r="J501" s="37">
        <v>62681.84</v>
      </c>
      <c r="K501" s="38">
        <f t="shared" si="30"/>
        <v>2.5147987614761455E-3</v>
      </c>
      <c r="L501" s="38">
        <f t="shared" si="31"/>
        <v>6.6434502673527168E-3</v>
      </c>
    </row>
    <row r="502" spans="1:12">
      <c r="A502" s="35">
        <v>43067</v>
      </c>
      <c r="B502" s="37">
        <v>984.5</v>
      </c>
      <c r="C502" s="37">
        <v>33602.76</v>
      </c>
      <c r="D502" s="38">
        <f t="shared" si="28"/>
        <v>-1.2196362930697868E-3</v>
      </c>
      <c r="E502" s="38">
        <f t="shared" si="29"/>
        <v>-1.3585097856263726E-2</v>
      </c>
      <c r="H502" s="35">
        <v>44895</v>
      </c>
      <c r="I502" s="37">
        <v>1632.4</v>
      </c>
      <c r="J502" s="37">
        <v>63099.65</v>
      </c>
      <c r="K502" s="38">
        <f t="shared" si="30"/>
        <v>1.5319448533513242E-2</v>
      </c>
      <c r="L502" s="38">
        <f t="shared" si="31"/>
        <v>2.9203121403785807E-3</v>
      </c>
    </row>
    <row r="503" spans="1:12">
      <c r="A503" s="35">
        <v>43068</v>
      </c>
      <c r="B503" s="37">
        <v>983.3</v>
      </c>
      <c r="C503" s="37">
        <v>33149.35</v>
      </c>
      <c r="D503" s="38">
        <f t="shared" si="28"/>
        <v>-8.5280741545146407E-3</v>
      </c>
      <c r="E503" s="38">
        <f t="shared" si="29"/>
        <v>-9.5908288537530067E-3</v>
      </c>
      <c r="H503" s="35">
        <v>44896</v>
      </c>
      <c r="I503" s="37">
        <v>1657.6</v>
      </c>
      <c r="J503" s="37">
        <v>63284.19</v>
      </c>
      <c r="K503" s="38">
        <f t="shared" si="30"/>
        <v>-1.1559068676296042E-2</v>
      </c>
      <c r="L503" s="38">
        <f t="shared" si="31"/>
        <v>-6.5902915667927072E-3</v>
      </c>
    </row>
    <row r="504" spans="1:12">
      <c r="A504" s="35">
        <v>43069</v>
      </c>
      <c r="B504" s="37">
        <v>974.95</v>
      </c>
      <c r="C504" s="37">
        <v>32832.94</v>
      </c>
      <c r="D504" s="38">
        <f t="shared" si="28"/>
        <v>-1.7016625145896646E-2</v>
      </c>
      <c r="E504" s="38">
        <f t="shared" si="29"/>
        <v>1.1195894912600407E-3</v>
      </c>
      <c r="H504" s="35">
        <v>44897</v>
      </c>
      <c r="I504" s="37">
        <v>1638.55</v>
      </c>
      <c r="J504" s="37">
        <v>62868.5</v>
      </c>
      <c r="K504" s="38">
        <f t="shared" si="30"/>
        <v>1.1893690122885079E-3</v>
      </c>
      <c r="L504" s="38">
        <f t="shared" si="31"/>
        <v>-5.3936618622516192E-4</v>
      </c>
    </row>
    <row r="505" spans="1:12">
      <c r="A505" s="35">
        <v>43070</v>
      </c>
      <c r="B505" s="37">
        <v>958.5</v>
      </c>
      <c r="C505" s="37">
        <v>32869.72</v>
      </c>
      <c r="D505" s="38">
        <f t="shared" si="28"/>
        <v>2.7576600842729549E-2</v>
      </c>
      <c r="E505" s="38">
        <f t="shared" si="29"/>
        <v>-2.0489663668215325E-3</v>
      </c>
      <c r="H505" s="35">
        <v>44900</v>
      </c>
      <c r="I505" s="37">
        <v>1640.5</v>
      </c>
      <c r="J505" s="37">
        <v>62834.6</v>
      </c>
      <c r="K505" s="38">
        <f t="shared" si="30"/>
        <v>-1.6998273020531501E-2</v>
      </c>
      <c r="L505" s="38">
        <f t="shared" si="31"/>
        <v>-3.3196014318625133E-3</v>
      </c>
    </row>
    <row r="506" spans="1:12">
      <c r="A506" s="35">
        <v>43073</v>
      </c>
      <c r="B506" s="37">
        <v>985.3</v>
      </c>
      <c r="C506" s="37">
        <v>32802.44</v>
      </c>
      <c r="D506" s="38">
        <f t="shared" si="28"/>
        <v>-9.1384481152807654E-4</v>
      </c>
      <c r="E506" s="38">
        <f t="shared" si="29"/>
        <v>-6.27712130361242E-3</v>
      </c>
      <c r="H506" s="35">
        <v>44901</v>
      </c>
      <c r="I506" s="37">
        <v>1612.85</v>
      </c>
      <c r="J506" s="37">
        <v>62626.36</v>
      </c>
      <c r="K506" s="38">
        <f t="shared" si="30"/>
        <v>-4.8478916537672044E-3</v>
      </c>
      <c r="L506" s="38">
        <f t="shared" si="31"/>
        <v>-3.449861159706552E-3</v>
      </c>
    </row>
    <row r="507" spans="1:12">
      <c r="A507" s="35">
        <v>43074</v>
      </c>
      <c r="B507" s="37">
        <v>984.4</v>
      </c>
      <c r="C507" s="37">
        <v>32597.18</v>
      </c>
      <c r="D507" s="38">
        <f t="shared" si="28"/>
        <v>6.0765834134308243E-3</v>
      </c>
      <c r="E507" s="38">
        <f t="shared" si="29"/>
        <v>1.0741503376733682E-2</v>
      </c>
      <c r="H507" s="35">
        <v>44902</v>
      </c>
      <c r="I507" s="37">
        <v>1605.05</v>
      </c>
      <c r="J507" s="37">
        <v>62410.68</v>
      </c>
      <c r="K507" s="38">
        <f t="shared" si="30"/>
        <v>9.2403758257321358E-3</v>
      </c>
      <c r="L507" s="38">
        <f t="shared" si="31"/>
        <v>2.5603832028629992E-3</v>
      </c>
    </row>
    <row r="508" spans="1:12">
      <c r="A508" s="35">
        <v>43075</v>
      </c>
      <c r="B508" s="37">
        <v>990.4</v>
      </c>
      <c r="C508" s="37">
        <v>32949.21</v>
      </c>
      <c r="D508" s="38">
        <f t="shared" si="28"/>
        <v>9.746372052138786E-3</v>
      </c>
      <c r="E508" s="38">
        <f t="shared" si="29"/>
        <v>9.0965046772463164E-3</v>
      </c>
      <c r="H508" s="35">
        <v>44903</v>
      </c>
      <c r="I508" s="37">
        <v>1619.95</v>
      </c>
      <c r="J508" s="37">
        <v>62570.68</v>
      </c>
      <c r="K508" s="38">
        <f t="shared" si="30"/>
        <v>-3.2052417684202895E-2</v>
      </c>
      <c r="L508" s="38">
        <f t="shared" si="31"/>
        <v>-6.2365359988455389E-3</v>
      </c>
    </row>
    <row r="509" spans="1:12">
      <c r="A509" s="35">
        <v>43076</v>
      </c>
      <c r="B509" s="37">
        <v>1000.1</v>
      </c>
      <c r="C509" s="37">
        <v>33250.300000000003</v>
      </c>
      <c r="D509" s="38">
        <f t="shared" si="28"/>
        <v>1.4488049895171626E-3</v>
      </c>
      <c r="E509" s="38">
        <f t="shared" si="29"/>
        <v>6.1610761480224291E-3</v>
      </c>
      <c r="H509" s="35">
        <v>44904</v>
      </c>
      <c r="I509" s="37">
        <v>1568.85</v>
      </c>
      <c r="J509" s="37">
        <v>62181.67</v>
      </c>
      <c r="K509" s="38">
        <f t="shared" si="30"/>
        <v>-1.3960656143363932E-2</v>
      </c>
      <c r="L509" s="38">
        <f t="shared" si="31"/>
        <v>-8.2212343495940748E-4</v>
      </c>
    </row>
    <row r="510" spans="1:12">
      <c r="A510" s="35">
        <v>43077</v>
      </c>
      <c r="B510" s="37">
        <v>1001.55</v>
      </c>
      <c r="C510" s="37">
        <v>33455.79</v>
      </c>
      <c r="D510" s="38">
        <f t="shared" si="28"/>
        <v>1.9450892644054356E-3</v>
      </c>
      <c r="E510" s="38">
        <f t="shared" si="29"/>
        <v>-6.8322727397990999E-3</v>
      </c>
      <c r="H510" s="35">
        <v>44907</v>
      </c>
      <c r="I510" s="37">
        <v>1547.1</v>
      </c>
      <c r="J510" s="37">
        <v>62130.57</v>
      </c>
      <c r="K510" s="38">
        <f t="shared" si="30"/>
        <v>1.6411676771656992E-2</v>
      </c>
      <c r="L510" s="38">
        <f t="shared" si="31"/>
        <v>6.4610765093866696E-3</v>
      </c>
    </row>
    <row r="511" spans="1:12">
      <c r="A511" s="35">
        <v>43080</v>
      </c>
      <c r="B511" s="37">
        <v>1003.5</v>
      </c>
      <c r="C511" s="37">
        <v>33227.99</v>
      </c>
      <c r="D511" s="38">
        <f t="shared" si="28"/>
        <v>7.5449578609606896E-3</v>
      </c>
      <c r="E511" s="38">
        <f t="shared" si="29"/>
        <v>-5.2790491124615167E-3</v>
      </c>
      <c r="H511" s="35">
        <v>44908</v>
      </c>
      <c r="I511" s="37">
        <v>1572.7</v>
      </c>
      <c r="J511" s="37">
        <v>62533.3</v>
      </c>
      <c r="K511" s="38">
        <f t="shared" si="30"/>
        <v>4.7891748557284198E-3</v>
      </c>
      <c r="L511" s="38">
        <f t="shared" si="31"/>
        <v>2.3098581076973343E-3</v>
      </c>
    </row>
    <row r="512" spans="1:12">
      <c r="A512" s="35">
        <v>43081</v>
      </c>
      <c r="B512" s="37">
        <v>1011.1</v>
      </c>
      <c r="C512" s="37">
        <v>33053.040000000001</v>
      </c>
      <c r="D512" s="38">
        <f t="shared" si="28"/>
        <v>-7.5947847126612393E-3</v>
      </c>
      <c r="E512" s="38">
        <f t="shared" si="29"/>
        <v>5.8419701428286423E-3</v>
      </c>
      <c r="H512" s="35">
        <v>44909</v>
      </c>
      <c r="I512" s="37">
        <v>1580.25</v>
      </c>
      <c r="J512" s="37">
        <v>62677.91</v>
      </c>
      <c r="K512" s="38">
        <f t="shared" si="30"/>
        <v>-2.6190332252191001E-2</v>
      </c>
      <c r="L512" s="38">
        <f t="shared" si="31"/>
        <v>-1.4121404414944838E-2</v>
      </c>
    </row>
    <row r="513" spans="1:12">
      <c r="A513" s="35">
        <v>43082</v>
      </c>
      <c r="B513" s="37">
        <v>1003.45</v>
      </c>
      <c r="C513" s="37">
        <v>33246.699999999997</v>
      </c>
      <c r="D513" s="38">
        <f t="shared" si="28"/>
        <v>8.9290736605862047E-3</v>
      </c>
      <c r="E513" s="38">
        <f t="shared" si="29"/>
        <v>6.4839402650940549E-3</v>
      </c>
      <c r="H513" s="35">
        <v>44910</v>
      </c>
      <c r="I513" s="37">
        <v>1539.4</v>
      </c>
      <c r="J513" s="37">
        <v>61799.03</v>
      </c>
      <c r="K513" s="38">
        <f t="shared" si="30"/>
        <v>-1.1137536537280314E-2</v>
      </c>
      <c r="L513" s="38">
        <f t="shared" si="31"/>
        <v>-7.4912131398508757E-3</v>
      </c>
    </row>
    <row r="514" spans="1:12">
      <c r="A514" s="35">
        <v>43083</v>
      </c>
      <c r="B514" s="37">
        <v>1012.45</v>
      </c>
      <c r="C514" s="37">
        <v>33462.97</v>
      </c>
      <c r="D514" s="38">
        <f t="shared" si="28"/>
        <v>1.0806136884264036E-2</v>
      </c>
      <c r="E514" s="38">
        <f t="shared" si="29"/>
        <v>4.1366113979644757E-3</v>
      </c>
      <c r="H514" s="35">
        <v>44911</v>
      </c>
      <c r="I514" s="37">
        <v>1522.35</v>
      </c>
      <c r="J514" s="37">
        <v>61337.81</v>
      </c>
      <c r="K514" s="38">
        <f t="shared" si="30"/>
        <v>-9.7362111699565469E-3</v>
      </c>
      <c r="L514" s="38">
        <f t="shared" si="31"/>
        <v>7.6070658523497018E-3</v>
      </c>
    </row>
    <row r="515" spans="1:12">
      <c r="A515" s="35">
        <v>43084</v>
      </c>
      <c r="B515" s="37">
        <v>1023.45</v>
      </c>
      <c r="C515" s="37">
        <v>33601.68</v>
      </c>
      <c r="D515" s="38">
        <f t="shared" si="28"/>
        <v>-7.9458923068160305E-3</v>
      </c>
      <c r="E515" s="38">
        <f t="shared" si="29"/>
        <v>6.9711286808413243E-3</v>
      </c>
      <c r="H515" s="35">
        <v>44914</v>
      </c>
      <c r="I515" s="37">
        <v>1507.6</v>
      </c>
      <c r="J515" s="37">
        <v>61806.19</v>
      </c>
      <c r="K515" s="38">
        <f t="shared" si="30"/>
        <v>-6.633279163980807E-5</v>
      </c>
      <c r="L515" s="38">
        <f t="shared" si="31"/>
        <v>-1.6824759645550644E-3</v>
      </c>
    </row>
    <row r="516" spans="1:12">
      <c r="A516" s="35">
        <v>43087</v>
      </c>
      <c r="B516" s="37">
        <v>1015.35</v>
      </c>
      <c r="C516" s="37">
        <v>33836.74</v>
      </c>
      <c r="D516" s="38">
        <f t="shared" si="28"/>
        <v>-1.0444863908792214E-2</v>
      </c>
      <c r="E516" s="38">
        <f t="shared" si="29"/>
        <v>-1.7558467151702363E-3</v>
      </c>
      <c r="H516" s="35">
        <v>44915</v>
      </c>
      <c r="I516" s="37">
        <v>1507.5</v>
      </c>
      <c r="J516" s="37">
        <v>61702.29</v>
      </c>
      <c r="K516" s="38">
        <f t="shared" si="30"/>
        <v>1.5245421041839963E-3</v>
      </c>
      <c r="L516" s="38">
        <f t="shared" si="31"/>
        <v>-1.0345493121393134E-2</v>
      </c>
    </row>
    <row r="517" spans="1:12">
      <c r="A517" s="35">
        <v>43088</v>
      </c>
      <c r="B517" s="37">
        <v>1004.8</v>
      </c>
      <c r="C517" s="37">
        <v>33777.379999999997</v>
      </c>
      <c r="D517" s="38">
        <f t="shared" ref="D517:D580" si="32">LN(B518/B517)</f>
        <v>8.4238147403377182E-3</v>
      </c>
      <c r="E517" s="38">
        <f t="shared" ref="E517:E580" si="33">LN(C518/C517)</f>
        <v>-6.2487360189189057E-4</v>
      </c>
      <c r="H517" s="35">
        <v>44916</v>
      </c>
      <c r="I517" s="37">
        <v>1509.8</v>
      </c>
      <c r="J517" s="37">
        <v>61067.24</v>
      </c>
      <c r="K517" s="38">
        <f t="shared" ref="K517:K580" si="34">LN(I518/I517)</f>
        <v>7.4236941232556355E-3</v>
      </c>
      <c r="L517" s="38">
        <f t="shared" ref="L517:L580" si="35">LN(J518/J517)</f>
        <v>-3.9546061635697474E-3</v>
      </c>
    </row>
    <row r="518" spans="1:12">
      <c r="A518" s="35">
        <v>43089</v>
      </c>
      <c r="B518" s="37">
        <v>1013.3</v>
      </c>
      <c r="C518" s="37">
        <v>33756.28</v>
      </c>
      <c r="D518" s="38">
        <f t="shared" si="32"/>
        <v>8.1087502315491233E-3</v>
      </c>
      <c r="E518" s="38">
        <f t="shared" si="33"/>
        <v>5.4366248119086932E-3</v>
      </c>
      <c r="H518" s="35">
        <v>44917</v>
      </c>
      <c r="I518" s="37">
        <v>1521.05</v>
      </c>
      <c r="J518" s="37">
        <v>60826.22</v>
      </c>
      <c r="K518" s="38">
        <f t="shared" si="34"/>
        <v>-1.5570446414939324E-2</v>
      </c>
      <c r="L518" s="38">
        <f t="shared" si="35"/>
        <v>-1.6258213845189131E-2</v>
      </c>
    </row>
    <row r="519" spans="1:12">
      <c r="A519" s="35">
        <v>43090</v>
      </c>
      <c r="B519" s="37">
        <v>1021.55</v>
      </c>
      <c r="C519" s="37">
        <v>33940.300000000003</v>
      </c>
      <c r="D519" s="38">
        <f t="shared" si="32"/>
        <v>1.6359985264004694E-2</v>
      </c>
      <c r="E519" s="38">
        <f t="shared" si="33"/>
        <v>2.0694358645751676E-3</v>
      </c>
      <c r="H519" s="35">
        <v>44918</v>
      </c>
      <c r="I519" s="37">
        <v>1497.55</v>
      </c>
      <c r="J519" s="37">
        <v>59845.29</v>
      </c>
      <c r="K519" s="38">
        <f t="shared" si="34"/>
        <v>3.1335448001964328E-3</v>
      </c>
      <c r="L519" s="38">
        <f t="shared" si="35"/>
        <v>1.1977881913125446E-2</v>
      </c>
    </row>
    <row r="520" spans="1:12">
      <c r="A520" s="35">
        <v>43091</v>
      </c>
      <c r="B520" s="37">
        <v>1038.4000000000001</v>
      </c>
      <c r="C520" s="37">
        <v>34010.61</v>
      </c>
      <c r="D520" s="38">
        <f t="shared" si="32"/>
        <v>-3.9078568607674316E-3</v>
      </c>
      <c r="E520" s="38">
        <f t="shared" si="33"/>
        <v>-2.9092034613171637E-3</v>
      </c>
      <c r="H520" s="35">
        <v>44921</v>
      </c>
      <c r="I520" s="37">
        <v>1502.25</v>
      </c>
      <c r="J520" s="37">
        <v>60566.42</v>
      </c>
      <c r="K520" s="38">
        <f t="shared" si="34"/>
        <v>8.7814332838205503E-3</v>
      </c>
      <c r="L520" s="38">
        <f t="shared" si="35"/>
        <v>5.9428697420153527E-3</v>
      </c>
    </row>
    <row r="521" spans="1:12">
      <c r="A521" s="35">
        <v>43095</v>
      </c>
      <c r="B521" s="37">
        <v>1034.3499999999999</v>
      </c>
      <c r="C521" s="37">
        <v>33911.81</v>
      </c>
      <c r="D521" s="38">
        <f t="shared" si="32"/>
        <v>-2.9007929037286263E-4</v>
      </c>
      <c r="E521" s="38">
        <f t="shared" si="33"/>
        <v>-1.8825315654806677E-3</v>
      </c>
      <c r="H521" s="35">
        <v>44922</v>
      </c>
      <c r="I521" s="37">
        <v>1515.5</v>
      </c>
      <c r="J521" s="37">
        <v>60927.43</v>
      </c>
      <c r="K521" s="38">
        <f t="shared" si="34"/>
        <v>-3.0730111582044722E-3</v>
      </c>
      <c r="L521" s="38">
        <f t="shared" si="35"/>
        <v>-2.8152203637557685E-4</v>
      </c>
    </row>
    <row r="522" spans="1:12">
      <c r="A522" s="35">
        <v>43096</v>
      </c>
      <c r="B522" s="37">
        <v>1034.05</v>
      </c>
      <c r="C522" s="37">
        <v>33848.03</v>
      </c>
      <c r="D522" s="38">
        <f t="shared" si="32"/>
        <v>-4.8354730310906122E-5</v>
      </c>
      <c r="E522" s="38">
        <f t="shared" si="33"/>
        <v>6.1498001194114941E-3</v>
      </c>
      <c r="H522" s="35">
        <v>44923</v>
      </c>
      <c r="I522" s="37">
        <v>1510.85</v>
      </c>
      <c r="J522" s="37">
        <v>60910.28</v>
      </c>
      <c r="K522" s="38">
        <f t="shared" si="34"/>
        <v>4.3918375940000089E-3</v>
      </c>
      <c r="L522" s="38">
        <f t="shared" si="35"/>
        <v>3.6642515329672882E-3</v>
      </c>
    </row>
    <row r="523" spans="1:12">
      <c r="A523" s="35">
        <v>43097</v>
      </c>
      <c r="B523" s="37">
        <v>1034</v>
      </c>
      <c r="C523" s="37">
        <v>34056.83</v>
      </c>
      <c r="D523" s="38">
        <f t="shared" si="32"/>
        <v>5.112633526001561E-3</v>
      </c>
      <c r="E523" s="38">
        <f t="shared" si="33"/>
        <v>-7.1926495573680204E-3</v>
      </c>
      <c r="H523" s="35">
        <v>44924</v>
      </c>
      <c r="I523" s="37">
        <v>1517.5</v>
      </c>
      <c r="J523" s="37">
        <v>61133.88</v>
      </c>
      <c r="K523" s="38">
        <f t="shared" si="34"/>
        <v>-5.8158910876244954E-3</v>
      </c>
      <c r="L523" s="38">
        <f t="shared" si="35"/>
        <v>-4.8065829493614542E-3</v>
      </c>
    </row>
    <row r="524" spans="1:12">
      <c r="A524" s="35">
        <v>43098</v>
      </c>
      <c r="B524" s="37">
        <v>1039.3</v>
      </c>
      <c r="C524" s="37">
        <v>33812.75</v>
      </c>
      <c r="D524" s="38">
        <f t="shared" si="32"/>
        <v>-4.5808600489660361E-3</v>
      </c>
      <c r="E524" s="38">
        <f t="shared" si="33"/>
        <v>-1.4491679927500413E-5</v>
      </c>
      <c r="H524" s="35">
        <v>44925</v>
      </c>
      <c r="I524" s="37">
        <v>1508.7</v>
      </c>
      <c r="J524" s="37">
        <v>60840.74</v>
      </c>
      <c r="K524" s="38">
        <f t="shared" si="34"/>
        <v>1.0286935421767028E-2</v>
      </c>
      <c r="L524" s="38">
        <f t="shared" si="35"/>
        <v>5.361113412746905E-3</v>
      </c>
    </row>
    <row r="525" spans="1:12">
      <c r="A525" s="35">
        <v>43101</v>
      </c>
      <c r="B525" s="37">
        <v>1034.55</v>
      </c>
      <c r="C525" s="37">
        <v>33812.26</v>
      </c>
      <c r="D525" s="38">
        <f t="shared" si="32"/>
        <v>-4.8933020775657754E-3</v>
      </c>
      <c r="E525" s="38">
        <f t="shared" si="33"/>
        <v>-5.585332966545868E-4</v>
      </c>
      <c r="H525" s="35">
        <v>44928</v>
      </c>
      <c r="I525" s="37">
        <v>1524.3</v>
      </c>
      <c r="J525" s="37">
        <v>61167.79</v>
      </c>
      <c r="K525" s="38">
        <f t="shared" si="34"/>
        <v>-1.1487275004926851E-3</v>
      </c>
      <c r="L525" s="38">
        <f t="shared" si="35"/>
        <v>2.0644780457567901E-3</v>
      </c>
    </row>
    <row r="526" spans="1:12">
      <c r="A526" s="35">
        <v>43102</v>
      </c>
      <c r="B526" s="37">
        <v>1029.5</v>
      </c>
      <c r="C526" s="37">
        <v>33793.379999999997</v>
      </c>
      <c r="D526" s="38">
        <f t="shared" si="32"/>
        <v>-1.0153362633196161E-2</v>
      </c>
      <c r="E526" s="38">
        <f t="shared" si="33"/>
        <v>5.2022592121054641E-3</v>
      </c>
      <c r="H526" s="35">
        <v>44929</v>
      </c>
      <c r="I526" s="37">
        <v>1522.55</v>
      </c>
      <c r="J526" s="37">
        <v>61294.2</v>
      </c>
      <c r="K526" s="38">
        <f t="shared" si="34"/>
        <v>-1.8327245811834585E-2</v>
      </c>
      <c r="L526" s="38">
        <f t="shared" si="35"/>
        <v>-1.0442758035968112E-2</v>
      </c>
    </row>
    <row r="527" spans="1:12">
      <c r="A527" s="35">
        <v>43103</v>
      </c>
      <c r="B527" s="37">
        <v>1019.1</v>
      </c>
      <c r="C527" s="37">
        <v>33969.64</v>
      </c>
      <c r="D527" s="38">
        <f t="shared" si="32"/>
        <v>-3.7357495274709398E-3</v>
      </c>
      <c r="E527" s="38">
        <f t="shared" si="33"/>
        <v>5.4081330530619132E-3</v>
      </c>
      <c r="H527" s="35">
        <v>44930</v>
      </c>
      <c r="I527" s="37">
        <v>1494.9</v>
      </c>
      <c r="J527" s="37">
        <v>60657.45</v>
      </c>
      <c r="K527" s="38">
        <f t="shared" si="34"/>
        <v>-1.3265741153139275E-2</v>
      </c>
      <c r="L527" s="38">
        <f t="shared" si="35"/>
        <v>-5.0273337875464414E-3</v>
      </c>
    </row>
    <row r="528" spans="1:12">
      <c r="A528" s="35">
        <v>43104</v>
      </c>
      <c r="B528" s="37">
        <v>1015.3</v>
      </c>
      <c r="C528" s="37">
        <v>34153.85</v>
      </c>
      <c r="D528" s="38">
        <f t="shared" si="32"/>
        <v>-3.1567551123214102E-3</v>
      </c>
      <c r="E528" s="38">
        <f t="shared" si="33"/>
        <v>5.8079204941020972E-3</v>
      </c>
      <c r="H528" s="35">
        <v>44931</v>
      </c>
      <c r="I528" s="37">
        <v>1475.2</v>
      </c>
      <c r="J528" s="37">
        <v>60353.27</v>
      </c>
      <c r="K528" s="38">
        <f t="shared" si="34"/>
        <v>-1.8023435508914856E-2</v>
      </c>
      <c r="L528" s="38">
        <f t="shared" si="35"/>
        <v>-7.5324479388074609E-3</v>
      </c>
    </row>
    <row r="529" spans="1:12">
      <c r="A529" s="35">
        <v>43105</v>
      </c>
      <c r="B529" s="37">
        <v>1012.1</v>
      </c>
      <c r="C529" s="37">
        <v>34352.79</v>
      </c>
      <c r="D529" s="38">
        <f t="shared" si="32"/>
        <v>2.3001868706676556E-2</v>
      </c>
      <c r="E529" s="38">
        <f t="shared" si="33"/>
        <v>2.6280620475367302E-3</v>
      </c>
      <c r="H529" s="35">
        <v>44932</v>
      </c>
      <c r="I529" s="37">
        <v>1448.85</v>
      </c>
      <c r="J529" s="37">
        <v>59900.37</v>
      </c>
      <c r="K529" s="38">
        <f t="shared" si="34"/>
        <v>2.4307876910399939E-2</v>
      </c>
      <c r="L529" s="38">
        <f t="shared" si="35"/>
        <v>1.4040119340956957E-2</v>
      </c>
    </row>
    <row r="530" spans="1:12">
      <c r="A530" s="35">
        <v>43108</v>
      </c>
      <c r="B530" s="37">
        <v>1035.6500000000001</v>
      </c>
      <c r="C530" s="37">
        <v>34443.19</v>
      </c>
      <c r="D530" s="38">
        <f t="shared" si="32"/>
        <v>5.4406836343182524E-3</v>
      </c>
      <c r="E530" s="38">
        <f t="shared" si="33"/>
        <v>-2.9386032496035345E-4</v>
      </c>
      <c r="H530" s="35">
        <v>44935</v>
      </c>
      <c r="I530" s="37">
        <v>1484.5</v>
      </c>
      <c r="J530" s="37">
        <v>60747.31</v>
      </c>
      <c r="K530" s="38">
        <f t="shared" si="34"/>
        <v>-9.5435426023918017E-3</v>
      </c>
      <c r="L530" s="38">
        <f t="shared" si="35"/>
        <v>-1.0455422313891682E-2</v>
      </c>
    </row>
    <row r="531" spans="1:12">
      <c r="A531" s="35">
        <v>43109</v>
      </c>
      <c r="B531" s="37">
        <v>1041.3</v>
      </c>
      <c r="C531" s="37">
        <v>34433.07</v>
      </c>
      <c r="D531" s="38">
        <f t="shared" si="32"/>
        <v>9.8428813198757608E-3</v>
      </c>
      <c r="E531" s="38">
        <f t="shared" si="33"/>
        <v>2.0430385413620906E-3</v>
      </c>
      <c r="H531" s="35">
        <v>44936</v>
      </c>
      <c r="I531" s="37">
        <v>1470.4</v>
      </c>
      <c r="J531" s="37">
        <v>60115.48</v>
      </c>
      <c r="K531" s="38">
        <f t="shared" si="34"/>
        <v>7.1383656174626477E-4</v>
      </c>
      <c r="L531" s="38">
        <f t="shared" si="35"/>
        <v>-1.6602759390126941E-4</v>
      </c>
    </row>
    <row r="532" spans="1:12">
      <c r="A532" s="35">
        <v>43110</v>
      </c>
      <c r="B532" s="37">
        <v>1051.5999999999999</v>
      </c>
      <c r="C532" s="37">
        <v>34503.49</v>
      </c>
      <c r="D532" s="38">
        <f t="shared" si="32"/>
        <v>2.2565831538983439E-2</v>
      </c>
      <c r="E532" s="38">
        <f t="shared" si="33"/>
        <v>2.5732373349799911E-3</v>
      </c>
      <c r="H532" s="35">
        <v>44937</v>
      </c>
      <c r="I532" s="37">
        <v>1471.45</v>
      </c>
      <c r="J532" s="37">
        <v>60105.5</v>
      </c>
      <c r="K532" s="38">
        <f t="shared" si="34"/>
        <v>6.1653311824010565E-3</v>
      </c>
      <c r="L532" s="38">
        <f t="shared" si="35"/>
        <v>-2.4565340392656817E-3</v>
      </c>
    </row>
    <row r="533" spans="1:12">
      <c r="A533" s="35">
        <v>43111</v>
      </c>
      <c r="B533" s="37">
        <v>1075.5999999999999</v>
      </c>
      <c r="C533" s="37">
        <v>34592.39</v>
      </c>
      <c r="D533" s="38">
        <f t="shared" si="32"/>
        <v>2.5998157633331078E-3</v>
      </c>
      <c r="E533" s="38">
        <f t="shared" si="33"/>
        <v>7.2331775020795692E-3</v>
      </c>
      <c r="H533" s="35">
        <v>44938</v>
      </c>
      <c r="I533" s="37">
        <v>1480.55</v>
      </c>
      <c r="J533" s="37">
        <v>59958.03</v>
      </c>
      <c r="K533" s="38">
        <f t="shared" si="34"/>
        <v>1.5382083083013622E-2</v>
      </c>
      <c r="L533" s="38">
        <f t="shared" si="35"/>
        <v>5.043297864754011E-3</v>
      </c>
    </row>
    <row r="534" spans="1:12">
      <c r="A534" s="35">
        <v>43112</v>
      </c>
      <c r="B534" s="37">
        <v>1078.4000000000001</v>
      </c>
      <c r="C534" s="37">
        <v>34843.51</v>
      </c>
      <c r="D534" s="38">
        <f t="shared" si="32"/>
        <v>1.852881760417943E-3</v>
      </c>
      <c r="E534" s="38">
        <f t="shared" si="33"/>
        <v>-2.0817491676511455E-3</v>
      </c>
      <c r="H534" s="35">
        <v>44939</v>
      </c>
      <c r="I534" s="37">
        <v>1503.5</v>
      </c>
      <c r="J534" s="37">
        <v>60261.18</v>
      </c>
      <c r="K534" s="38">
        <f t="shared" si="34"/>
        <v>1.4362607603378172E-2</v>
      </c>
      <c r="L534" s="38">
        <f t="shared" si="35"/>
        <v>-2.7952523369542486E-3</v>
      </c>
    </row>
    <row r="535" spans="1:12">
      <c r="A535" s="35">
        <v>43115</v>
      </c>
      <c r="B535" s="37">
        <v>1080.4000000000001</v>
      </c>
      <c r="C535" s="37">
        <v>34771.050000000003</v>
      </c>
      <c r="D535" s="38">
        <f t="shared" si="32"/>
        <v>3.8583281660032463E-2</v>
      </c>
      <c r="E535" s="38">
        <f t="shared" si="33"/>
        <v>8.8979035613561356E-3</v>
      </c>
      <c r="H535" s="35">
        <v>44942</v>
      </c>
      <c r="I535" s="37">
        <v>1525.25</v>
      </c>
      <c r="J535" s="37">
        <v>60092.97</v>
      </c>
      <c r="K535" s="38">
        <f t="shared" si="34"/>
        <v>9.4617345351908182E-3</v>
      </c>
      <c r="L535" s="38">
        <f t="shared" si="35"/>
        <v>9.321079581443013E-3</v>
      </c>
    </row>
    <row r="536" spans="1:12">
      <c r="A536" s="35">
        <v>43116</v>
      </c>
      <c r="B536" s="37">
        <v>1122.9000000000001</v>
      </c>
      <c r="C536" s="37">
        <v>35081.82</v>
      </c>
      <c r="D536" s="38">
        <f t="shared" si="32"/>
        <v>2.5801928022124502E-2</v>
      </c>
      <c r="E536" s="38">
        <f t="shared" si="33"/>
        <v>5.0743539809327025E-3</v>
      </c>
      <c r="H536" s="35">
        <v>44943</v>
      </c>
      <c r="I536" s="37">
        <v>1539.75</v>
      </c>
      <c r="J536" s="37">
        <v>60655.72</v>
      </c>
      <c r="K536" s="38">
        <f t="shared" si="34"/>
        <v>3.436206700586903E-3</v>
      </c>
      <c r="L536" s="38">
        <f t="shared" si="35"/>
        <v>6.4094766852060879E-3</v>
      </c>
    </row>
    <row r="537" spans="1:12">
      <c r="A537" s="35">
        <v>43117</v>
      </c>
      <c r="B537" s="37">
        <v>1152.25</v>
      </c>
      <c r="C537" s="37">
        <v>35260.29</v>
      </c>
      <c r="D537" s="38">
        <f t="shared" si="32"/>
        <v>4.3383948619734718E-4</v>
      </c>
      <c r="E537" s="38">
        <f t="shared" si="33"/>
        <v>7.101438920702227E-3</v>
      </c>
      <c r="H537" s="35">
        <v>44944</v>
      </c>
      <c r="I537" s="37">
        <v>1545.05</v>
      </c>
      <c r="J537" s="37">
        <v>61045.74</v>
      </c>
      <c r="K537" s="38">
        <f t="shared" si="34"/>
        <v>-2.4300561150655308E-3</v>
      </c>
      <c r="L537" s="38">
        <f t="shared" si="35"/>
        <v>-3.0730720271403052E-3</v>
      </c>
    </row>
    <row r="538" spans="1:12">
      <c r="A538" s="35">
        <v>43118</v>
      </c>
      <c r="B538" s="37">
        <v>1152.75</v>
      </c>
      <c r="C538" s="37">
        <v>35511.58</v>
      </c>
      <c r="D538" s="38">
        <f t="shared" si="32"/>
        <v>-8.2753085486503182E-3</v>
      </c>
      <c r="E538" s="38">
        <f t="shared" si="33"/>
        <v>8.0334647957495519E-3</v>
      </c>
      <c r="H538" s="35">
        <v>44945</v>
      </c>
      <c r="I538" s="37">
        <v>1541.3</v>
      </c>
      <c r="J538" s="37">
        <v>60858.43</v>
      </c>
      <c r="K538" s="38">
        <f t="shared" si="34"/>
        <v>-1.033676767206994E-2</v>
      </c>
      <c r="L538" s="38">
        <f t="shared" si="35"/>
        <v>-3.8962777373458789E-3</v>
      </c>
    </row>
    <row r="539" spans="1:12">
      <c r="A539" s="35">
        <v>43119</v>
      </c>
      <c r="B539" s="37">
        <v>1143.25</v>
      </c>
      <c r="C539" s="37">
        <v>35798.01</v>
      </c>
      <c r="D539" s="38">
        <f t="shared" si="32"/>
        <v>6.1476943638000669E-3</v>
      </c>
      <c r="E539" s="38">
        <f t="shared" si="33"/>
        <v>9.5074264910143414E-3</v>
      </c>
      <c r="H539" s="35">
        <v>44946</v>
      </c>
      <c r="I539" s="37">
        <v>1525.45</v>
      </c>
      <c r="J539" s="37">
        <v>60621.77</v>
      </c>
      <c r="K539" s="38">
        <f t="shared" si="34"/>
        <v>1.4545119355754633E-2</v>
      </c>
      <c r="L539" s="38">
        <f t="shared" si="35"/>
        <v>5.2631076982284667E-3</v>
      </c>
    </row>
    <row r="540" spans="1:12">
      <c r="A540" s="35">
        <v>43122</v>
      </c>
      <c r="B540" s="37">
        <v>1150.3</v>
      </c>
      <c r="C540" s="37">
        <v>36139.980000000003</v>
      </c>
      <c r="D540" s="38">
        <f t="shared" si="32"/>
        <v>2.1415567957703024E-2</v>
      </c>
      <c r="E540" s="38">
        <f t="shared" si="33"/>
        <v>5.9915671731762326E-4</v>
      </c>
      <c r="H540" s="35">
        <v>44949</v>
      </c>
      <c r="I540" s="37">
        <v>1547.8</v>
      </c>
      <c r="J540" s="37">
        <v>60941.67</v>
      </c>
      <c r="K540" s="38">
        <f t="shared" si="34"/>
        <v>2.9353439459330471E-3</v>
      </c>
      <c r="L540" s="38">
        <f t="shared" si="35"/>
        <v>6.0826563988650563E-4</v>
      </c>
    </row>
    <row r="541" spans="1:12">
      <c r="A541" s="35">
        <v>43123</v>
      </c>
      <c r="B541" s="37">
        <v>1175.2</v>
      </c>
      <c r="C541" s="37">
        <v>36161.64</v>
      </c>
      <c r="D541" s="38">
        <f t="shared" si="32"/>
        <v>8.4310029771845728E-3</v>
      </c>
      <c r="E541" s="38">
        <f t="shared" si="33"/>
        <v>-3.0798195508837645E-3</v>
      </c>
      <c r="H541" s="35">
        <v>44950</v>
      </c>
      <c r="I541" s="37">
        <v>1552.35</v>
      </c>
      <c r="J541" s="37">
        <v>60978.75</v>
      </c>
      <c r="K541" s="38">
        <f t="shared" si="34"/>
        <v>-6.1061493333114288E-3</v>
      </c>
      <c r="L541" s="38">
        <f t="shared" si="35"/>
        <v>-1.2769040887251892E-2</v>
      </c>
    </row>
    <row r="542" spans="1:12">
      <c r="A542" s="35">
        <v>43124</v>
      </c>
      <c r="B542" s="37">
        <v>1185.1500000000001</v>
      </c>
      <c r="C542" s="37">
        <v>36050.44</v>
      </c>
      <c r="D542" s="38">
        <f t="shared" si="32"/>
        <v>-1.2182073019121251E-2</v>
      </c>
      <c r="E542" s="38">
        <f t="shared" si="33"/>
        <v>6.4371333442458881E-3</v>
      </c>
      <c r="H542" s="35">
        <v>44951</v>
      </c>
      <c r="I542" s="37">
        <v>1542.9</v>
      </c>
      <c r="J542" s="37">
        <v>60205.06</v>
      </c>
      <c r="K542" s="38">
        <f t="shared" si="34"/>
        <v>-1.6105406671295522E-2</v>
      </c>
      <c r="L542" s="38">
        <f t="shared" si="35"/>
        <v>-1.4626152391616199E-2</v>
      </c>
    </row>
    <row r="543" spans="1:12">
      <c r="A543" s="35">
        <v>43125</v>
      </c>
      <c r="B543" s="37">
        <v>1170.8</v>
      </c>
      <c r="C543" s="37">
        <v>36283.25</v>
      </c>
      <c r="D543" s="38">
        <f t="shared" si="32"/>
        <v>9.0975418092318749E-3</v>
      </c>
      <c r="E543" s="38">
        <f t="shared" si="33"/>
        <v>-6.9007580290918928E-3</v>
      </c>
      <c r="H543" s="35">
        <v>44953</v>
      </c>
      <c r="I543" s="37">
        <v>1518.25</v>
      </c>
      <c r="J543" s="37">
        <v>59330.9</v>
      </c>
      <c r="K543" s="38">
        <f t="shared" si="34"/>
        <v>1.363947420822364E-2</v>
      </c>
      <c r="L543" s="38">
        <f t="shared" si="35"/>
        <v>2.8529537371088467E-3</v>
      </c>
    </row>
    <row r="544" spans="1:12">
      <c r="A544" s="35">
        <v>43129</v>
      </c>
      <c r="B544" s="37">
        <v>1181.5</v>
      </c>
      <c r="C544" s="37">
        <v>36033.730000000003</v>
      </c>
      <c r="D544" s="38">
        <f t="shared" si="32"/>
        <v>-1.0037511970301187E-2</v>
      </c>
      <c r="E544" s="38">
        <f t="shared" si="33"/>
        <v>-1.9086448267168234E-3</v>
      </c>
      <c r="H544" s="35">
        <v>44956</v>
      </c>
      <c r="I544" s="37">
        <v>1539.1</v>
      </c>
      <c r="J544" s="37">
        <v>59500.41</v>
      </c>
      <c r="K544" s="38">
        <f t="shared" si="34"/>
        <v>-3.8733875427132735E-3</v>
      </c>
      <c r="L544" s="38">
        <f t="shared" si="35"/>
        <v>8.3141325462863678E-4</v>
      </c>
    </row>
    <row r="545" spans="1:12">
      <c r="A545" s="35">
        <v>43130</v>
      </c>
      <c r="B545" s="37">
        <v>1169.7</v>
      </c>
      <c r="C545" s="37">
        <v>35965.019999999997</v>
      </c>
      <c r="D545" s="38">
        <f t="shared" si="32"/>
        <v>-1.6420305583246246E-2</v>
      </c>
      <c r="E545" s="38">
        <f t="shared" si="33"/>
        <v>-1.6240058066410528E-3</v>
      </c>
      <c r="H545" s="35">
        <v>44957</v>
      </c>
      <c r="I545" s="37">
        <v>1533.15</v>
      </c>
      <c r="J545" s="37">
        <v>59549.9</v>
      </c>
      <c r="K545" s="38">
        <f t="shared" si="34"/>
        <v>1.057558679026829E-2</v>
      </c>
      <c r="L545" s="38">
        <f t="shared" si="35"/>
        <v>2.652738085277519E-3</v>
      </c>
    </row>
    <row r="546" spans="1:12">
      <c r="A546" s="35">
        <v>43131</v>
      </c>
      <c r="B546" s="37">
        <v>1150.6500000000001</v>
      </c>
      <c r="C546" s="37">
        <v>35906.660000000003</v>
      </c>
      <c r="D546" s="38">
        <f t="shared" si="32"/>
        <v>-5.359139680793718E-3</v>
      </c>
      <c r="E546" s="38">
        <f t="shared" si="33"/>
        <v>-2.3669405550196834E-2</v>
      </c>
      <c r="H546" s="35">
        <v>44958</v>
      </c>
      <c r="I546" s="37">
        <v>1549.45</v>
      </c>
      <c r="J546" s="37">
        <v>59708.08</v>
      </c>
      <c r="K546" s="38">
        <f t="shared" si="34"/>
        <v>2.1611247273925171E-2</v>
      </c>
      <c r="L546" s="38">
        <f t="shared" si="35"/>
        <v>3.7472360873048874E-3</v>
      </c>
    </row>
    <row r="547" spans="1:12">
      <c r="A547" s="35">
        <v>43132</v>
      </c>
      <c r="B547" s="37">
        <v>1144.5</v>
      </c>
      <c r="C547" s="37">
        <v>35066.75</v>
      </c>
      <c r="D547" s="38">
        <f t="shared" si="32"/>
        <v>-2.4494807103398221E-3</v>
      </c>
      <c r="E547" s="38">
        <f t="shared" si="33"/>
        <v>-8.8677941062404279E-3</v>
      </c>
      <c r="H547" s="35">
        <v>44959</v>
      </c>
      <c r="I547" s="37">
        <v>1583.3</v>
      </c>
      <c r="J547" s="37">
        <v>59932.24</v>
      </c>
      <c r="K547" s="38">
        <f t="shared" si="34"/>
        <v>9.9609615572053261E-3</v>
      </c>
      <c r="L547" s="38">
        <f t="shared" si="35"/>
        <v>1.5063776925526557E-2</v>
      </c>
    </row>
    <row r="548" spans="1:12">
      <c r="A548" s="35">
        <v>43133</v>
      </c>
      <c r="B548" s="37">
        <v>1141.7</v>
      </c>
      <c r="C548" s="37">
        <v>34757.160000000003</v>
      </c>
      <c r="D548" s="38">
        <f t="shared" si="32"/>
        <v>-2.9824583511106617E-3</v>
      </c>
      <c r="E548" s="38">
        <f t="shared" si="33"/>
        <v>-1.627867038102343E-2</v>
      </c>
      <c r="H548" s="35">
        <v>44960</v>
      </c>
      <c r="I548" s="37">
        <v>1599.15</v>
      </c>
      <c r="J548" s="37">
        <v>60841.88</v>
      </c>
      <c r="K548" s="38">
        <f t="shared" si="34"/>
        <v>-1.8078198085892602E-2</v>
      </c>
      <c r="L548" s="38">
        <f t="shared" si="35"/>
        <v>-5.5209595164699846E-3</v>
      </c>
    </row>
    <row r="549" spans="1:12">
      <c r="A549" s="35">
        <v>43136</v>
      </c>
      <c r="B549" s="37">
        <v>1138.3</v>
      </c>
      <c r="C549" s="37">
        <v>34195.94</v>
      </c>
      <c r="D549" s="38">
        <f t="shared" si="32"/>
        <v>-2.6573278291208802E-2</v>
      </c>
      <c r="E549" s="38">
        <f t="shared" si="33"/>
        <v>-3.316705992260614E-3</v>
      </c>
      <c r="H549" s="35">
        <v>44963</v>
      </c>
      <c r="I549" s="37">
        <v>1570.5</v>
      </c>
      <c r="J549" s="37">
        <v>60506.9</v>
      </c>
      <c r="K549" s="38">
        <f t="shared" si="34"/>
        <v>-5.20294197643966E-3</v>
      </c>
      <c r="L549" s="38">
        <f t="shared" si="35"/>
        <v>-3.6568403107079405E-3</v>
      </c>
    </row>
    <row r="550" spans="1:12">
      <c r="A550" s="35">
        <v>43137</v>
      </c>
      <c r="B550" s="37">
        <v>1108.45</v>
      </c>
      <c r="C550" s="37">
        <v>34082.71</v>
      </c>
      <c r="D550" s="38">
        <f t="shared" si="32"/>
        <v>2.7061158382710621E-4</v>
      </c>
      <c r="E550" s="38">
        <f t="shared" si="33"/>
        <v>9.648831783172572E-3</v>
      </c>
      <c r="H550" s="35">
        <v>44964</v>
      </c>
      <c r="I550" s="37">
        <v>1562.35</v>
      </c>
      <c r="J550" s="37">
        <v>60286.04</v>
      </c>
      <c r="K550" s="38">
        <f t="shared" si="34"/>
        <v>1.7354221164564518E-2</v>
      </c>
      <c r="L550" s="38">
        <f t="shared" si="35"/>
        <v>6.2464118923139062E-3</v>
      </c>
    </row>
    <row r="551" spans="1:12">
      <c r="A551" s="35">
        <v>43138</v>
      </c>
      <c r="B551" s="37">
        <v>1108.75</v>
      </c>
      <c r="C551" s="37">
        <v>34413.160000000003</v>
      </c>
      <c r="D551" s="38">
        <f t="shared" si="32"/>
        <v>2.3002841903489703E-2</v>
      </c>
      <c r="E551" s="38">
        <f t="shared" si="33"/>
        <v>-1.1909127329864964E-2</v>
      </c>
      <c r="H551" s="35">
        <v>44965</v>
      </c>
      <c r="I551" s="37">
        <v>1589.7</v>
      </c>
      <c r="J551" s="37">
        <v>60663.79</v>
      </c>
      <c r="K551" s="38">
        <f t="shared" si="34"/>
        <v>1.7460068168822354E-2</v>
      </c>
      <c r="L551" s="38">
        <f t="shared" si="35"/>
        <v>2.3451066691240275E-3</v>
      </c>
    </row>
    <row r="552" spans="1:12">
      <c r="A552" s="35">
        <v>43139</v>
      </c>
      <c r="B552" s="37">
        <v>1134.55</v>
      </c>
      <c r="C552" s="37">
        <v>34005.760000000002</v>
      </c>
      <c r="D552" s="38">
        <f t="shared" si="32"/>
        <v>-2.0255773007909813E-2</v>
      </c>
      <c r="E552" s="38">
        <f t="shared" si="33"/>
        <v>8.6291346696060322E-3</v>
      </c>
      <c r="H552" s="35">
        <v>44966</v>
      </c>
      <c r="I552" s="37">
        <v>1617.7</v>
      </c>
      <c r="J552" s="37">
        <v>60806.22</v>
      </c>
      <c r="K552" s="38">
        <f t="shared" si="34"/>
        <v>-6.0453116075446503E-3</v>
      </c>
      <c r="L552" s="38">
        <f t="shared" si="35"/>
        <v>-2.0334371654890135E-3</v>
      </c>
    </row>
    <row r="553" spans="1:12">
      <c r="A553" s="35">
        <v>43140</v>
      </c>
      <c r="B553" s="37">
        <v>1111.8</v>
      </c>
      <c r="C553" s="37">
        <v>34300.47</v>
      </c>
      <c r="D553" s="38">
        <f t="shared" si="32"/>
        <v>-7.221551513968214E-3</v>
      </c>
      <c r="E553" s="38">
        <f t="shared" si="33"/>
        <v>-4.222254529280451E-3</v>
      </c>
      <c r="H553" s="35">
        <v>44967</v>
      </c>
      <c r="I553" s="37">
        <v>1607.95</v>
      </c>
      <c r="J553" s="37">
        <v>60682.7</v>
      </c>
      <c r="K553" s="38">
        <f t="shared" si="34"/>
        <v>-2.554188010933937E-2</v>
      </c>
      <c r="L553" s="38">
        <f t="shared" si="35"/>
        <v>-4.1425308429762697E-3</v>
      </c>
    </row>
    <row r="554" spans="1:12">
      <c r="A554" s="35">
        <v>43143</v>
      </c>
      <c r="B554" s="37">
        <v>1103.8</v>
      </c>
      <c r="C554" s="37">
        <v>34155.949999999997</v>
      </c>
      <c r="D554" s="38">
        <f t="shared" si="32"/>
        <v>-5.2228926320989234E-3</v>
      </c>
      <c r="E554" s="38">
        <f t="shared" si="33"/>
        <v>4.1347883458379177E-3</v>
      </c>
      <c r="H554" s="35">
        <v>44970</v>
      </c>
      <c r="I554" s="37">
        <v>1567.4</v>
      </c>
      <c r="J554" s="37">
        <v>60431.839999999997</v>
      </c>
      <c r="K554" s="38">
        <f t="shared" si="34"/>
        <v>1.5981099914574273E-2</v>
      </c>
      <c r="L554" s="38">
        <f t="shared" si="35"/>
        <v>9.8864584764729157E-3</v>
      </c>
    </row>
    <row r="555" spans="1:12">
      <c r="A555" s="35">
        <v>43145</v>
      </c>
      <c r="B555" s="37">
        <v>1098.05</v>
      </c>
      <c r="C555" s="37">
        <v>34297.47</v>
      </c>
      <c r="D555" s="38">
        <f t="shared" si="32"/>
        <v>1.4555902959675402E-2</v>
      </c>
      <c r="E555" s="38">
        <f t="shared" si="33"/>
        <v>-8.394645380335462E-3</v>
      </c>
      <c r="H555" s="35">
        <v>44971</v>
      </c>
      <c r="I555" s="37">
        <v>1592.65</v>
      </c>
      <c r="J555" s="37">
        <v>61032.26</v>
      </c>
      <c r="K555" s="38">
        <f t="shared" si="34"/>
        <v>2.6336431588814277E-3</v>
      </c>
      <c r="L555" s="38">
        <f t="shared" si="35"/>
        <v>3.9708213621967615E-3</v>
      </c>
    </row>
    <row r="556" spans="1:12">
      <c r="A556" s="35">
        <v>43146</v>
      </c>
      <c r="B556" s="37">
        <v>1114.1500000000001</v>
      </c>
      <c r="C556" s="37">
        <v>34010.76</v>
      </c>
      <c r="D556" s="38">
        <f t="shared" si="32"/>
        <v>9.5579110825306981E-3</v>
      </c>
      <c r="E556" s="38">
        <f t="shared" si="33"/>
        <v>-6.9661279598693913E-3</v>
      </c>
      <c r="H556" s="35">
        <v>44972</v>
      </c>
      <c r="I556" s="37">
        <v>1596.85</v>
      </c>
      <c r="J556" s="37">
        <v>61275.09</v>
      </c>
      <c r="K556" s="38">
        <f t="shared" si="34"/>
        <v>3.1886984627445625E-3</v>
      </c>
      <c r="L556" s="38">
        <f t="shared" si="35"/>
        <v>7.2466490275919864E-4</v>
      </c>
    </row>
    <row r="557" spans="1:12">
      <c r="A557" s="35">
        <v>43147</v>
      </c>
      <c r="B557" s="37">
        <v>1124.8499999999999</v>
      </c>
      <c r="C557" s="37">
        <v>33774.660000000003</v>
      </c>
      <c r="D557" s="38">
        <f t="shared" si="32"/>
        <v>4.567939290878272E-3</v>
      </c>
      <c r="E557" s="38">
        <f t="shared" si="33"/>
        <v>-2.1064573037711605E-3</v>
      </c>
      <c r="H557" s="35">
        <v>44973</v>
      </c>
      <c r="I557" s="37">
        <v>1601.95</v>
      </c>
      <c r="J557" s="37">
        <v>61319.51</v>
      </c>
      <c r="K557" s="38">
        <f t="shared" si="34"/>
        <v>-1.1615626298408942E-2</v>
      </c>
      <c r="L557" s="38">
        <f t="shared" si="35"/>
        <v>-5.1820686707459819E-3</v>
      </c>
    </row>
    <row r="558" spans="1:12">
      <c r="A558" s="35">
        <v>43150</v>
      </c>
      <c r="B558" s="37">
        <v>1130</v>
      </c>
      <c r="C558" s="37">
        <v>33703.589999999997</v>
      </c>
      <c r="D558" s="38">
        <f t="shared" si="32"/>
        <v>4.1506660905575726E-3</v>
      </c>
      <c r="E558" s="38">
        <f t="shared" si="33"/>
        <v>4.1827815728598793E-3</v>
      </c>
      <c r="H558" s="35">
        <v>44974</v>
      </c>
      <c r="I558" s="37">
        <v>1583.45</v>
      </c>
      <c r="J558" s="37">
        <v>61002.57</v>
      </c>
      <c r="K558" s="38">
        <f t="shared" si="34"/>
        <v>6.1699443378479685E-3</v>
      </c>
      <c r="L558" s="38">
        <f t="shared" si="35"/>
        <v>-5.111680051708048E-3</v>
      </c>
    </row>
    <row r="559" spans="1:12">
      <c r="A559" s="35">
        <v>43151</v>
      </c>
      <c r="B559" s="37">
        <v>1134.7</v>
      </c>
      <c r="C559" s="37">
        <v>33844.86</v>
      </c>
      <c r="D559" s="38">
        <f t="shared" si="32"/>
        <v>1.2262569354414865E-2</v>
      </c>
      <c r="E559" s="38">
        <f t="shared" si="33"/>
        <v>-7.4958223760413151E-4</v>
      </c>
      <c r="H559" s="35">
        <v>44977</v>
      </c>
      <c r="I559" s="37">
        <v>1593.25</v>
      </c>
      <c r="J559" s="37">
        <v>60691.54</v>
      </c>
      <c r="K559" s="38">
        <f t="shared" si="34"/>
        <v>-8.825904415593732E-3</v>
      </c>
      <c r="L559" s="38">
        <f t="shared" si="35"/>
        <v>-3.101407309014059E-4</v>
      </c>
    </row>
    <row r="560" spans="1:12">
      <c r="A560" s="35">
        <v>43152</v>
      </c>
      <c r="B560" s="37">
        <v>1148.7</v>
      </c>
      <c r="C560" s="37">
        <v>33819.5</v>
      </c>
      <c r="D560" s="38">
        <f t="shared" si="32"/>
        <v>1.0220078563133063E-2</v>
      </c>
      <c r="E560" s="38">
        <f t="shared" si="33"/>
        <v>9.4951321548864681E-3</v>
      </c>
      <c r="H560" s="35">
        <v>44978</v>
      </c>
      <c r="I560" s="37">
        <v>1579.25</v>
      </c>
      <c r="J560" s="37">
        <v>60672.72</v>
      </c>
      <c r="K560" s="38">
        <f t="shared" si="34"/>
        <v>-1.063094868024232E-2</v>
      </c>
      <c r="L560" s="38">
        <f t="shared" si="35"/>
        <v>-1.5409003105136203E-2</v>
      </c>
    </row>
    <row r="561" spans="1:12">
      <c r="A561" s="35">
        <v>43153</v>
      </c>
      <c r="B561" s="37">
        <v>1160.5</v>
      </c>
      <c r="C561" s="37">
        <v>34142.15</v>
      </c>
      <c r="D561" s="38">
        <f t="shared" si="32"/>
        <v>-4.1879904917936249E-3</v>
      </c>
      <c r="E561" s="38">
        <f t="shared" si="33"/>
        <v>8.8529312858255053E-3</v>
      </c>
      <c r="H561" s="35">
        <v>44979</v>
      </c>
      <c r="I561" s="37">
        <v>1562.55</v>
      </c>
      <c r="J561" s="37">
        <v>59744.98</v>
      </c>
      <c r="K561" s="38">
        <f t="shared" si="34"/>
        <v>-7.0968972101325108E-3</v>
      </c>
      <c r="L561" s="38">
        <f t="shared" si="35"/>
        <v>-2.3322857729088488E-3</v>
      </c>
    </row>
    <row r="562" spans="1:12">
      <c r="A562" s="35">
        <v>43154</v>
      </c>
      <c r="B562" s="37">
        <v>1155.6500000000001</v>
      </c>
      <c r="C562" s="37">
        <v>34445.75</v>
      </c>
      <c r="D562" s="38">
        <f t="shared" si="32"/>
        <v>-1.2714065111278365E-2</v>
      </c>
      <c r="E562" s="38">
        <f t="shared" si="33"/>
        <v>-2.8887041192023604E-3</v>
      </c>
      <c r="H562" s="35">
        <v>44980</v>
      </c>
      <c r="I562" s="37">
        <v>1551.5</v>
      </c>
      <c r="J562" s="37">
        <v>59605.8</v>
      </c>
      <c r="K562" s="38">
        <f t="shared" si="34"/>
        <v>-3.2227396512566469E-5</v>
      </c>
      <c r="L562" s="38">
        <f t="shared" si="35"/>
        <v>-2.3829745332396937E-3</v>
      </c>
    </row>
    <row r="563" spans="1:12">
      <c r="A563" s="35">
        <v>43157</v>
      </c>
      <c r="B563" s="37">
        <v>1141.05</v>
      </c>
      <c r="C563" s="37">
        <v>34346.39</v>
      </c>
      <c r="D563" s="38">
        <f t="shared" si="32"/>
        <v>6.3336966707237237E-3</v>
      </c>
      <c r="E563" s="38">
        <f t="shared" si="33"/>
        <v>-4.7380500521519943E-3</v>
      </c>
      <c r="H563" s="35">
        <v>44981</v>
      </c>
      <c r="I563" s="37">
        <v>1551.45</v>
      </c>
      <c r="J563" s="37">
        <v>59463.93</v>
      </c>
      <c r="K563" s="38">
        <f t="shared" si="34"/>
        <v>-2.7477756641154285E-2</v>
      </c>
      <c r="L563" s="38">
        <f t="shared" si="35"/>
        <v>-2.9570822209760142E-3</v>
      </c>
    </row>
    <row r="564" spans="1:12">
      <c r="A564" s="35">
        <v>43158</v>
      </c>
      <c r="B564" s="37">
        <v>1148.3</v>
      </c>
      <c r="C564" s="37">
        <v>34184.04</v>
      </c>
      <c r="D564" s="38">
        <f t="shared" si="32"/>
        <v>2.2347058124960899E-2</v>
      </c>
      <c r="E564" s="38">
        <f t="shared" si="33"/>
        <v>-4.0187077633601709E-3</v>
      </c>
      <c r="H564" s="35">
        <v>44984</v>
      </c>
      <c r="I564" s="37">
        <v>1509.4</v>
      </c>
      <c r="J564" s="37">
        <v>59288.35</v>
      </c>
      <c r="K564" s="38">
        <f t="shared" si="34"/>
        <v>-1.4749825252215833E-2</v>
      </c>
      <c r="L564" s="38">
        <f t="shared" si="35"/>
        <v>-5.5176242030985853E-3</v>
      </c>
    </row>
    <row r="565" spans="1:12">
      <c r="A565" s="35">
        <v>43159</v>
      </c>
      <c r="B565" s="37">
        <v>1174.25</v>
      </c>
      <c r="C565" s="37">
        <v>34046.94</v>
      </c>
      <c r="D565" s="38">
        <f t="shared" si="32"/>
        <v>-1.1994146785819278E-2</v>
      </c>
      <c r="E565" s="38">
        <f t="shared" si="33"/>
        <v>-8.8551553562001093E-3</v>
      </c>
      <c r="H565" s="35">
        <v>44985</v>
      </c>
      <c r="I565" s="37">
        <v>1487.3</v>
      </c>
      <c r="J565" s="37">
        <v>58962.12</v>
      </c>
      <c r="K565" s="38">
        <f t="shared" si="34"/>
        <v>6.266881550172956E-3</v>
      </c>
      <c r="L565" s="38">
        <f t="shared" si="35"/>
        <v>7.5855371448118377E-3</v>
      </c>
    </row>
    <row r="566" spans="1:12">
      <c r="A566" s="35">
        <v>43160</v>
      </c>
      <c r="B566" s="37">
        <v>1160.25</v>
      </c>
      <c r="C566" s="37">
        <v>33746.78</v>
      </c>
      <c r="D566" s="38">
        <f t="shared" si="32"/>
        <v>-6.1815313442147414E-3</v>
      </c>
      <c r="E566" s="38">
        <f t="shared" si="33"/>
        <v>-1.2811225205380625E-2</v>
      </c>
      <c r="H566" s="35">
        <v>44986</v>
      </c>
      <c r="I566" s="37">
        <v>1496.65</v>
      </c>
      <c r="J566" s="37">
        <v>59411.08</v>
      </c>
      <c r="K566" s="38">
        <f t="shared" si="34"/>
        <v>-1.653932438475781E-2</v>
      </c>
      <c r="L566" s="38">
        <f t="shared" si="35"/>
        <v>-8.4809192678229183E-3</v>
      </c>
    </row>
    <row r="567" spans="1:12">
      <c r="A567" s="35">
        <v>43164</v>
      </c>
      <c r="B567" s="37">
        <v>1153.0999999999999</v>
      </c>
      <c r="C567" s="37">
        <v>33317.199999999997</v>
      </c>
      <c r="D567" s="38">
        <f t="shared" si="32"/>
        <v>-5.4349141368458852E-3</v>
      </c>
      <c r="E567" s="38">
        <f t="shared" si="33"/>
        <v>-8.5639938101434079E-3</v>
      </c>
      <c r="H567" s="35">
        <v>44987</v>
      </c>
      <c r="I567" s="37">
        <v>1472.1</v>
      </c>
      <c r="J567" s="37">
        <v>58909.35</v>
      </c>
      <c r="K567" s="38">
        <f t="shared" si="34"/>
        <v>5.2169907274831557E-3</v>
      </c>
      <c r="L567" s="38">
        <f t="shared" si="35"/>
        <v>1.5155828015330539E-2</v>
      </c>
    </row>
    <row r="568" spans="1:12">
      <c r="A568" s="35">
        <v>43165</v>
      </c>
      <c r="B568" s="37">
        <v>1146.8499999999999</v>
      </c>
      <c r="C568" s="37">
        <v>33033.089999999997</v>
      </c>
      <c r="D568" s="38">
        <f t="shared" si="32"/>
        <v>-3.5376622836066681E-3</v>
      </c>
      <c r="E568" s="38">
        <f t="shared" si="33"/>
        <v>9.5950613713088953E-3</v>
      </c>
      <c r="H568" s="35">
        <v>44988</v>
      </c>
      <c r="I568" s="37">
        <v>1479.8</v>
      </c>
      <c r="J568" s="37">
        <v>59808.97</v>
      </c>
      <c r="K568" s="38">
        <f t="shared" si="34"/>
        <v>1.8578873055714845E-2</v>
      </c>
      <c r="L568" s="38">
        <f t="shared" si="35"/>
        <v>6.9229323769361807E-3</v>
      </c>
    </row>
    <row r="569" spans="1:12">
      <c r="A569" s="35">
        <v>43166</v>
      </c>
      <c r="B569" s="37">
        <v>1142.8</v>
      </c>
      <c r="C569" s="37">
        <v>33351.57</v>
      </c>
      <c r="D569" s="38">
        <f t="shared" si="32"/>
        <v>1.2089731944737954E-2</v>
      </c>
      <c r="E569" s="38">
        <f t="shared" si="33"/>
        <v>-1.3330592980127683E-3</v>
      </c>
      <c r="H569" s="35">
        <v>44991</v>
      </c>
      <c r="I569" s="37">
        <v>1507.55</v>
      </c>
      <c r="J569" s="37">
        <v>60224.46</v>
      </c>
      <c r="K569" s="38">
        <f t="shared" si="34"/>
        <v>-1.0033250280408211E-2</v>
      </c>
      <c r="L569" s="38">
        <f t="shared" si="35"/>
        <v>2.0507162422376641E-3</v>
      </c>
    </row>
    <row r="570" spans="1:12">
      <c r="A570" s="35">
        <v>43167</v>
      </c>
      <c r="B570" s="37">
        <v>1156.7</v>
      </c>
      <c r="C570" s="37">
        <v>33307.14</v>
      </c>
      <c r="D570" s="38">
        <f t="shared" si="32"/>
        <v>5.775629175305292E-3</v>
      </c>
      <c r="E570" s="38">
        <f t="shared" si="33"/>
        <v>1.8172289530089706E-2</v>
      </c>
      <c r="H570" s="35">
        <v>44993</v>
      </c>
      <c r="I570" s="37">
        <v>1492.5</v>
      </c>
      <c r="J570" s="37">
        <v>60348.09</v>
      </c>
      <c r="K570" s="38">
        <f t="shared" si="34"/>
        <v>-7.9038501096825881E-3</v>
      </c>
      <c r="L570" s="38">
        <f t="shared" si="35"/>
        <v>-9.0186261617607767E-3</v>
      </c>
    </row>
    <row r="571" spans="1:12">
      <c r="A571" s="35">
        <v>43168</v>
      </c>
      <c r="B571" s="37">
        <v>1163.4000000000001</v>
      </c>
      <c r="C571" s="37">
        <v>33917.94</v>
      </c>
      <c r="D571" s="38">
        <f t="shared" si="32"/>
        <v>1.9113064534242222E-2</v>
      </c>
      <c r="E571" s="38">
        <f t="shared" si="33"/>
        <v>-1.8048032246079321E-3</v>
      </c>
      <c r="H571" s="35">
        <v>44994</v>
      </c>
      <c r="I571" s="37">
        <v>1480.75</v>
      </c>
      <c r="J571" s="37">
        <v>59806.28</v>
      </c>
      <c r="K571" s="38">
        <f t="shared" si="34"/>
        <v>-6.3683694786403214E-3</v>
      </c>
      <c r="L571" s="38">
        <f t="shared" si="35"/>
        <v>-1.1285508104774833E-2</v>
      </c>
    </row>
    <row r="572" spans="1:12">
      <c r="A572" s="35">
        <v>43171</v>
      </c>
      <c r="B572" s="37">
        <v>1185.8499999999999</v>
      </c>
      <c r="C572" s="37">
        <v>33856.78</v>
      </c>
      <c r="D572" s="38">
        <f t="shared" si="32"/>
        <v>-4.479385447930923E-3</v>
      </c>
      <c r="E572" s="38">
        <f t="shared" si="33"/>
        <v>-6.2163443398295887E-4</v>
      </c>
      <c r="H572" s="35">
        <v>44995</v>
      </c>
      <c r="I572" s="37">
        <v>1471.35</v>
      </c>
      <c r="J572" s="37">
        <v>59135.13</v>
      </c>
      <c r="K572" s="38">
        <f t="shared" si="34"/>
        <v>-2.5154880020306802E-2</v>
      </c>
      <c r="L572" s="38">
        <f t="shared" si="35"/>
        <v>-1.5289677062129931E-2</v>
      </c>
    </row>
    <row r="573" spans="1:12">
      <c r="A573" s="35">
        <v>43172</v>
      </c>
      <c r="B573" s="37">
        <v>1180.55</v>
      </c>
      <c r="C573" s="37">
        <v>33835.74</v>
      </c>
      <c r="D573" s="38">
        <f t="shared" si="32"/>
        <v>-2.96515939904039E-4</v>
      </c>
      <c r="E573" s="38">
        <f t="shared" si="33"/>
        <v>-4.4489751304196724E-3</v>
      </c>
      <c r="H573" s="35">
        <v>44998</v>
      </c>
      <c r="I573" s="37">
        <v>1434.8</v>
      </c>
      <c r="J573" s="37">
        <v>58237.85</v>
      </c>
      <c r="K573" s="38">
        <f t="shared" si="34"/>
        <v>-9.6294316916683605E-3</v>
      </c>
      <c r="L573" s="38">
        <f t="shared" si="35"/>
        <v>-5.8148209047920495E-3</v>
      </c>
    </row>
    <row r="574" spans="1:12">
      <c r="A574" s="35">
        <v>43173</v>
      </c>
      <c r="B574" s="37">
        <v>1180.2</v>
      </c>
      <c r="C574" s="37">
        <v>33685.54</v>
      </c>
      <c r="D574" s="38">
        <f t="shared" si="32"/>
        <v>1.65089884469993E-3</v>
      </c>
      <c r="E574" s="38">
        <f t="shared" si="33"/>
        <v>-1.5241942214326256E-2</v>
      </c>
      <c r="H574" s="35">
        <v>44999</v>
      </c>
      <c r="I574" s="37">
        <v>1421.05</v>
      </c>
      <c r="J574" s="37">
        <v>57900.19</v>
      </c>
      <c r="K574" s="38">
        <f t="shared" si="34"/>
        <v>-1.1970146479272276E-3</v>
      </c>
      <c r="L574" s="38">
        <f t="shared" si="35"/>
        <v>-5.9640166320863346E-3</v>
      </c>
    </row>
    <row r="575" spans="1:12">
      <c r="A575" s="35">
        <v>43174</v>
      </c>
      <c r="B575" s="37">
        <v>1182.1500000000001</v>
      </c>
      <c r="C575" s="37">
        <v>33176</v>
      </c>
      <c r="D575" s="38">
        <f t="shared" si="32"/>
        <v>-8.1965931473339439E-3</v>
      </c>
      <c r="E575" s="38">
        <f t="shared" si="33"/>
        <v>-7.6515764134610165E-3</v>
      </c>
      <c r="H575" s="35">
        <v>45000</v>
      </c>
      <c r="I575" s="37">
        <v>1419.35</v>
      </c>
      <c r="J575" s="37">
        <v>57555.9</v>
      </c>
      <c r="K575" s="38">
        <f t="shared" si="34"/>
        <v>-9.3079895534708152E-3</v>
      </c>
      <c r="L575" s="38">
        <f t="shared" si="35"/>
        <v>1.3705964968646139E-3</v>
      </c>
    </row>
    <row r="576" spans="1:12">
      <c r="A576" s="35">
        <v>43175</v>
      </c>
      <c r="B576" s="37">
        <v>1172.5</v>
      </c>
      <c r="C576" s="37">
        <v>32923.120000000003</v>
      </c>
      <c r="D576" s="38">
        <f t="shared" si="32"/>
        <v>-2.185761580426359E-2</v>
      </c>
      <c r="E576" s="38">
        <f t="shared" si="33"/>
        <v>2.234228297529246E-3</v>
      </c>
      <c r="H576" s="35">
        <v>45001</v>
      </c>
      <c r="I576" s="37">
        <v>1406.2</v>
      </c>
      <c r="J576" s="37">
        <v>57634.84</v>
      </c>
      <c r="K576" s="38">
        <f t="shared" si="34"/>
        <v>1.0364253295081697E-2</v>
      </c>
      <c r="L576" s="38">
        <f t="shared" si="35"/>
        <v>6.1416114934094513E-3</v>
      </c>
    </row>
    <row r="577" spans="1:12">
      <c r="A577" s="35">
        <v>43178</v>
      </c>
      <c r="B577" s="37">
        <v>1147.1500000000001</v>
      </c>
      <c r="C577" s="37">
        <v>32996.76</v>
      </c>
      <c r="D577" s="38">
        <f t="shared" si="32"/>
        <v>1.2948107712656949E-2</v>
      </c>
      <c r="E577" s="38">
        <f t="shared" si="33"/>
        <v>4.2163619687036061E-3</v>
      </c>
      <c r="H577" s="35">
        <v>45002</v>
      </c>
      <c r="I577" s="37">
        <v>1420.85</v>
      </c>
      <c r="J577" s="37">
        <v>57989.9</v>
      </c>
      <c r="K577" s="38">
        <f t="shared" si="34"/>
        <v>-1.2072438763821676E-2</v>
      </c>
      <c r="L577" s="38">
        <f t="shared" si="35"/>
        <v>-6.2438118462718219E-3</v>
      </c>
    </row>
    <row r="578" spans="1:12">
      <c r="A578" s="35">
        <v>43179</v>
      </c>
      <c r="B578" s="37">
        <v>1162.0999999999999</v>
      </c>
      <c r="C578" s="37">
        <v>33136.18</v>
      </c>
      <c r="D578" s="38">
        <f t="shared" si="32"/>
        <v>5.5777378915087368E-3</v>
      </c>
      <c r="E578" s="38">
        <f t="shared" si="33"/>
        <v>-3.9281933780856695E-3</v>
      </c>
      <c r="H578" s="35">
        <v>45005</v>
      </c>
      <c r="I578" s="37">
        <v>1403.8</v>
      </c>
      <c r="J578" s="37">
        <v>57628.95</v>
      </c>
      <c r="K578" s="38">
        <f t="shared" si="34"/>
        <v>-9.1239876558491251E-3</v>
      </c>
      <c r="L578" s="38">
        <f t="shared" si="35"/>
        <v>7.7047229197198903E-3</v>
      </c>
    </row>
    <row r="579" spans="1:12">
      <c r="A579" s="35">
        <v>43180</v>
      </c>
      <c r="B579" s="37">
        <v>1168.5999999999999</v>
      </c>
      <c r="C579" s="37">
        <v>33006.269999999997</v>
      </c>
      <c r="D579" s="38">
        <f t="shared" si="32"/>
        <v>-8.421464225141324E-3</v>
      </c>
      <c r="E579" s="38">
        <f t="shared" si="33"/>
        <v>-1.2491395648143744E-2</v>
      </c>
      <c r="H579" s="35">
        <v>45006</v>
      </c>
      <c r="I579" s="37">
        <v>1391.05</v>
      </c>
      <c r="J579" s="37">
        <v>58074.68</v>
      </c>
      <c r="K579" s="38">
        <f t="shared" si="34"/>
        <v>-1.1508722723257668E-3</v>
      </c>
      <c r="L579" s="38">
        <f t="shared" si="35"/>
        <v>2.4062420807453053E-3</v>
      </c>
    </row>
    <row r="580" spans="1:12">
      <c r="A580" s="35">
        <v>43181</v>
      </c>
      <c r="B580" s="37">
        <v>1158.8</v>
      </c>
      <c r="C580" s="37">
        <v>32596.54</v>
      </c>
      <c r="D580" s="38">
        <f t="shared" si="32"/>
        <v>7.4368961783115835E-3</v>
      </c>
      <c r="E580" s="38">
        <f t="shared" si="33"/>
        <v>1.4311815725195782E-2</v>
      </c>
      <c r="H580" s="35">
        <v>45007</v>
      </c>
      <c r="I580" s="37">
        <v>1389.45</v>
      </c>
      <c r="J580" s="37">
        <v>58214.59</v>
      </c>
      <c r="K580" s="38">
        <f t="shared" si="34"/>
        <v>-1.0817956762845856E-2</v>
      </c>
      <c r="L580" s="38">
        <f t="shared" si="35"/>
        <v>-4.9821064621934441E-3</v>
      </c>
    </row>
    <row r="581" spans="1:12">
      <c r="A581" s="35">
        <v>43182</v>
      </c>
      <c r="B581" s="37">
        <v>1167.45</v>
      </c>
      <c r="C581" s="37">
        <v>33066.410000000003</v>
      </c>
      <c r="D581" s="38">
        <f t="shared" ref="D581:D644" si="36">LN(B582/B581)</f>
        <v>-1.1327783452640459E-2</v>
      </c>
      <c r="E581" s="38">
        <f t="shared" ref="E581:E644" si="37">LN(C582/C581)</f>
        <v>3.2602292135395471E-3</v>
      </c>
      <c r="H581" s="35">
        <v>45008</v>
      </c>
      <c r="I581" s="37">
        <v>1374.5</v>
      </c>
      <c r="J581" s="37">
        <v>57925.279999999999</v>
      </c>
      <c r="K581" s="38">
        <f t="shared" ref="K581:K644" si="38">LN(I582/I581)</f>
        <v>4.3195043476752359E-3</v>
      </c>
      <c r="L581" s="38">
        <f t="shared" ref="L581:L644" si="39">LN(J582/J581)</f>
        <v>-6.8977630214939866E-3</v>
      </c>
    </row>
    <row r="582" spans="1:12">
      <c r="A582" s="35">
        <v>43185</v>
      </c>
      <c r="B582" s="37">
        <v>1154.3</v>
      </c>
      <c r="C582" s="37">
        <v>33174.39</v>
      </c>
      <c r="D582" s="38">
        <f t="shared" si="36"/>
        <v>-1.3003339355541863E-3</v>
      </c>
      <c r="E582" s="38">
        <f t="shared" si="37"/>
        <v>-6.2201728239201703E-3</v>
      </c>
      <c r="H582" s="35">
        <v>45009</v>
      </c>
      <c r="I582" s="37">
        <v>1380.45</v>
      </c>
      <c r="J582" s="37">
        <v>57527.1</v>
      </c>
      <c r="K582" s="38">
        <f t="shared" si="38"/>
        <v>6.1025339691976876E-3</v>
      </c>
      <c r="L582" s="38">
        <f t="shared" si="39"/>
        <v>2.2010591190725834E-3</v>
      </c>
    </row>
    <row r="583" spans="1:12">
      <c r="A583" s="35">
        <v>43186</v>
      </c>
      <c r="B583" s="37">
        <v>1152.8</v>
      </c>
      <c r="C583" s="37">
        <v>32968.68</v>
      </c>
      <c r="D583" s="38">
        <f t="shared" si="36"/>
        <v>-1.6089888907449203E-2</v>
      </c>
      <c r="E583" s="38">
        <f t="shared" si="37"/>
        <v>8.6579372321358133E-3</v>
      </c>
      <c r="H583" s="35">
        <v>45012</v>
      </c>
      <c r="I583" s="37">
        <v>1388.9</v>
      </c>
      <c r="J583" s="37">
        <v>57653.86</v>
      </c>
      <c r="K583" s="38">
        <f t="shared" si="38"/>
        <v>-8.3144028115754286E-3</v>
      </c>
      <c r="L583" s="38">
        <f t="shared" si="39"/>
        <v>-6.9646645869621889E-4</v>
      </c>
    </row>
    <row r="584" spans="1:12">
      <c r="A584" s="35">
        <v>43187</v>
      </c>
      <c r="B584" s="37">
        <v>1134.4000000000001</v>
      </c>
      <c r="C584" s="37">
        <v>33255.360000000001</v>
      </c>
      <c r="D584" s="38">
        <f t="shared" si="36"/>
        <v>2.7289950472422718E-3</v>
      </c>
      <c r="E584" s="38">
        <f t="shared" si="37"/>
        <v>3.4602147003425293E-3</v>
      </c>
      <c r="H584" s="35">
        <v>45013</v>
      </c>
      <c r="I584" s="37">
        <v>1377.4</v>
      </c>
      <c r="J584" s="37">
        <v>57613.72</v>
      </c>
      <c r="K584" s="38">
        <f t="shared" si="38"/>
        <v>4.4188561163827399E-3</v>
      </c>
      <c r="L584" s="38">
        <f t="shared" si="39"/>
        <v>5.993936463809804E-3</v>
      </c>
    </row>
    <row r="585" spans="1:12">
      <c r="A585" s="35">
        <v>43192</v>
      </c>
      <c r="B585" s="37">
        <v>1137.5</v>
      </c>
      <c r="C585" s="37">
        <v>33370.629999999997</v>
      </c>
      <c r="D585" s="38">
        <f t="shared" si="36"/>
        <v>2.2392492507521487E-3</v>
      </c>
      <c r="E585" s="38">
        <f t="shared" si="37"/>
        <v>-1.0590898471205187E-2</v>
      </c>
      <c r="H585" s="35">
        <v>45014</v>
      </c>
      <c r="I585" s="37">
        <v>1383.5</v>
      </c>
      <c r="J585" s="37">
        <v>57960.09</v>
      </c>
      <c r="K585" s="38">
        <f t="shared" si="38"/>
        <v>3.1448237568193871E-2</v>
      </c>
      <c r="L585" s="38">
        <f t="shared" si="39"/>
        <v>1.763903451587736E-2</v>
      </c>
    </row>
    <row r="586" spans="1:12">
      <c r="A586" s="35">
        <v>43193</v>
      </c>
      <c r="B586" s="37">
        <v>1140.05</v>
      </c>
      <c r="C586" s="37">
        <v>33019.07</v>
      </c>
      <c r="D586" s="38">
        <f t="shared" si="36"/>
        <v>-1.36891654586769E-2</v>
      </c>
      <c r="E586" s="38">
        <f t="shared" si="37"/>
        <v>1.7345550991774351E-2</v>
      </c>
      <c r="H586" s="35">
        <v>45016</v>
      </c>
      <c r="I586" s="37">
        <v>1427.7</v>
      </c>
      <c r="J586" s="37">
        <v>58991.519999999997</v>
      </c>
      <c r="K586" s="38">
        <f t="shared" si="38"/>
        <v>-1.1801521431316873E-2</v>
      </c>
      <c r="L586" s="38">
        <f t="shared" si="39"/>
        <v>1.9461815644029961E-3</v>
      </c>
    </row>
    <row r="587" spans="1:12">
      <c r="A587" s="35">
        <v>43194</v>
      </c>
      <c r="B587" s="37">
        <v>1124.55</v>
      </c>
      <c r="C587" s="37">
        <v>33596.800000000003</v>
      </c>
      <c r="D587" s="38">
        <f t="shared" si="36"/>
        <v>1.802168137115924E-2</v>
      </c>
      <c r="E587" s="38">
        <f t="shared" si="37"/>
        <v>8.9759922794047998E-4</v>
      </c>
      <c r="H587" s="35">
        <v>45019</v>
      </c>
      <c r="I587" s="37">
        <v>1410.95</v>
      </c>
      <c r="J587" s="37">
        <v>59106.44</v>
      </c>
      <c r="K587" s="38">
        <f t="shared" si="38"/>
        <v>8.7500117240194401E-3</v>
      </c>
      <c r="L587" s="38">
        <f t="shared" si="39"/>
        <v>9.8130560619098701E-3</v>
      </c>
    </row>
    <row r="588" spans="1:12">
      <c r="A588" s="35">
        <v>43195</v>
      </c>
      <c r="B588" s="37">
        <v>1145</v>
      </c>
      <c r="C588" s="37">
        <v>33626.97</v>
      </c>
      <c r="D588" s="38">
        <f t="shared" si="36"/>
        <v>-1.3806665258715517E-2</v>
      </c>
      <c r="E588" s="38">
        <f t="shared" si="37"/>
        <v>4.7932681765594952E-3</v>
      </c>
      <c r="H588" s="35">
        <v>45021</v>
      </c>
      <c r="I588" s="37">
        <v>1423.35</v>
      </c>
      <c r="J588" s="37">
        <v>59689.31</v>
      </c>
      <c r="K588" s="38">
        <f t="shared" si="38"/>
        <v>-8.785957092266347E-4</v>
      </c>
      <c r="L588" s="38">
        <f t="shared" si="39"/>
        <v>2.4039044298910413E-3</v>
      </c>
    </row>
    <row r="589" spans="1:12">
      <c r="A589" s="35">
        <v>43196</v>
      </c>
      <c r="B589" s="37">
        <v>1129.3</v>
      </c>
      <c r="C589" s="37">
        <v>33788.54</v>
      </c>
      <c r="D589" s="38">
        <f t="shared" si="36"/>
        <v>-1.6382466603177444E-2</v>
      </c>
      <c r="E589" s="38">
        <f t="shared" si="37"/>
        <v>2.7105569982957783E-3</v>
      </c>
      <c r="H589" s="35">
        <v>45022</v>
      </c>
      <c r="I589" s="37">
        <v>1422.1</v>
      </c>
      <c r="J589" s="37">
        <v>59832.97</v>
      </c>
      <c r="K589" s="38">
        <f t="shared" si="38"/>
        <v>3.6498952570722847E-3</v>
      </c>
      <c r="L589" s="38">
        <f t="shared" si="39"/>
        <v>2.2627103757079853E-4</v>
      </c>
    </row>
    <row r="590" spans="1:12">
      <c r="A590" s="35">
        <v>43199</v>
      </c>
      <c r="B590" s="37">
        <v>1110.95</v>
      </c>
      <c r="C590" s="37">
        <v>33880.25</v>
      </c>
      <c r="D590" s="38">
        <f t="shared" si="36"/>
        <v>2.8762772065302213E-3</v>
      </c>
      <c r="E590" s="38">
        <f t="shared" si="37"/>
        <v>1.7749750349801358E-3</v>
      </c>
      <c r="H590" s="35">
        <v>45026</v>
      </c>
      <c r="I590" s="37">
        <v>1427.3</v>
      </c>
      <c r="J590" s="37">
        <v>59846.51</v>
      </c>
      <c r="K590" s="38">
        <f t="shared" si="38"/>
        <v>-1.428923355004307E-2</v>
      </c>
      <c r="L590" s="38">
        <f t="shared" si="39"/>
        <v>5.1866621312722542E-3</v>
      </c>
    </row>
    <row r="591" spans="1:12">
      <c r="A591" s="35">
        <v>43200</v>
      </c>
      <c r="B591" s="37">
        <v>1114.1500000000001</v>
      </c>
      <c r="C591" s="37">
        <v>33940.44</v>
      </c>
      <c r="D591" s="38">
        <f t="shared" si="36"/>
        <v>8.7129971912441803E-3</v>
      </c>
      <c r="E591" s="38">
        <f t="shared" si="37"/>
        <v>4.7232977940763294E-3</v>
      </c>
      <c r="H591" s="35">
        <v>45027</v>
      </c>
      <c r="I591" s="37">
        <v>1407.05</v>
      </c>
      <c r="J591" s="37">
        <v>60157.72</v>
      </c>
      <c r="K591" s="38">
        <f t="shared" si="38"/>
        <v>1.5094626222485107E-2</v>
      </c>
      <c r="L591" s="38">
        <f t="shared" si="39"/>
        <v>3.8996158019283132E-3</v>
      </c>
    </row>
    <row r="592" spans="1:12">
      <c r="A592" s="35">
        <v>43201</v>
      </c>
      <c r="B592" s="37">
        <v>1123.9000000000001</v>
      </c>
      <c r="C592" s="37">
        <v>34101.129999999997</v>
      </c>
      <c r="D592" s="38">
        <f t="shared" si="36"/>
        <v>3.3553002046472581E-2</v>
      </c>
      <c r="E592" s="38">
        <f t="shared" si="37"/>
        <v>2.6801871205669025E-3</v>
      </c>
      <c r="H592" s="35">
        <v>45028</v>
      </c>
      <c r="I592" s="37">
        <v>1428.45</v>
      </c>
      <c r="J592" s="37">
        <v>60392.77</v>
      </c>
      <c r="K592" s="38">
        <f t="shared" si="38"/>
        <v>-2.8293894988991757E-2</v>
      </c>
      <c r="L592" s="38">
        <f t="shared" si="39"/>
        <v>6.3282251953927597E-4</v>
      </c>
    </row>
    <row r="593" spans="1:12">
      <c r="A593" s="35">
        <v>43202</v>
      </c>
      <c r="B593" s="37">
        <v>1162.25</v>
      </c>
      <c r="C593" s="37">
        <v>34192.65</v>
      </c>
      <c r="D593" s="38">
        <f t="shared" si="36"/>
        <v>5.7909009013741939E-3</v>
      </c>
      <c r="E593" s="38">
        <f t="shared" si="37"/>
        <v>3.2929419893374988E-3</v>
      </c>
      <c r="H593" s="35">
        <v>45029</v>
      </c>
      <c r="I593" s="37">
        <v>1388.6</v>
      </c>
      <c r="J593" s="37">
        <v>60431</v>
      </c>
      <c r="K593" s="38">
        <f t="shared" si="38"/>
        <v>-9.8693398962087842E-2</v>
      </c>
      <c r="L593" s="38">
        <f t="shared" si="39"/>
        <v>-8.6462635130574259E-3</v>
      </c>
    </row>
    <row r="594" spans="1:12">
      <c r="A594" s="35">
        <v>43203</v>
      </c>
      <c r="B594" s="37">
        <v>1169</v>
      </c>
      <c r="C594" s="37">
        <v>34305.43</v>
      </c>
      <c r="D594" s="38">
        <f t="shared" si="36"/>
        <v>-3.1456238532613173E-2</v>
      </c>
      <c r="E594" s="38">
        <f t="shared" si="37"/>
        <v>2.6092987358130181E-3</v>
      </c>
      <c r="H594" s="35">
        <v>45033</v>
      </c>
      <c r="I594" s="37">
        <v>1258.0999999999999</v>
      </c>
      <c r="J594" s="37">
        <v>59910.75</v>
      </c>
      <c r="K594" s="38">
        <f t="shared" si="38"/>
        <v>2.2627587511310897E-3</v>
      </c>
      <c r="L594" s="38">
        <f t="shared" si="39"/>
        <v>-3.0716079014202324E-3</v>
      </c>
    </row>
    <row r="595" spans="1:12">
      <c r="A595" s="35">
        <v>43206</v>
      </c>
      <c r="B595" s="37">
        <v>1132.8</v>
      </c>
      <c r="C595" s="37">
        <v>34395.06</v>
      </c>
      <c r="D595" s="38">
        <f t="shared" si="36"/>
        <v>-6.9094083009348176E-3</v>
      </c>
      <c r="E595" s="38">
        <f t="shared" si="37"/>
        <v>-1.8444063538399277E-3</v>
      </c>
      <c r="H595" s="35">
        <v>45034</v>
      </c>
      <c r="I595" s="37">
        <v>1260.95</v>
      </c>
      <c r="J595" s="37">
        <v>59727.01</v>
      </c>
      <c r="K595" s="38">
        <f t="shared" si="38"/>
        <v>-2.3064215527745804E-2</v>
      </c>
      <c r="L595" s="38">
        <f t="shared" si="39"/>
        <v>-2.6691872768831904E-3</v>
      </c>
    </row>
    <row r="596" spans="1:12">
      <c r="A596" s="35">
        <v>43207</v>
      </c>
      <c r="B596" s="37">
        <v>1125</v>
      </c>
      <c r="C596" s="37">
        <v>34331.68</v>
      </c>
      <c r="D596" s="38">
        <f t="shared" si="36"/>
        <v>3.9992002132689132E-4</v>
      </c>
      <c r="E596" s="38">
        <f t="shared" si="37"/>
        <v>2.7810207634362894E-3</v>
      </c>
      <c r="H596" s="35">
        <v>45035</v>
      </c>
      <c r="I596" s="37">
        <v>1232.2</v>
      </c>
      <c r="J596" s="37">
        <v>59567.8</v>
      </c>
      <c r="K596" s="38">
        <f t="shared" si="38"/>
        <v>-6.7995620375515672E-3</v>
      </c>
      <c r="L596" s="38">
        <f t="shared" si="39"/>
        <v>1.0830524342423486E-3</v>
      </c>
    </row>
    <row r="597" spans="1:12">
      <c r="A597" s="35">
        <v>43208</v>
      </c>
      <c r="B597" s="37">
        <v>1125.45</v>
      </c>
      <c r="C597" s="37">
        <v>34427.29</v>
      </c>
      <c r="D597" s="38">
        <f t="shared" si="36"/>
        <v>6.4212075468203919E-3</v>
      </c>
      <c r="E597" s="38">
        <f t="shared" si="37"/>
        <v>-3.4019500096190916E-4</v>
      </c>
      <c r="H597" s="35">
        <v>45036</v>
      </c>
      <c r="I597" s="37">
        <v>1223.8499999999999</v>
      </c>
      <c r="J597" s="37">
        <v>59632.35</v>
      </c>
      <c r="K597" s="38">
        <f t="shared" si="38"/>
        <v>2.9372190985816442E-3</v>
      </c>
      <c r="L597" s="38">
        <f t="shared" si="39"/>
        <v>3.8076105893103802E-4</v>
      </c>
    </row>
    <row r="598" spans="1:12">
      <c r="A598" s="35">
        <v>43209</v>
      </c>
      <c r="B598" s="37">
        <v>1132.7</v>
      </c>
      <c r="C598" s="37">
        <v>34415.58</v>
      </c>
      <c r="D598" s="38">
        <f t="shared" si="36"/>
        <v>3.9426123597172291E-2</v>
      </c>
      <c r="E598" s="38">
        <f t="shared" si="37"/>
        <v>1.0219796188653163E-3</v>
      </c>
      <c r="H598" s="35">
        <v>45037</v>
      </c>
      <c r="I598" s="37">
        <v>1227.45</v>
      </c>
      <c r="J598" s="37">
        <v>59655.06</v>
      </c>
      <c r="K598" s="38">
        <f t="shared" si="38"/>
        <v>-9.3734087352017562E-4</v>
      </c>
      <c r="L598" s="38">
        <f t="shared" si="39"/>
        <v>6.7001522713650841E-3</v>
      </c>
    </row>
    <row r="599" spans="1:12">
      <c r="A599" s="35">
        <v>43210</v>
      </c>
      <c r="B599" s="37">
        <v>1178.25</v>
      </c>
      <c r="C599" s="37">
        <v>34450.769999999997</v>
      </c>
      <c r="D599" s="38">
        <f t="shared" si="36"/>
        <v>4.3191124053679432E-3</v>
      </c>
      <c r="E599" s="38">
        <f t="shared" si="37"/>
        <v>4.8031428683212992E-3</v>
      </c>
      <c r="H599" s="35">
        <v>45040</v>
      </c>
      <c r="I599" s="37">
        <v>1226.3</v>
      </c>
      <c r="J599" s="37">
        <v>60056.1</v>
      </c>
      <c r="K599" s="38">
        <f t="shared" si="38"/>
        <v>-1.4280762163434528E-3</v>
      </c>
      <c r="L599" s="38">
        <f t="shared" si="39"/>
        <v>1.241567349765141E-3</v>
      </c>
    </row>
    <row r="600" spans="1:12">
      <c r="A600" s="35">
        <v>43213</v>
      </c>
      <c r="B600" s="37">
        <v>1183.3499999999999</v>
      </c>
      <c r="C600" s="37">
        <v>34616.639999999999</v>
      </c>
      <c r="D600" s="38">
        <f t="shared" si="36"/>
        <v>-2.5201890008586081E-2</v>
      </c>
      <c r="E600" s="38">
        <f t="shared" si="37"/>
        <v>-3.3383563578889739E-3</v>
      </c>
      <c r="H600" s="35">
        <v>45041</v>
      </c>
      <c r="I600" s="37">
        <v>1224.55</v>
      </c>
      <c r="J600" s="37">
        <v>60130.71</v>
      </c>
      <c r="K600" s="38">
        <f t="shared" si="38"/>
        <v>2.406151117038801E-3</v>
      </c>
      <c r="L600" s="38">
        <f t="shared" si="39"/>
        <v>2.821029529037569E-3</v>
      </c>
    </row>
    <row r="601" spans="1:12">
      <c r="A601" s="35">
        <v>43214</v>
      </c>
      <c r="B601" s="37">
        <v>1153.9000000000001</v>
      </c>
      <c r="C601" s="37">
        <v>34501.269999999997</v>
      </c>
      <c r="D601" s="38">
        <f t="shared" si="36"/>
        <v>6.048057143368148E-3</v>
      </c>
      <c r="E601" s="38">
        <f t="shared" si="37"/>
        <v>6.1354060497338806E-3</v>
      </c>
      <c r="H601" s="35">
        <v>45042</v>
      </c>
      <c r="I601" s="37">
        <v>1227.5</v>
      </c>
      <c r="J601" s="37">
        <v>60300.58</v>
      </c>
      <c r="K601" s="38">
        <f t="shared" si="38"/>
        <v>1.5400154804940157E-2</v>
      </c>
      <c r="L601" s="38">
        <f t="shared" si="39"/>
        <v>5.7676904885056602E-3</v>
      </c>
    </row>
    <row r="602" spans="1:12">
      <c r="A602" s="35">
        <v>43215</v>
      </c>
      <c r="B602" s="37">
        <v>1160.9000000000001</v>
      </c>
      <c r="C602" s="37">
        <v>34713.599999999999</v>
      </c>
      <c r="D602" s="38">
        <f t="shared" si="36"/>
        <v>1.2625619769624931E-2</v>
      </c>
      <c r="E602" s="38">
        <f t="shared" si="37"/>
        <v>7.3504312529528897E-3</v>
      </c>
      <c r="H602" s="35">
        <v>45043</v>
      </c>
      <c r="I602" s="37">
        <v>1246.55</v>
      </c>
      <c r="J602" s="37">
        <v>60649.38</v>
      </c>
      <c r="K602" s="38">
        <f t="shared" si="38"/>
        <v>4.8017378482963276E-3</v>
      </c>
      <c r="L602" s="38">
        <f t="shared" si="39"/>
        <v>7.6060333592288124E-3</v>
      </c>
    </row>
    <row r="603" spans="1:12">
      <c r="A603" s="35">
        <v>43216</v>
      </c>
      <c r="B603" s="37">
        <v>1175.6500000000001</v>
      </c>
      <c r="C603" s="37">
        <v>34969.699999999997</v>
      </c>
      <c r="D603" s="38">
        <f t="shared" si="36"/>
        <v>8.0481627232368517E-3</v>
      </c>
      <c r="E603" s="38">
        <f t="shared" si="37"/>
        <v>5.437339415735363E-3</v>
      </c>
      <c r="H603" s="35">
        <v>45044</v>
      </c>
      <c r="I603" s="37">
        <v>1252.55</v>
      </c>
      <c r="J603" s="37">
        <v>61112.44</v>
      </c>
      <c r="K603" s="38">
        <f t="shared" si="38"/>
        <v>1.984097969287665E-2</v>
      </c>
      <c r="L603" s="38">
        <f t="shared" si="39"/>
        <v>3.9564947177770822E-3</v>
      </c>
    </row>
    <row r="604" spans="1:12">
      <c r="A604" s="35">
        <v>43217</v>
      </c>
      <c r="B604" s="37">
        <v>1185.1500000000001</v>
      </c>
      <c r="C604" s="37">
        <v>35160.36</v>
      </c>
      <c r="D604" s="38">
        <f t="shared" si="36"/>
        <v>1.1952082897557377E-2</v>
      </c>
      <c r="E604" s="38">
        <f t="shared" si="37"/>
        <v>4.566600938824442E-4</v>
      </c>
      <c r="H604" s="35">
        <v>45048</v>
      </c>
      <c r="I604" s="37">
        <v>1277.6500000000001</v>
      </c>
      <c r="J604" s="37">
        <v>61354.71</v>
      </c>
      <c r="K604" s="38">
        <f t="shared" si="38"/>
        <v>-6.5174946057427159E-3</v>
      </c>
      <c r="L604" s="38">
        <f t="shared" si="39"/>
        <v>-2.6342344251512107E-3</v>
      </c>
    </row>
    <row r="605" spans="1:12">
      <c r="A605" s="35">
        <v>43220</v>
      </c>
      <c r="B605" s="37">
        <v>1199.4000000000001</v>
      </c>
      <c r="C605" s="37">
        <v>35176.42</v>
      </c>
      <c r="D605" s="38">
        <f t="shared" si="36"/>
        <v>-1.3348909040474428E-3</v>
      </c>
      <c r="E605" s="38">
        <f t="shared" si="37"/>
        <v>-2.0853866062023152E-3</v>
      </c>
      <c r="H605" s="35">
        <v>45049</v>
      </c>
      <c r="I605" s="37">
        <v>1269.3499999999999</v>
      </c>
      <c r="J605" s="37">
        <v>61193.3</v>
      </c>
      <c r="K605" s="38">
        <f t="shared" si="38"/>
        <v>3.3033181164561576E-3</v>
      </c>
      <c r="L605" s="38">
        <f t="shared" si="39"/>
        <v>9.0441232842987957E-3</v>
      </c>
    </row>
    <row r="606" spans="1:12">
      <c r="A606" s="35">
        <v>43222</v>
      </c>
      <c r="B606" s="37">
        <v>1197.8</v>
      </c>
      <c r="C606" s="37">
        <v>35103.14</v>
      </c>
      <c r="D606" s="38">
        <f t="shared" si="36"/>
        <v>-1.340553347055533E-2</v>
      </c>
      <c r="E606" s="38">
        <f t="shared" si="37"/>
        <v>-5.3631653469210731E-3</v>
      </c>
      <c r="H606" s="35">
        <v>45050</v>
      </c>
      <c r="I606" s="37">
        <v>1273.55</v>
      </c>
      <c r="J606" s="37">
        <v>61749.25</v>
      </c>
      <c r="K606" s="38">
        <f t="shared" si="38"/>
        <v>-1.1450808210960438E-2</v>
      </c>
      <c r="L606" s="38">
        <f t="shared" si="39"/>
        <v>-1.1318361327194357E-2</v>
      </c>
    </row>
    <row r="607" spans="1:12">
      <c r="A607" s="35">
        <v>43223</v>
      </c>
      <c r="B607" s="37">
        <v>1181.8499999999999</v>
      </c>
      <c r="C607" s="37">
        <v>34915.379999999997</v>
      </c>
      <c r="D607" s="38">
        <f t="shared" si="36"/>
        <v>-7.6016928323472685E-3</v>
      </c>
      <c r="E607" s="38">
        <f t="shared" si="37"/>
        <v>8.3498860567236769E-3</v>
      </c>
      <c r="H607" s="35">
        <v>45051</v>
      </c>
      <c r="I607" s="37">
        <v>1259.05</v>
      </c>
      <c r="J607" s="37">
        <v>61054.29</v>
      </c>
      <c r="K607" s="38">
        <f t="shared" si="38"/>
        <v>5.7023082483515838E-3</v>
      </c>
      <c r="L607" s="38">
        <f t="shared" si="39"/>
        <v>1.1561249757588515E-2</v>
      </c>
    </row>
    <row r="608" spans="1:12">
      <c r="A608" s="35">
        <v>43224</v>
      </c>
      <c r="B608" s="37">
        <v>1172.9000000000001</v>
      </c>
      <c r="C608" s="37">
        <v>35208.14</v>
      </c>
      <c r="D608" s="38">
        <f t="shared" si="36"/>
        <v>8.8700846817488452E-3</v>
      </c>
      <c r="E608" s="38">
        <f t="shared" si="37"/>
        <v>2.3230565166673244E-4</v>
      </c>
      <c r="H608" s="35">
        <v>45054</v>
      </c>
      <c r="I608" s="37">
        <v>1266.25</v>
      </c>
      <c r="J608" s="37">
        <v>61764.25</v>
      </c>
      <c r="K608" s="38">
        <f t="shared" si="38"/>
        <v>3.4294532695396526E-3</v>
      </c>
      <c r="L608" s="38">
        <f t="shared" si="39"/>
        <v>-4.7277656992860826E-5</v>
      </c>
    </row>
    <row r="609" spans="1:12">
      <c r="A609" s="35">
        <v>43227</v>
      </c>
      <c r="B609" s="37">
        <v>1183.3499999999999</v>
      </c>
      <c r="C609" s="37">
        <v>35216.32</v>
      </c>
      <c r="D609" s="38">
        <f t="shared" si="36"/>
        <v>-1.5327928144668863E-2</v>
      </c>
      <c r="E609" s="38">
        <f t="shared" si="37"/>
        <v>2.9213608738525403E-3</v>
      </c>
      <c r="H609" s="35">
        <v>45055</v>
      </c>
      <c r="I609" s="37">
        <v>1270.5999999999999</v>
      </c>
      <c r="J609" s="37">
        <v>61761.33</v>
      </c>
      <c r="K609" s="38">
        <f t="shared" si="38"/>
        <v>-5.9202130525033156E-3</v>
      </c>
      <c r="L609" s="38">
        <f t="shared" si="39"/>
        <v>2.8919630123275591E-3</v>
      </c>
    </row>
    <row r="610" spans="1:12">
      <c r="A610" s="35">
        <v>43228</v>
      </c>
      <c r="B610" s="37">
        <v>1165.3499999999999</v>
      </c>
      <c r="C610" s="37">
        <v>35319.35</v>
      </c>
      <c r="D610" s="38">
        <f t="shared" si="36"/>
        <v>5.0500834880925763E-3</v>
      </c>
      <c r="E610" s="38">
        <f t="shared" si="37"/>
        <v>-2.0712643388360792E-3</v>
      </c>
      <c r="H610" s="35">
        <v>45056</v>
      </c>
      <c r="I610" s="37">
        <v>1263.0999999999999</v>
      </c>
      <c r="J610" s="37">
        <v>61940.2</v>
      </c>
      <c r="K610" s="38">
        <f t="shared" si="38"/>
        <v>-5.5573340867221743E-3</v>
      </c>
      <c r="L610" s="38">
        <f t="shared" si="39"/>
        <v>-5.7620544480511992E-4</v>
      </c>
    </row>
    <row r="611" spans="1:12">
      <c r="A611" s="35">
        <v>43229</v>
      </c>
      <c r="B611" s="37">
        <v>1171.25</v>
      </c>
      <c r="C611" s="37">
        <v>35246.269999999997</v>
      </c>
      <c r="D611" s="38">
        <f t="shared" si="36"/>
        <v>-3.1640183741477243E-3</v>
      </c>
      <c r="E611" s="38">
        <f t="shared" si="37"/>
        <v>8.1806495778105944E-3</v>
      </c>
      <c r="H611" s="35">
        <v>45057</v>
      </c>
      <c r="I611" s="37">
        <v>1256.0999999999999</v>
      </c>
      <c r="J611" s="37">
        <v>61904.52</v>
      </c>
      <c r="K611" s="38">
        <f t="shared" si="38"/>
        <v>-8.4344832764689029E-3</v>
      </c>
      <c r="L611" s="38">
        <f t="shared" si="39"/>
        <v>1.9910857991940786E-3</v>
      </c>
    </row>
    <row r="612" spans="1:12">
      <c r="A612" s="35">
        <v>43230</v>
      </c>
      <c r="B612" s="37">
        <v>1167.55</v>
      </c>
      <c r="C612" s="37">
        <v>35535.79</v>
      </c>
      <c r="D612" s="38">
        <f t="shared" si="36"/>
        <v>1.1454001018878113E-2</v>
      </c>
      <c r="E612" s="38">
        <f t="shared" si="37"/>
        <v>5.8852904606908655E-4</v>
      </c>
      <c r="H612" s="35">
        <v>45058</v>
      </c>
      <c r="I612" s="37">
        <v>1245.55</v>
      </c>
      <c r="J612" s="37">
        <v>62027.9</v>
      </c>
      <c r="K612" s="38">
        <f t="shared" si="38"/>
        <v>1.0541965616033672E-2</v>
      </c>
      <c r="L612" s="38">
        <f t="shared" si="39"/>
        <v>5.1105808010898758E-3</v>
      </c>
    </row>
    <row r="613" spans="1:12">
      <c r="A613" s="35">
        <v>43231</v>
      </c>
      <c r="B613" s="37">
        <v>1181</v>
      </c>
      <c r="C613" s="37">
        <v>35556.71</v>
      </c>
      <c r="D613" s="38">
        <f t="shared" si="36"/>
        <v>7.255578948582901E-3</v>
      </c>
      <c r="E613" s="38">
        <f t="shared" si="37"/>
        <v>-3.5920909688756024E-4</v>
      </c>
      <c r="H613" s="35">
        <v>45061</v>
      </c>
      <c r="I613" s="37">
        <v>1258.75</v>
      </c>
      <c r="J613" s="37">
        <v>62345.71</v>
      </c>
      <c r="K613" s="38">
        <f t="shared" si="38"/>
        <v>4.2807945192742166E-3</v>
      </c>
      <c r="L613" s="38">
        <f t="shared" si="39"/>
        <v>-6.6502667322057198E-3</v>
      </c>
    </row>
    <row r="614" spans="1:12">
      <c r="A614" s="35">
        <v>43234</v>
      </c>
      <c r="B614" s="37">
        <v>1189.5999999999999</v>
      </c>
      <c r="C614" s="37">
        <v>35543.94</v>
      </c>
      <c r="D614" s="38">
        <f t="shared" si="36"/>
        <v>2.4767554587407426E-3</v>
      </c>
      <c r="E614" s="38">
        <f t="shared" si="37"/>
        <v>-4.4002889481700664E-3</v>
      </c>
      <c r="H614" s="35">
        <v>45062</v>
      </c>
      <c r="I614" s="37">
        <v>1264.1500000000001</v>
      </c>
      <c r="J614" s="37">
        <v>61932.47</v>
      </c>
      <c r="K614" s="38">
        <f t="shared" si="38"/>
        <v>-1.3298491889924095E-2</v>
      </c>
      <c r="L614" s="38">
        <f t="shared" si="39"/>
        <v>-6.0218926164302498E-3</v>
      </c>
    </row>
    <row r="615" spans="1:12">
      <c r="A615" s="35">
        <v>43235</v>
      </c>
      <c r="B615" s="37">
        <v>1192.55</v>
      </c>
      <c r="C615" s="37">
        <v>35387.879999999997</v>
      </c>
      <c r="D615" s="38">
        <f t="shared" si="36"/>
        <v>-2.0985485750695189E-3</v>
      </c>
      <c r="E615" s="38">
        <f t="shared" si="37"/>
        <v>-6.7698062539954529E-3</v>
      </c>
      <c r="H615" s="35">
        <v>45063</v>
      </c>
      <c r="I615" s="37">
        <v>1247.45</v>
      </c>
      <c r="J615" s="37">
        <v>61560.639999999999</v>
      </c>
      <c r="K615" s="38">
        <f t="shared" si="38"/>
        <v>-1.2433073573043648E-3</v>
      </c>
      <c r="L615" s="38">
        <f t="shared" si="39"/>
        <v>-2.0960655805410716E-3</v>
      </c>
    </row>
    <row r="616" spans="1:12">
      <c r="A616" s="35">
        <v>43236</v>
      </c>
      <c r="B616" s="37">
        <v>1190.05</v>
      </c>
      <c r="C616" s="37">
        <v>35149.120000000003</v>
      </c>
      <c r="D616" s="38">
        <f t="shared" si="36"/>
        <v>-4.2947434434075791E-3</v>
      </c>
      <c r="E616" s="38">
        <f t="shared" si="37"/>
        <v>-8.5952268524799851E-3</v>
      </c>
      <c r="H616" s="35">
        <v>45064</v>
      </c>
      <c r="I616" s="37">
        <v>1245.9000000000001</v>
      </c>
      <c r="J616" s="37">
        <v>61431.74</v>
      </c>
      <c r="K616" s="38">
        <f t="shared" si="38"/>
        <v>1.8252818113315587E-2</v>
      </c>
      <c r="L616" s="38">
        <f t="shared" si="39"/>
        <v>4.8382128297795052E-3</v>
      </c>
    </row>
    <row r="617" spans="1:12">
      <c r="A617" s="35">
        <v>43237</v>
      </c>
      <c r="B617" s="37">
        <v>1184.95</v>
      </c>
      <c r="C617" s="37">
        <v>34848.300000000003</v>
      </c>
      <c r="D617" s="38">
        <f t="shared" si="36"/>
        <v>-1.0132140859207934E-3</v>
      </c>
      <c r="E617" s="38">
        <f t="shared" si="37"/>
        <v>-6.6845971245983711E-3</v>
      </c>
      <c r="H617" s="35">
        <v>45065</v>
      </c>
      <c r="I617" s="37">
        <v>1268.8499999999999</v>
      </c>
      <c r="J617" s="37">
        <v>61729.68</v>
      </c>
      <c r="K617" s="38">
        <f t="shared" si="38"/>
        <v>1.8892790366315818E-2</v>
      </c>
      <c r="L617" s="38">
        <f t="shared" si="39"/>
        <v>3.7835544146908877E-3</v>
      </c>
    </row>
    <row r="618" spans="1:12">
      <c r="A618" s="35">
        <v>43238</v>
      </c>
      <c r="B618" s="37">
        <v>1183.75</v>
      </c>
      <c r="C618" s="37">
        <v>34616.129999999997</v>
      </c>
      <c r="D618" s="38">
        <f t="shared" si="36"/>
        <v>-9.7196111355855376E-4</v>
      </c>
      <c r="E618" s="38">
        <f t="shared" si="37"/>
        <v>1.013753027056267E-3</v>
      </c>
      <c r="H618" s="35">
        <v>45068</v>
      </c>
      <c r="I618" s="37">
        <v>1293.05</v>
      </c>
      <c r="J618" s="37">
        <v>61963.68</v>
      </c>
      <c r="K618" s="38">
        <f t="shared" si="38"/>
        <v>5.0527560104961806E-3</v>
      </c>
      <c r="L618" s="38">
        <f t="shared" si="39"/>
        <v>2.9222528469776765E-4</v>
      </c>
    </row>
    <row r="619" spans="1:12">
      <c r="A619" s="35">
        <v>43241</v>
      </c>
      <c r="B619" s="37">
        <v>1182.5999999999999</v>
      </c>
      <c r="C619" s="37">
        <v>34651.24</v>
      </c>
      <c r="D619" s="38">
        <f t="shared" si="36"/>
        <v>9.2166551049240476E-3</v>
      </c>
      <c r="E619" s="38">
        <f t="shared" si="37"/>
        <v>-8.8796842377405292E-3</v>
      </c>
      <c r="H619" s="35">
        <v>45069</v>
      </c>
      <c r="I619" s="37">
        <v>1299.5999999999999</v>
      </c>
      <c r="J619" s="37">
        <v>61981.79</v>
      </c>
      <c r="K619" s="38">
        <f t="shared" si="38"/>
        <v>-8.8527940194095057E-4</v>
      </c>
      <c r="L619" s="38">
        <f t="shared" si="39"/>
        <v>-3.3616296363169402E-3</v>
      </c>
    </row>
    <row r="620" spans="1:12">
      <c r="A620" s="35">
        <v>43242</v>
      </c>
      <c r="B620" s="37">
        <v>1193.55</v>
      </c>
      <c r="C620" s="37">
        <v>34344.910000000003</v>
      </c>
      <c r="D620" s="38">
        <f t="shared" si="36"/>
        <v>-6.9783367094257611E-3</v>
      </c>
      <c r="E620" s="38">
        <f t="shared" si="37"/>
        <v>9.2221818624325016E-3</v>
      </c>
      <c r="H620" s="35">
        <v>45070</v>
      </c>
      <c r="I620" s="37">
        <v>1298.45</v>
      </c>
      <c r="J620" s="37">
        <v>61773.78</v>
      </c>
      <c r="K620" s="38">
        <f t="shared" si="38"/>
        <v>4.6485801837789706E-3</v>
      </c>
      <c r="L620" s="38">
        <f t="shared" si="39"/>
        <v>1.598752912385734E-3</v>
      </c>
    </row>
    <row r="621" spans="1:12">
      <c r="A621" s="35">
        <v>43243</v>
      </c>
      <c r="B621" s="37">
        <v>1185.25</v>
      </c>
      <c r="C621" s="37">
        <v>34663.11</v>
      </c>
      <c r="D621" s="38">
        <f t="shared" si="36"/>
        <v>3.0412380824130524E-2</v>
      </c>
      <c r="E621" s="38">
        <f t="shared" si="37"/>
        <v>7.5231738180366109E-3</v>
      </c>
      <c r="H621" s="35">
        <v>45071</v>
      </c>
      <c r="I621" s="37">
        <v>1304.5</v>
      </c>
      <c r="J621" s="37">
        <v>61872.62</v>
      </c>
      <c r="K621" s="38">
        <f t="shared" si="38"/>
        <v>9.7643616589982458E-3</v>
      </c>
      <c r="L621" s="38">
        <f t="shared" si="39"/>
        <v>1.0115840874175455E-2</v>
      </c>
    </row>
    <row r="622" spans="1:12">
      <c r="A622" s="35">
        <v>43244</v>
      </c>
      <c r="B622" s="37">
        <v>1221.8499999999999</v>
      </c>
      <c r="C622" s="37">
        <v>34924.870000000003</v>
      </c>
      <c r="D622" s="38">
        <f t="shared" si="36"/>
        <v>5.6719797870493421E-3</v>
      </c>
      <c r="E622" s="38">
        <f t="shared" si="37"/>
        <v>6.865736728730077E-3</v>
      </c>
      <c r="H622" s="35">
        <v>45072</v>
      </c>
      <c r="I622" s="37">
        <v>1317.3</v>
      </c>
      <c r="J622" s="37">
        <v>62501.69</v>
      </c>
      <c r="K622" s="38">
        <f t="shared" si="38"/>
        <v>-2.2799827478190218E-3</v>
      </c>
      <c r="L622" s="38">
        <f t="shared" si="39"/>
        <v>5.4997395464214949E-3</v>
      </c>
    </row>
    <row r="623" spans="1:12">
      <c r="A623" s="35">
        <v>43245</v>
      </c>
      <c r="B623" s="37">
        <v>1228.8</v>
      </c>
      <c r="C623" s="37">
        <v>35165.480000000003</v>
      </c>
      <c r="D623" s="38">
        <f t="shared" si="36"/>
        <v>-1.1705613951180496E-2</v>
      </c>
      <c r="E623" s="38">
        <f t="shared" si="37"/>
        <v>-6.1681965099531205E-3</v>
      </c>
      <c r="H623" s="35">
        <v>45075</v>
      </c>
      <c r="I623" s="37">
        <v>1314.3</v>
      </c>
      <c r="J623" s="37">
        <v>62846.38</v>
      </c>
      <c r="K623" s="38">
        <f t="shared" si="38"/>
        <v>6.5220919803720603E-3</v>
      </c>
      <c r="L623" s="38">
        <f t="shared" si="39"/>
        <v>1.9512703790986754E-3</v>
      </c>
    </row>
    <row r="624" spans="1:12">
      <c r="A624" s="35">
        <v>43248</v>
      </c>
      <c r="B624" s="37">
        <v>1214.5</v>
      </c>
      <c r="C624" s="37">
        <v>34949.24</v>
      </c>
      <c r="D624" s="38">
        <f t="shared" si="36"/>
        <v>1.7687107422362147E-3</v>
      </c>
      <c r="E624" s="38">
        <f t="shared" si="37"/>
        <v>-1.234837574515541E-3</v>
      </c>
      <c r="H624" s="35">
        <v>45076</v>
      </c>
      <c r="I624" s="37">
        <v>1322.9</v>
      </c>
      <c r="J624" s="37">
        <v>62969.13</v>
      </c>
      <c r="K624" s="38">
        <f t="shared" si="38"/>
        <v>-6.0491495228353785E-4</v>
      </c>
      <c r="L624" s="38">
        <f t="shared" si="39"/>
        <v>-5.5241197247532341E-3</v>
      </c>
    </row>
    <row r="625" spans="1:12">
      <c r="A625" s="35">
        <v>43249</v>
      </c>
      <c r="B625" s="37">
        <v>1216.6500000000001</v>
      </c>
      <c r="C625" s="37">
        <v>34906.11</v>
      </c>
      <c r="D625" s="38">
        <f t="shared" si="36"/>
        <v>-2.0981186345339626E-3</v>
      </c>
      <c r="E625" s="38">
        <f t="shared" si="37"/>
        <v>1.1854871865655467E-2</v>
      </c>
      <c r="H625" s="35">
        <v>45077</v>
      </c>
      <c r="I625" s="37">
        <v>1322.1</v>
      </c>
      <c r="J625" s="37">
        <v>62622.239999999998</v>
      </c>
      <c r="K625" s="38">
        <f t="shared" si="38"/>
        <v>-2.0063984319767551E-3</v>
      </c>
      <c r="L625" s="38">
        <f t="shared" si="39"/>
        <v>-3.0979439698927353E-3</v>
      </c>
    </row>
    <row r="626" spans="1:12">
      <c r="A626" s="35">
        <v>43250</v>
      </c>
      <c r="B626" s="37">
        <v>1214.0999999999999</v>
      </c>
      <c r="C626" s="37">
        <v>35322.379999999997</v>
      </c>
      <c r="D626" s="38">
        <f t="shared" si="36"/>
        <v>1.4554631417998971E-2</v>
      </c>
      <c r="E626" s="38">
        <f t="shared" si="37"/>
        <v>-2.6965426793813499E-3</v>
      </c>
      <c r="H626" s="35">
        <v>45078</v>
      </c>
      <c r="I626" s="37">
        <v>1319.45</v>
      </c>
      <c r="J626" s="37">
        <v>62428.54</v>
      </c>
      <c r="K626" s="38">
        <f t="shared" si="38"/>
        <v>-1.5889719747675037E-2</v>
      </c>
      <c r="L626" s="38">
        <f t="shared" si="39"/>
        <v>1.8974902003012141E-3</v>
      </c>
    </row>
    <row r="627" spans="1:12">
      <c r="A627" s="35">
        <v>43251</v>
      </c>
      <c r="B627" s="37">
        <v>1231.9000000000001</v>
      </c>
      <c r="C627" s="37">
        <v>35227.26</v>
      </c>
      <c r="D627" s="38">
        <f t="shared" si="36"/>
        <v>-9.5019372006716462E-3</v>
      </c>
      <c r="E627" s="38">
        <f t="shared" si="37"/>
        <v>-6.1324966193483368E-3</v>
      </c>
      <c r="H627" s="35">
        <v>45079</v>
      </c>
      <c r="I627" s="37">
        <v>1298.6500000000001</v>
      </c>
      <c r="J627" s="37">
        <v>62547.11</v>
      </c>
      <c r="K627" s="38">
        <f t="shared" si="38"/>
        <v>4.8394625101427155E-3</v>
      </c>
      <c r="L627" s="38">
        <f t="shared" si="39"/>
        <v>3.8354984659817494E-3</v>
      </c>
    </row>
    <row r="628" spans="1:12">
      <c r="A628" s="35">
        <v>43252</v>
      </c>
      <c r="B628" s="37">
        <v>1220.25</v>
      </c>
      <c r="C628" s="37">
        <v>35011.89</v>
      </c>
      <c r="D628" s="38">
        <f t="shared" si="36"/>
        <v>1.5732991146336129E-2</v>
      </c>
      <c r="E628" s="38">
        <f t="shared" si="37"/>
        <v>-3.1089160291816759E-3</v>
      </c>
      <c r="H628" s="35">
        <v>45082</v>
      </c>
      <c r="I628" s="37">
        <v>1304.95</v>
      </c>
      <c r="J628" s="37">
        <v>62787.47</v>
      </c>
      <c r="K628" s="38">
        <f t="shared" si="38"/>
        <v>-2.0008020241194448E-2</v>
      </c>
      <c r="L628" s="38">
        <f t="shared" si="39"/>
        <v>8.6159976514601697E-5</v>
      </c>
    </row>
    <row r="629" spans="1:12">
      <c r="A629" s="35">
        <v>43255</v>
      </c>
      <c r="B629" s="37">
        <v>1239.5999999999999</v>
      </c>
      <c r="C629" s="37">
        <v>34903.21</v>
      </c>
      <c r="D629" s="38">
        <f t="shared" si="36"/>
        <v>-1.4954765052870312E-2</v>
      </c>
      <c r="E629" s="38">
        <f t="shared" si="37"/>
        <v>7.8671004759056449E-3</v>
      </c>
      <c r="H629" s="35">
        <v>45083</v>
      </c>
      <c r="I629" s="37">
        <v>1279.0999999999999</v>
      </c>
      <c r="J629" s="37">
        <v>62792.88</v>
      </c>
      <c r="K629" s="38">
        <f t="shared" si="38"/>
        <v>7.7100183338400137E-3</v>
      </c>
      <c r="L629" s="38">
        <f t="shared" si="39"/>
        <v>5.5596707298809379E-3</v>
      </c>
    </row>
    <row r="630" spans="1:12">
      <c r="A630" s="35">
        <v>43256</v>
      </c>
      <c r="B630" s="37">
        <v>1221.2</v>
      </c>
      <c r="C630" s="37">
        <v>35178.879999999997</v>
      </c>
      <c r="D630" s="38">
        <f t="shared" si="36"/>
        <v>1.1722700183703718E-2</v>
      </c>
      <c r="E630" s="38">
        <f t="shared" si="37"/>
        <v>8.0462527741038577E-3</v>
      </c>
      <c r="H630" s="35">
        <v>45084</v>
      </c>
      <c r="I630" s="37">
        <v>1289</v>
      </c>
      <c r="J630" s="37">
        <v>63142.96</v>
      </c>
      <c r="K630" s="38">
        <f t="shared" si="38"/>
        <v>-4.5876990382148191E-3</v>
      </c>
      <c r="L630" s="38">
        <f t="shared" si="39"/>
        <v>-4.672066000793812E-3</v>
      </c>
    </row>
    <row r="631" spans="1:12">
      <c r="A631" s="35">
        <v>43257</v>
      </c>
      <c r="B631" s="37">
        <v>1235.5999999999999</v>
      </c>
      <c r="C631" s="37">
        <v>35463.08</v>
      </c>
      <c r="D631" s="38">
        <f t="shared" si="36"/>
        <v>1.2226664539259639E-2</v>
      </c>
      <c r="E631" s="38">
        <f t="shared" si="37"/>
        <v>-5.4747962598265777E-4</v>
      </c>
      <c r="H631" s="35">
        <v>45085</v>
      </c>
      <c r="I631" s="37">
        <v>1283.0999999999999</v>
      </c>
      <c r="J631" s="37">
        <v>62848.639999999999</v>
      </c>
      <c r="K631" s="38">
        <f t="shared" si="38"/>
        <v>-1.341670119685107E-2</v>
      </c>
      <c r="L631" s="38">
        <f t="shared" si="39"/>
        <v>-3.554676744872096E-3</v>
      </c>
    </row>
    <row r="632" spans="1:12">
      <c r="A632" s="35">
        <v>43258</v>
      </c>
      <c r="B632" s="37">
        <v>1250.8</v>
      </c>
      <c r="C632" s="37">
        <v>35443.67</v>
      </c>
      <c r="D632" s="38">
        <f t="shared" si="36"/>
        <v>7.1299419770213821E-3</v>
      </c>
      <c r="E632" s="38">
        <f t="shared" si="37"/>
        <v>1.1222785573301065E-3</v>
      </c>
      <c r="H632" s="35">
        <v>45086</v>
      </c>
      <c r="I632" s="37">
        <v>1266</v>
      </c>
      <c r="J632" s="37">
        <v>62625.63</v>
      </c>
      <c r="K632" s="38">
        <f t="shared" si="38"/>
        <v>2.0251679262134049E-2</v>
      </c>
      <c r="L632" s="38">
        <f t="shared" si="39"/>
        <v>1.5808496512114438E-3</v>
      </c>
    </row>
    <row r="633" spans="1:12">
      <c r="A633" s="35">
        <v>43259</v>
      </c>
      <c r="B633" s="37">
        <v>1259.75</v>
      </c>
      <c r="C633" s="37">
        <v>35483.47</v>
      </c>
      <c r="D633" s="38">
        <f t="shared" si="36"/>
        <v>2.6161422880568936E-3</v>
      </c>
      <c r="E633" s="38">
        <f t="shared" si="37"/>
        <v>5.8741887854194237E-3</v>
      </c>
      <c r="H633" s="35">
        <v>45089</v>
      </c>
      <c r="I633" s="37">
        <v>1291.9000000000001</v>
      </c>
      <c r="J633" s="37">
        <v>62724.71</v>
      </c>
      <c r="K633" s="38">
        <f t="shared" si="38"/>
        <v>1.0357201065269462E-2</v>
      </c>
      <c r="L633" s="38">
        <f t="shared" si="39"/>
        <v>6.6490605050932546E-3</v>
      </c>
    </row>
    <row r="634" spans="1:12">
      <c r="A634" s="35">
        <v>43262</v>
      </c>
      <c r="B634" s="37">
        <v>1263.05</v>
      </c>
      <c r="C634" s="37">
        <v>35692.519999999997</v>
      </c>
      <c r="D634" s="38">
        <f t="shared" si="36"/>
        <v>-3.6883581046961412E-3</v>
      </c>
      <c r="E634" s="38">
        <f t="shared" si="37"/>
        <v>1.3058633544068686E-3</v>
      </c>
      <c r="H634" s="35">
        <v>45090</v>
      </c>
      <c r="I634" s="37">
        <v>1305.3499999999999</v>
      </c>
      <c r="J634" s="37">
        <v>63143.16</v>
      </c>
      <c r="K634" s="38">
        <f t="shared" si="38"/>
        <v>-2.992176545775365E-3</v>
      </c>
      <c r="L634" s="38">
        <f t="shared" si="39"/>
        <v>1.3507776383340519E-3</v>
      </c>
    </row>
    <row r="635" spans="1:12">
      <c r="A635" s="35">
        <v>43263</v>
      </c>
      <c r="B635" s="37">
        <v>1258.4000000000001</v>
      </c>
      <c r="C635" s="37">
        <v>35739.160000000003</v>
      </c>
      <c r="D635" s="38">
        <f t="shared" si="36"/>
        <v>1.3967478995862459E-2</v>
      </c>
      <c r="E635" s="38">
        <f t="shared" si="37"/>
        <v>-3.9064247118694882E-3</v>
      </c>
      <c r="H635" s="35">
        <v>45091</v>
      </c>
      <c r="I635" s="37">
        <v>1301.45</v>
      </c>
      <c r="J635" s="37">
        <v>63228.51</v>
      </c>
      <c r="K635" s="38">
        <f t="shared" si="38"/>
        <v>-1.1359367952885703E-2</v>
      </c>
      <c r="L635" s="38">
        <f t="shared" si="39"/>
        <v>-4.9288964272205275E-3</v>
      </c>
    </row>
    <row r="636" spans="1:12">
      <c r="A636" s="35">
        <v>43264</v>
      </c>
      <c r="B636" s="37">
        <v>1276.0999999999999</v>
      </c>
      <c r="C636" s="37">
        <v>35599.82</v>
      </c>
      <c r="D636" s="38">
        <f t="shared" si="36"/>
        <v>-2.9746109179776332E-2</v>
      </c>
      <c r="E636" s="38">
        <f t="shared" si="37"/>
        <v>6.2677299896527242E-4</v>
      </c>
      <c r="H636" s="35">
        <v>45092</v>
      </c>
      <c r="I636" s="37">
        <v>1286.75</v>
      </c>
      <c r="J636" s="37">
        <v>62917.63</v>
      </c>
      <c r="K636" s="38">
        <f t="shared" si="38"/>
        <v>4.5747152745648717E-3</v>
      </c>
      <c r="L636" s="38">
        <f t="shared" si="39"/>
        <v>7.394203593265568E-3</v>
      </c>
    </row>
    <row r="637" spans="1:12">
      <c r="A637" s="35">
        <v>43265</v>
      </c>
      <c r="B637" s="37">
        <v>1238.7</v>
      </c>
      <c r="C637" s="37">
        <v>35622.14</v>
      </c>
      <c r="D637" s="38">
        <f t="shared" si="36"/>
        <v>3.3149136069892955E-2</v>
      </c>
      <c r="E637" s="38">
        <f t="shared" si="37"/>
        <v>-2.0761447606744308E-3</v>
      </c>
      <c r="H637" s="35">
        <v>45093</v>
      </c>
      <c r="I637" s="37">
        <v>1292.6500000000001</v>
      </c>
      <c r="J637" s="37">
        <v>63384.58</v>
      </c>
      <c r="K637" s="38">
        <f t="shared" si="38"/>
        <v>2.0093518874689741E-3</v>
      </c>
      <c r="L637" s="38">
        <f t="shared" si="39"/>
        <v>-3.41802115549155E-3</v>
      </c>
    </row>
    <row r="638" spans="1:12">
      <c r="A638" s="35">
        <v>43266</v>
      </c>
      <c r="B638" s="37">
        <v>1280.45</v>
      </c>
      <c r="C638" s="37">
        <v>35548.26</v>
      </c>
      <c r="D638" s="38">
        <f t="shared" si="36"/>
        <v>-1.0954388188317427E-2</v>
      </c>
      <c r="E638" s="38">
        <f t="shared" si="37"/>
        <v>-7.3839539276331096E-3</v>
      </c>
      <c r="H638" s="35">
        <v>45096</v>
      </c>
      <c r="I638" s="37">
        <v>1295.25</v>
      </c>
      <c r="J638" s="37">
        <v>63168.3</v>
      </c>
      <c r="K638" s="38">
        <f t="shared" si="38"/>
        <v>6.0806837605236639E-3</v>
      </c>
      <c r="L638" s="38">
        <f t="shared" si="39"/>
        <v>2.5202391280431048E-3</v>
      </c>
    </row>
    <row r="639" spans="1:12">
      <c r="A639" s="35">
        <v>43269</v>
      </c>
      <c r="B639" s="37">
        <v>1266.5</v>
      </c>
      <c r="C639" s="37">
        <v>35286.74</v>
      </c>
      <c r="D639" s="38">
        <f t="shared" si="36"/>
        <v>-1.7885004024274214E-2</v>
      </c>
      <c r="E639" s="38">
        <f t="shared" si="37"/>
        <v>7.3577919673750193E-3</v>
      </c>
      <c r="H639" s="35">
        <v>45097</v>
      </c>
      <c r="I639" s="37">
        <v>1303.1500000000001</v>
      </c>
      <c r="J639" s="37">
        <v>63327.7</v>
      </c>
      <c r="K639" s="38">
        <f t="shared" si="38"/>
        <v>-1.3438023945377023E-3</v>
      </c>
      <c r="L639" s="38">
        <f t="shared" si="39"/>
        <v>3.0815742215002549E-3</v>
      </c>
    </row>
    <row r="640" spans="1:12">
      <c r="A640" s="35">
        <v>43270</v>
      </c>
      <c r="B640" s="37">
        <v>1244.05</v>
      </c>
      <c r="C640" s="37">
        <v>35547.33</v>
      </c>
      <c r="D640" s="38">
        <f t="shared" si="36"/>
        <v>-5.6283671181084555E-4</v>
      </c>
      <c r="E640" s="38">
        <f t="shared" si="37"/>
        <v>-3.2386743838165514E-3</v>
      </c>
      <c r="H640" s="35">
        <v>45098</v>
      </c>
      <c r="I640" s="37">
        <v>1301.4000000000001</v>
      </c>
      <c r="J640" s="37">
        <v>63523.15</v>
      </c>
      <c r="K640" s="38">
        <f t="shared" si="38"/>
        <v>-1.4551340346121284E-2</v>
      </c>
      <c r="L640" s="38">
        <f t="shared" si="39"/>
        <v>-4.484946384337195E-3</v>
      </c>
    </row>
    <row r="641" spans="1:12">
      <c r="A641" s="35">
        <v>43271</v>
      </c>
      <c r="B641" s="37">
        <v>1243.3499999999999</v>
      </c>
      <c r="C641" s="37">
        <v>35432.39</v>
      </c>
      <c r="D641" s="38">
        <f t="shared" si="36"/>
        <v>2.4099300734551892E-3</v>
      </c>
      <c r="E641" s="38">
        <f t="shared" si="37"/>
        <v>7.2329562584374672E-3</v>
      </c>
      <c r="H641" s="35">
        <v>45099</v>
      </c>
      <c r="I641" s="37">
        <v>1282.5999999999999</v>
      </c>
      <c r="J641" s="37">
        <v>63238.89</v>
      </c>
      <c r="K641" s="38">
        <f t="shared" si="38"/>
        <v>-1.3303443528528329E-2</v>
      </c>
      <c r="L641" s="38">
        <f t="shared" si="39"/>
        <v>-4.1122475578314879E-3</v>
      </c>
    </row>
    <row r="642" spans="1:12">
      <c r="A642" s="35">
        <v>43272</v>
      </c>
      <c r="B642" s="37">
        <v>1246.3499999999999</v>
      </c>
      <c r="C642" s="37">
        <v>35689.599999999999</v>
      </c>
      <c r="D642" s="38">
        <f t="shared" si="36"/>
        <v>8.023106551173491E-5</v>
      </c>
      <c r="E642" s="38">
        <f t="shared" si="37"/>
        <v>-6.1621935875770962E-3</v>
      </c>
      <c r="H642" s="35">
        <v>45100</v>
      </c>
      <c r="I642" s="37">
        <v>1265.6500000000001</v>
      </c>
      <c r="J642" s="37">
        <v>62979.37</v>
      </c>
      <c r="K642" s="38">
        <f t="shared" si="38"/>
        <v>3.7459873066372231E-3</v>
      </c>
      <c r="L642" s="38">
        <f t="shared" si="39"/>
        <v>-1.4878994658388799E-4</v>
      </c>
    </row>
    <row r="643" spans="1:12">
      <c r="A643" s="35">
        <v>43273</v>
      </c>
      <c r="B643" s="37">
        <v>1246.45</v>
      </c>
      <c r="C643" s="37">
        <v>35470.35</v>
      </c>
      <c r="D643" s="38">
        <f t="shared" si="36"/>
        <v>2.0526775304043021E-2</v>
      </c>
      <c r="E643" s="38">
        <f t="shared" si="37"/>
        <v>5.549575053163991E-4</v>
      </c>
      <c r="H643" s="35">
        <v>45103</v>
      </c>
      <c r="I643" s="37">
        <v>1270.4000000000001</v>
      </c>
      <c r="J643" s="37">
        <v>62970</v>
      </c>
      <c r="K643" s="38">
        <f t="shared" si="38"/>
        <v>6.7076172803799908E-3</v>
      </c>
      <c r="L643" s="38">
        <f t="shared" si="39"/>
        <v>7.0582461008253687E-3</v>
      </c>
    </row>
    <row r="644" spans="1:12">
      <c r="A644" s="35">
        <v>43276</v>
      </c>
      <c r="B644" s="37">
        <v>1272.3</v>
      </c>
      <c r="C644" s="37">
        <v>35490.04</v>
      </c>
      <c r="D644" s="38">
        <f t="shared" si="36"/>
        <v>4.3526920083043772E-3</v>
      </c>
      <c r="E644" s="38">
        <f t="shared" si="37"/>
        <v>-7.7200496847077693E-3</v>
      </c>
      <c r="H644" s="35">
        <v>45104</v>
      </c>
      <c r="I644" s="37">
        <v>1278.95</v>
      </c>
      <c r="J644" s="37">
        <v>63416.03</v>
      </c>
      <c r="K644" s="38">
        <f t="shared" si="38"/>
        <v>1.1428251567049515E-2</v>
      </c>
      <c r="L644" s="38">
        <f t="shared" si="39"/>
        <v>7.8439782243291886E-3</v>
      </c>
    </row>
    <row r="645" spans="1:12">
      <c r="A645" s="35">
        <v>43277</v>
      </c>
      <c r="B645" s="37">
        <v>1277.8499999999999</v>
      </c>
      <c r="C645" s="37">
        <v>35217.11</v>
      </c>
      <c r="D645" s="38">
        <f t="shared" ref="D645:D708" si="40">LN(B646/B645)</f>
        <v>-6.7921974479185137E-3</v>
      </c>
      <c r="E645" s="38">
        <f t="shared" ref="E645:E708" si="41">LN(C646/C645)</f>
        <v>-5.1091318493158584E-3</v>
      </c>
      <c r="H645" s="35">
        <v>45105</v>
      </c>
      <c r="I645" s="37">
        <v>1293.6500000000001</v>
      </c>
      <c r="J645" s="37">
        <v>63915.42</v>
      </c>
      <c r="K645" s="38">
        <f t="shared" ref="K645:K708" si="42">LN(I646/I645)</f>
        <v>3.1613413007324544E-2</v>
      </c>
      <c r="L645" s="38">
        <f t="shared" ref="L645:L708" si="43">LN(J646/J645)</f>
        <v>1.2487375985925612E-2</v>
      </c>
    </row>
    <row r="646" spans="1:12">
      <c r="A646" s="35">
        <v>43278</v>
      </c>
      <c r="B646" s="37">
        <v>1269.2</v>
      </c>
      <c r="C646" s="37">
        <v>35037.64</v>
      </c>
      <c r="D646" s="38">
        <f t="shared" si="40"/>
        <v>1.5363567180206591E-2</v>
      </c>
      <c r="E646" s="38">
        <f t="shared" si="41"/>
        <v>1.0951964903228105E-2</v>
      </c>
      <c r="H646" s="35">
        <v>45107</v>
      </c>
      <c r="I646" s="37">
        <v>1335.2</v>
      </c>
      <c r="J646" s="37">
        <v>64718.559999999998</v>
      </c>
      <c r="K646" s="38">
        <f t="shared" si="42"/>
        <v>-1.4990259140407506E-3</v>
      </c>
      <c r="L646" s="38">
        <f t="shared" si="43"/>
        <v>7.4888971092005371E-3</v>
      </c>
    </row>
    <row r="647" spans="1:12">
      <c r="A647" s="35">
        <v>43279</v>
      </c>
      <c r="B647" s="37">
        <v>1288.8499999999999</v>
      </c>
      <c r="C647" s="37">
        <v>35423.480000000003</v>
      </c>
      <c r="D647" s="38">
        <f t="shared" si="40"/>
        <v>1.3792790703784242E-2</v>
      </c>
      <c r="E647" s="38">
        <f t="shared" si="41"/>
        <v>-4.5006370541415368E-3</v>
      </c>
      <c r="H647" s="35">
        <v>45110</v>
      </c>
      <c r="I647" s="37">
        <v>1333.2</v>
      </c>
      <c r="J647" s="37">
        <v>65205.05</v>
      </c>
      <c r="K647" s="38">
        <f t="shared" si="42"/>
        <v>8.6632356608211253E-3</v>
      </c>
      <c r="L647" s="38">
        <f t="shared" si="43"/>
        <v>4.1933242299635404E-3</v>
      </c>
    </row>
    <row r="648" spans="1:12">
      <c r="A648" s="35">
        <v>43280</v>
      </c>
      <c r="B648" s="37">
        <v>1306.75</v>
      </c>
      <c r="C648" s="37">
        <v>35264.410000000003</v>
      </c>
      <c r="D648" s="38">
        <f t="shared" si="40"/>
        <v>2.0976083333448112E-2</v>
      </c>
      <c r="E648" s="38">
        <f t="shared" si="41"/>
        <v>3.2328775190831023E-3</v>
      </c>
      <c r="H648" s="35">
        <v>45111</v>
      </c>
      <c r="I648" s="37">
        <v>1344.8</v>
      </c>
      <c r="J648" s="37">
        <v>65479.05</v>
      </c>
      <c r="K648" s="38">
        <f t="shared" si="42"/>
        <v>1.3375940167745601E-3</v>
      </c>
      <c r="L648" s="38">
        <f t="shared" si="43"/>
        <v>-5.0425782712039109E-4</v>
      </c>
    </row>
    <row r="649" spans="1:12">
      <c r="A649" s="35">
        <v>43283</v>
      </c>
      <c r="B649" s="37">
        <v>1334.45</v>
      </c>
      <c r="C649" s="37">
        <v>35378.6</v>
      </c>
      <c r="D649" s="38">
        <f t="shared" si="40"/>
        <v>1.4285425777547555E-2</v>
      </c>
      <c r="E649" s="38">
        <f t="shared" si="41"/>
        <v>7.5129887068965629E-3</v>
      </c>
      <c r="H649" s="35">
        <v>45112</v>
      </c>
      <c r="I649" s="37">
        <v>1346.6</v>
      </c>
      <c r="J649" s="37">
        <v>65446.04</v>
      </c>
      <c r="K649" s="38">
        <f t="shared" si="42"/>
        <v>-2.0070625581618657E-3</v>
      </c>
      <c r="L649" s="38">
        <f t="shared" si="43"/>
        <v>5.1755911082521965E-3</v>
      </c>
    </row>
    <row r="650" spans="1:12">
      <c r="A650" s="35">
        <v>43284</v>
      </c>
      <c r="B650" s="37">
        <v>1353.65</v>
      </c>
      <c r="C650" s="37">
        <v>35645.4</v>
      </c>
      <c r="D650" s="38">
        <f t="shared" si="40"/>
        <v>-6.7080766690907727E-3</v>
      </c>
      <c r="E650" s="38">
        <f t="shared" si="41"/>
        <v>-1.9896117133461769E-3</v>
      </c>
      <c r="H650" s="35">
        <v>45113</v>
      </c>
      <c r="I650" s="37">
        <v>1343.9</v>
      </c>
      <c r="J650" s="37">
        <v>65785.64</v>
      </c>
      <c r="K650" s="38">
        <f t="shared" si="42"/>
        <v>-9.5326042876262632E-3</v>
      </c>
      <c r="L650" s="38">
        <f t="shared" si="43"/>
        <v>-7.7089734175821425E-3</v>
      </c>
    </row>
    <row r="651" spans="1:12">
      <c r="A651" s="35">
        <v>43285</v>
      </c>
      <c r="B651" s="37">
        <v>1344.6</v>
      </c>
      <c r="C651" s="37">
        <v>35574.550000000003</v>
      </c>
      <c r="D651" s="38">
        <f t="shared" si="40"/>
        <v>-4.5727033484997986E-2</v>
      </c>
      <c r="E651" s="38">
        <f t="shared" si="41"/>
        <v>2.3391048536829961E-3</v>
      </c>
      <c r="H651" s="35">
        <v>45114</v>
      </c>
      <c r="I651" s="37">
        <v>1331.15</v>
      </c>
      <c r="J651" s="37">
        <v>65280.45</v>
      </c>
      <c r="K651" s="38">
        <f t="shared" si="42"/>
        <v>-1.5412088381052517E-3</v>
      </c>
      <c r="L651" s="38">
        <f t="shared" si="43"/>
        <v>9.7562014043352024E-4</v>
      </c>
    </row>
    <row r="652" spans="1:12">
      <c r="A652" s="35">
        <v>43286</v>
      </c>
      <c r="B652" s="37">
        <v>1284.5</v>
      </c>
      <c r="C652" s="37">
        <v>35657.86</v>
      </c>
      <c r="D652" s="38">
        <f t="shared" si="40"/>
        <v>0</v>
      </c>
      <c r="E652" s="38">
        <f t="shared" si="41"/>
        <v>7.7343596264608083E-3</v>
      </c>
      <c r="H652" s="35">
        <v>45117</v>
      </c>
      <c r="I652" s="37">
        <v>1329.1</v>
      </c>
      <c r="J652" s="37">
        <v>65344.17</v>
      </c>
      <c r="K652" s="38">
        <f t="shared" si="42"/>
        <v>1.4972743075581918E-2</v>
      </c>
      <c r="L652" s="38">
        <f t="shared" si="43"/>
        <v>4.1793860426467362E-3</v>
      </c>
    </row>
    <row r="653" spans="1:12">
      <c r="A653" s="35">
        <v>43287</v>
      </c>
      <c r="B653" s="37">
        <v>1284.5</v>
      </c>
      <c r="C653" s="37">
        <v>35934.720000000001</v>
      </c>
      <c r="D653" s="38">
        <f t="shared" si="40"/>
        <v>1.1340666895225358E-2</v>
      </c>
      <c r="E653" s="38">
        <f t="shared" si="41"/>
        <v>8.449036424929569E-3</v>
      </c>
      <c r="H653" s="35">
        <v>45118</v>
      </c>
      <c r="I653" s="37">
        <v>1349.15</v>
      </c>
      <c r="J653" s="37">
        <v>65617.84</v>
      </c>
      <c r="K653" s="38">
        <f t="shared" si="42"/>
        <v>-1.1780192147075329E-2</v>
      </c>
      <c r="L653" s="38">
        <f t="shared" si="43"/>
        <v>-3.418628255745806E-3</v>
      </c>
    </row>
    <row r="654" spans="1:12">
      <c r="A654" s="35">
        <v>43290</v>
      </c>
      <c r="B654" s="37">
        <v>1299.1500000000001</v>
      </c>
      <c r="C654" s="37">
        <v>36239.620000000003</v>
      </c>
      <c r="D654" s="38">
        <f t="shared" si="40"/>
        <v>2.5752901823583581E-3</v>
      </c>
      <c r="E654" s="38">
        <f t="shared" si="41"/>
        <v>7.2573757884117514E-4</v>
      </c>
      <c r="H654" s="35">
        <v>45119</v>
      </c>
      <c r="I654" s="37">
        <v>1333.35</v>
      </c>
      <c r="J654" s="37">
        <v>65393.9</v>
      </c>
      <c r="K654" s="38">
        <f t="shared" si="42"/>
        <v>2.367961233491242E-2</v>
      </c>
      <c r="L654" s="38">
        <f t="shared" si="43"/>
        <v>2.5198407349955698E-3</v>
      </c>
    </row>
    <row r="655" spans="1:12">
      <c r="A655" s="35">
        <v>43291</v>
      </c>
      <c r="B655" s="37">
        <v>1302.5</v>
      </c>
      <c r="C655" s="37">
        <v>36265.93</v>
      </c>
      <c r="D655" s="38">
        <f t="shared" si="40"/>
        <v>1.3611358321595603E-2</v>
      </c>
      <c r="E655" s="38">
        <f t="shared" si="41"/>
        <v>7.7589501501314712E-3</v>
      </c>
      <c r="H655" s="35">
        <v>45120</v>
      </c>
      <c r="I655" s="37">
        <v>1365.3</v>
      </c>
      <c r="J655" s="37">
        <v>65558.89</v>
      </c>
      <c r="K655" s="38">
        <f t="shared" si="42"/>
        <v>4.304321288894359E-2</v>
      </c>
      <c r="L655" s="38">
        <f t="shared" si="43"/>
        <v>7.6282211712641818E-3</v>
      </c>
    </row>
    <row r="656" spans="1:12">
      <c r="A656" s="35">
        <v>43292</v>
      </c>
      <c r="B656" s="37">
        <v>1320.35</v>
      </c>
      <c r="C656" s="37">
        <v>36548.410000000003</v>
      </c>
      <c r="D656" s="38">
        <f t="shared" si="40"/>
        <v>-1.9695085837707873E-2</v>
      </c>
      <c r="E656" s="38">
        <f t="shared" si="41"/>
        <v>-1.8552459458094601E-4</v>
      </c>
      <c r="H656" s="35">
        <v>45121</v>
      </c>
      <c r="I656" s="37">
        <v>1425.35</v>
      </c>
      <c r="J656" s="37">
        <v>66060.899999999994</v>
      </c>
      <c r="K656" s="38">
        <f t="shared" si="42"/>
        <v>-1.8257790964162073E-3</v>
      </c>
      <c r="L656" s="38">
        <f t="shared" si="43"/>
        <v>7.9763210650486416E-3</v>
      </c>
    </row>
    <row r="657" spans="1:12">
      <c r="A657" s="35">
        <v>43293</v>
      </c>
      <c r="B657" s="37">
        <v>1294.5999999999999</v>
      </c>
      <c r="C657" s="37">
        <v>36541.629999999997</v>
      </c>
      <c r="D657" s="38">
        <f t="shared" si="40"/>
        <v>1.1138111074643579E-2</v>
      </c>
      <c r="E657" s="38">
        <f t="shared" si="41"/>
        <v>-5.9798106972190528E-3</v>
      </c>
      <c r="H657" s="35">
        <v>45124</v>
      </c>
      <c r="I657" s="37">
        <v>1422.75</v>
      </c>
      <c r="J657" s="37">
        <v>66589.929999999993</v>
      </c>
      <c r="K657" s="38">
        <f t="shared" si="42"/>
        <v>3.6066371290686995E-2</v>
      </c>
      <c r="L657" s="38">
        <f t="shared" si="43"/>
        <v>3.0769584917575447E-3</v>
      </c>
    </row>
    <row r="658" spans="1:12">
      <c r="A658" s="35">
        <v>43294</v>
      </c>
      <c r="B658" s="37">
        <v>1309.0999999999999</v>
      </c>
      <c r="C658" s="37">
        <v>36323.769999999997</v>
      </c>
      <c r="D658" s="38">
        <f t="shared" si="40"/>
        <v>1.8129671666540663E-2</v>
      </c>
      <c r="E658" s="38">
        <f t="shared" si="41"/>
        <v>5.3866125301535858E-3</v>
      </c>
      <c r="H658" s="35">
        <v>45125</v>
      </c>
      <c r="I658" s="37">
        <v>1475</v>
      </c>
      <c r="J658" s="37">
        <v>66795.14</v>
      </c>
      <c r="K658" s="38">
        <f t="shared" si="42"/>
        <v>-4.4077509317226859E-4</v>
      </c>
      <c r="L658" s="38">
        <f t="shared" si="43"/>
        <v>4.5155678330613533E-3</v>
      </c>
    </row>
    <row r="659" spans="1:12">
      <c r="A659" s="35">
        <v>43297</v>
      </c>
      <c r="B659" s="37">
        <v>1333.05</v>
      </c>
      <c r="C659" s="37">
        <v>36519.96</v>
      </c>
      <c r="D659" s="38">
        <f t="shared" si="40"/>
        <v>-4.24740814076917E-3</v>
      </c>
      <c r="E659" s="38">
        <f t="shared" si="41"/>
        <v>-4.0201224618538998E-3</v>
      </c>
      <c r="H659" s="35">
        <v>45126</v>
      </c>
      <c r="I659" s="37">
        <v>1474.35</v>
      </c>
      <c r="J659" s="37">
        <v>67097.440000000002</v>
      </c>
      <c r="K659" s="38">
        <f t="shared" si="42"/>
        <v>-1.7447076387333504E-2</v>
      </c>
      <c r="L659" s="38">
        <f t="shared" si="43"/>
        <v>7.0463249185610975E-3</v>
      </c>
    </row>
    <row r="660" spans="1:12">
      <c r="A660" s="35">
        <v>43298</v>
      </c>
      <c r="B660" s="37">
        <v>1327.4</v>
      </c>
      <c r="C660" s="37">
        <v>36373.440000000002</v>
      </c>
      <c r="D660" s="38">
        <f t="shared" si="40"/>
        <v>-3.7738742050101863E-3</v>
      </c>
      <c r="E660" s="38">
        <f t="shared" si="41"/>
        <v>-6.1079687788185037E-4</v>
      </c>
      <c r="H660" s="35">
        <v>45127</v>
      </c>
      <c r="I660" s="37">
        <v>1448.85</v>
      </c>
      <c r="J660" s="37">
        <v>67571.899999999994</v>
      </c>
      <c r="K660" s="38">
        <f t="shared" si="42"/>
        <v>-8.5290489414696538E-2</v>
      </c>
      <c r="L660" s="38">
        <f t="shared" si="43"/>
        <v>-1.3223273092021287E-2</v>
      </c>
    </row>
    <row r="661" spans="1:12">
      <c r="A661" s="35">
        <v>43299</v>
      </c>
      <c r="B661" s="37">
        <v>1322.4</v>
      </c>
      <c r="C661" s="37">
        <v>36351.230000000003</v>
      </c>
      <c r="D661" s="38">
        <f t="shared" si="40"/>
        <v>-4.433588800578263E-3</v>
      </c>
      <c r="E661" s="38">
        <f t="shared" si="41"/>
        <v>3.9847624917876429E-3</v>
      </c>
      <c r="H661" s="35">
        <v>45128</v>
      </c>
      <c r="I661" s="37">
        <v>1330.4</v>
      </c>
      <c r="J661" s="37">
        <v>66684.259999999995</v>
      </c>
      <c r="K661" s="38">
        <f t="shared" si="42"/>
        <v>5.1356175326414781E-3</v>
      </c>
      <c r="L661" s="38">
        <f t="shared" si="43"/>
        <v>-4.501129723729947E-3</v>
      </c>
    </row>
    <row r="662" spans="1:12">
      <c r="A662" s="35">
        <v>43300</v>
      </c>
      <c r="B662" s="37">
        <v>1316.55</v>
      </c>
      <c r="C662" s="37">
        <v>36496.370000000003</v>
      </c>
      <c r="D662" s="38">
        <f t="shared" si="40"/>
        <v>2.3866943981281696E-2</v>
      </c>
      <c r="E662" s="38">
        <f t="shared" si="41"/>
        <v>6.0706350758377775E-3</v>
      </c>
      <c r="H662" s="35">
        <v>45131</v>
      </c>
      <c r="I662" s="37">
        <v>1337.25</v>
      </c>
      <c r="J662" s="37">
        <v>66384.78</v>
      </c>
      <c r="K662" s="38">
        <f t="shared" si="42"/>
        <v>-1.9836449418533424E-3</v>
      </c>
      <c r="L662" s="38">
        <f t="shared" si="43"/>
        <v>-4.3799748614348709E-4</v>
      </c>
    </row>
    <row r="663" spans="1:12">
      <c r="A663" s="35">
        <v>43301</v>
      </c>
      <c r="B663" s="37">
        <v>1348.35</v>
      </c>
      <c r="C663" s="37">
        <v>36718.6</v>
      </c>
      <c r="D663" s="38">
        <f t="shared" si="40"/>
        <v>5.473184033652146E-3</v>
      </c>
      <c r="E663" s="38">
        <f t="shared" si="41"/>
        <v>2.8962392277048776E-3</v>
      </c>
      <c r="H663" s="35">
        <v>45132</v>
      </c>
      <c r="I663" s="37">
        <v>1334.6</v>
      </c>
      <c r="J663" s="37">
        <v>66355.710000000006</v>
      </c>
      <c r="K663" s="38">
        <f t="shared" si="42"/>
        <v>1.0620756079147453E-2</v>
      </c>
      <c r="L663" s="38">
        <f t="shared" si="43"/>
        <v>5.2830772682378535E-3</v>
      </c>
    </row>
    <row r="664" spans="1:12">
      <c r="A664" s="35">
        <v>43304</v>
      </c>
      <c r="B664" s="37">
        <v>1355.75</v>
      </c>
      <c r="C664" s="37">
        <v>36825.1</v>
      </c>
      <c r="D664" s="38">
        <f t="shared" si="40"/>
        <v>1.4825932772118943E-2</v>
      </c>
      <c r="E664" s="38">
        <f t="shared" si="41"/>
        <v>8.9925366382261692E-4</v>
      </c>
      <c r="H664" s="35">
        <v>45133</v>
      </c>
      <c r="I664" s="37">
        <v>1348.85</v>
      </c>
      <c r="J664" s="37">
        <v>66707.199999999997</v>
      </c>
      <c r="K664" s="38">
        <f t="shared" si="42"/>
        <v>2.9611007311733609E-3</v>
      </c>
      <c r="L664" s="38">
        <f t="shared" si="43"/>
        <v>-6.6235736878245566E-3</v>
      </c>
    </row>
    <row r="665" spans="1:12">
      <c r="A665" s="35">
        <v>43305</v>
      </c>
      <c r="B665" s="37">
        <v>1376</v>
      </c>
      <c r="C665" s="37">
        <v>36858.230000000003</v>
      </c>
      <c r="D665" s="38">
        <f t="shared" si="40"/>
        <v>5.5803311820496826E-3</v>
      </c>
      <c r="E665" s="38">
        <f t="shared" si="41"/>
        <v>3.4237597613107217E-3</v>
      </c>
      <c r="H665" s="35">
        <v>45134</v>
      </c>
      <c r="I665" s="37">
        <v>1352.85</v>
      </c>
      <c r="J665" s="37">
        <v>66266.820000000007</v>
      </c>
      <c r="K665" s="38">
        <f t="shared" si="42"/>
        <v>-9.2827044102410505E-3</v>
      </c>
      <c r="L665" s="38">
        <f t="shared" si="43"/>
        <v>-1.6102457495132006E-3</v>
      </c>
    </row>
    <row r="666" spans="1:12">
      <c r="A666" s="35">
        <v>43306</v>
      </c>
      <c r="B666" s="37">
        <v>1383.7</v>
      </c>
      <c r="C666" s="37">
        <v>36984.639999999999</v>
      </c>
      <c r="D666" s="38">
        <f t="shared" si="40"/>
        <v>-6.1618956066991906E-3</v>
      </c>
      <c r="E666" s="38">
        <f t="shared" si="41"/>
        <v>9.4780833027072863E-3</v>
      </c>
      <c r="H666" s="35">
        <v>45135</v>
      </c>
      <c r="I666" s="37">
        <v>1340.35</v>
      </c>
      <c r="J666" s="37">
        <v>66160.2</v>
      </c>
      <c r="K666" s="38">
        <f t="shared" si="42"/>
        <v>1.0944478459082351E-2</v>
      </c>
      <c r="L666" s="38">
        <f t="shared" si="43"/>
        <v>5.5388776603659349E-3</v>
      </c>
    </row>
    <row r="667" spans="1:12">
      <c r="A667" s="35">
        <v>43307</v>
      </c>
      <c r="B667" s="37">
        <v>1375.2</v>
      </c>
      <c r="C667" s="37">
        <v>37336.85</v>
      </c>
      <c r="D667" s="38">
        <f t="shared" si="40"/>
        <v>-4.7277026064700454E-4</v>
      </c>
      <c r="E667" s="38">
        <f t="shared" si="41"/>
        <v>4.2108138723482014E-3</v>
      </c>
      <c r="H667" s="35">
        <v>45138</v>
      </c>
      <c r="I667" s="37">
        <v>1355.1</v>
      </c>
      <c r="J667" s="37">
        <v>66527.67</v>
      </c>
      <c r="K667" s="38">
        <f t="shared" si="42"/>
        <v>7.4623097035950688E-3</v>
      </c>
      <c r="L667" s="38">
        <f t="shared" si="43"/>
        <v>-1.0280706580595214E-3</v>
      </c>
    </row>
    <row r="668" spans="1:12">
      <c r="A668" s="35">
        <v>43308</v>
      </c>
      <c r="B668" s="37">
        <v>1374.55</v>
      </c>
      <c r="C668" s="37">
        <v>37494.400000000001</v>
      </c>
      <c r="D668" s="38">
        <f t="shared" si="40"/>
        <v>-1.5691197037235087E-2</v>
      </c>
      <c r="E668" s="38">
        <f t="shared" si="41"/>
        <v>2.987446593435682E-3</v>
      </c>
      <c r="H668" s="35">
        <v>45139</v>
      </c>
      <c r="I668" s="37">
        <v>1365.25</v>
      </c>
      <c r="J668" s="37">
        <v>66459.31</v>
      </c>
      <c r="K668" s="38">
        <f t="shared" si="42"/>
        <v>-6.2085759946244662E-3</v>
      </c>
      <c r="L668" s="38">
        <f t="shared" si="43"/>
        <v>-1.0231778734145708E-2</v>
      </c>
    </row>
    <row r="669" spans="1:12">
      <c r="A669" s="35">
        <v>43311</v>
      </c>
      <c r="B669" s="37">
        <v>1353.15</v>
      </c>
      <c r="C669" s="37">
        <v>37606.58</v>
      </c>
      <c r="D669" s="38">
        <f t="shared" si="40"/>
        <v>8.71922084830252E-3</v>
      </c>
      <c r="E669" s="38">
        <f t="shared" si="41"/>
        <v>-2.2617349069283272E-3</v>
      </c>
      <c r="H669" s="35">
        <v>45140</v>
      </c>
      <c r="I669" s="37">
        <v>1356.8</v>
      </c>
      <c r="J669" s="37">
        <v>65782.78</v>
      </c>
      <c r="K669" s="38">
        <f t="shared" si="42"/>
        <v>6.2818199703401261E-3</v>
      </c>
      <c r="L669" s="38">
        <f t="shared" si="43"/>
        <v>-8.2749012017995192E-3</v>
      </c>
    </row>
    <row r="670" spans="1:12">
      <c r="A670" s="35">
        <v>43312</v>
      </c>
      <c r="B670" s="37">
        <v>1365</v>
      </c>
      <c r="C670" s="37">
        <v>37521.620000000003</v>
      </c>
      <c r="D670" s="38">
        <f t="shared" si="40"/>
        <v>-8.2759093038597097E-3</v>
      </c>
      <c r="E670" s="38">
        <f t="shared" si="41"/>
        <v>-9.5455368844265722E-3</v>
      </c>
      <c r="H670" s="35">
        <v>45141</v>
      </c>
      <c r="I670" s="37">
        <v>1365.35</v>
      </c>
      <c r="J670" s="37">
        <v>65240.68</v>
      </c>
      <c r="K670" s="38">
        <f t="shared" si="42"/>
        <v>9.5126002057411459E-3</v>
      </c>
      <c r="L670" s="38">
        <f t="shared" si="43"/>
        <v>7.3391123215627001E-3</v>
      </c>
    </row>
    <row r="671" spans="1:12">
      <c r="A671" s="35">
        <v>43313</v>
      </c>
      <c r="B671" s="37">
        <v>1353.75</v>
      </c>
      <c r="C671" s="37">
        <v>37165.160000000003</v>
      </c>
      <c r="D671" s="38">
        <f t="shared" si="40"/>
        <v>1.2180943868121805E-3</v>
      </c>
      <c r="E671" s="38">
        <f t="shared" si="41"/>
        <v>1.0465649398057643E-2</v>
      </c>
      <c r="H671" s="35">
        <v>45142</v>
      </c>
      <c r="I671" s="37">
        <v>1378.4</v>
      </c>
      <c r="J671" s="37">
        <v>65721.25</v>
      </c>
      <c r="K671" s="38">
        <f t="shared" si="42"/>
        <v>1.0356803687204938E-2</v>
      </c>
      <c r="L671" s="38">
        <f t="shared" si="43"/>
        <v>3.5273319456986677E-3</v>
      </c>
    </row>
    <row r="672" spans="1:12">
      <c r="A672" s="35">
        <v>43314</v>
      </c>
      <c r="B672" s="37">
        <v>1355.4</v>
      </c>
      <c r="C672" s="37">
        <v>37556.160000000003</v>
      </c>
      <c r="D672" s="38">
        <f t="shared" si="40"/>
        <v>6.3982567970618286E-3</v>
      </c>
      <c r="E672" s="38">
        <f t="shared" si="41"/>
        <v>3.6075392572428315E-3</v>
      </c>
      <c r="H672" s="35">
        <v>45145</v>
      </c>
      <c r="I672" s="37">
        <v>1392.75</v>
      </c>
      <c r="J672" s="37">
        <v>65953.48</v>
      </c>
      <c r="K672" s="38">
        <f t="shared" si="42"/>
        <v>-1.7246959109735117E-3</v>
      </c>
      <c r="L672" s="38">
        <f t="shared" si="43"/>
        <v>-1.6233693433632197E-3</v>
      </c>
    </row>
    <row r="673" spans="1:12">
      <c r="A673" s="35">
        <v>43315</v>
      </c>
      <c r="B673" s="37">
        <v>1364.1</v>
      </c>
      <c r="C673" s="37">
        <v>37691.89</v>
      </c>
      <c r="D673" s="38">
        <f t="shared" si="40"/>
        <v>-2.4221084174225645E-3</v>
      </c>
      <c r="E673" s="38">
        <f t="shared" si="41"/>
        <v>-6.9243101911494376E-4</v>
      </c>
      <c r="H673" s="35">
        <v>45146</v>
      </c>
      <c r="I673" s="37">
        <v>1390.35</v>
      </c>
      <c r="J673" s="37">
        <v>65846.5</v>
      </c>
      <c r="K673" s="38">
        <f t="shared" si="42"/>
        <v>2.8369832110239691E-3</v>
      </c>
      <c r="L673" s="38">
        <f t="shared" si="43"/>
        <v>2.264979486959238E-3</v>
      </c>
    </row>
    <row r="674" spans="1:12">
      <c r="A674" s="35">
        <v>43318</v>
      </c>
      <c r="B674" s="37">
        <v>1360.8</v>
      </c>
      <c r="C674" s="37">
        <v>37665.800000000003</v>
      </c>
      <c r="D674" s="38">
        <f t="shared" si="40"/>
        <v>6.2999256053106632E-3</v>
      </c>
      <c r="E674" s="38">
        <f t="shared" si="41"/>
        <v>5.8703050884654469E-3</v>
      </c>
      <c r="H674" s="35">
        <v>45147</v>
      </c>
      <c r="I674" s="37">
        <v>1394.3</v>
      </c>
      <c r="J674" s="37">
        <v>65995.81</v>
      </c>
      <c r="K674" s="38">
        <f t="shared" si="42"/>
        <v>-3.7004479165875827E-3</v>
      </c>
      <c r="L674" s="38">
        <f t="shared" si="43"/>
        <v>-4.6722545334338872E-3</v>
      </c>
    </row>
    <row r="675" spans="1:12">
      <c r="A675" s="35">
        <v>43319</v>
      </c>
      <c r="B675" s="37">
        <v>1369.4</v>
      </c>
      <c r="C675" s="37">
        <v>37887.56</v>
      </c>
      <c r="D675" s="38">
        <f t="shared" si="40"/>
        <v>-4.7579052534951951E-3</v>
      </c>
      <c r="E675" s="38">
        <f t="shared" si="41"/>
        <v>3.6044439423363181E-3</v>
      </c>
      <c r="H675" s="35">
        <v>45148</v>
      </c>
      <c r="I675" s="37">
        <v>1389.15</v>
      </c>
      <c r="J675" s="37">
        <v>65688.179999999993</v>
      </c>
      <c r="K675" s="38">
        <f t="shared" si="42"/>
        <v>-1.2422519998557209E-2</v>
      </c>
      <c r="L675" s="38">
        <f t="shared" si="43"/>
        <v>-5.5801638459338021E-3</v>
      </c>
    </row>
    <row r="676" spans="1:12">
      <c r="A676" s="35">
        <v>43320</v>
      </c>
      <c r="B676" s="37">
        <v>1362.9</v>
      </c>
      <c r="C676" s="37">
        <v>38024.370000000003</v>
      </c>
      <c r="D676" s="38">
        <f t="shared" si="40"/>
        <v>1.2686084396065249E-2</v>
      </c>
      <c r="E676" s="38">
        <f t="shared" si="41"/>
        <v>-4.0883609709670239E-3</v>
      </c>
      <c r="H676" s="35">
        <v>45149</v>
      </c>
      <c r="I676" s="37">
        <v>1372</v>
      </c>
      <c r="J676" s="37">
        <v>65322.65</v>
      </c>
      <c r="K676" s="38">
        <f t="shared" si="42"/>
        <v>1.5656675469600714E-2</v>
      </c>
      <c r="L676" s="38">
        <f t="shared" si="43"/>
        <v>1.2127790470616428E-3</v>
      </c>
    </row>
    <row r="677" spans="1:12">
      <c r="A677" s="35">
        <v>43321</v>
      </c>
      <c r="B677" s="37">
        <v>1380.3</v>
      </c>
      <c r="C677" s="37">
        <v>37869.230000000003</v>
      </c>
      <c r="D677" s="38">
        <f t="shared" si="40"/>
        <v>3.5436666987342488E-3</v>
      </c>
      <c r="E677" s="38">
        <f t="shared" si="41"/>
        <v>-5.9414220865148777E-3</v>
      </c>
      <c r="H677" s="35">
        <v>45152</v>
      </c>
      <c r="I677" s="37">
        <v>1393.65</v>
      </c>
      <c r="J677" s="37">
        <v>65401.919999999998</v>
      </c>
      <c r="K677" s="38">
        <f t="shared" si="42"/>
        <v>1.7673770493474711E-2</v>
      </c>
      <c r="L677" s="38">
        <f t="shared" si="43"/>
        <v>2.1001778436024088E-3</v>
      </c>
    </row>
    <row r="678" spans="1:12">
      <c r="A678" s="35">
        <v>43322</v>
      </c>
      <c r="B678" s="37">
        <v>1385.2</v>
      </c>
      <c r="C678" s="37">
        <v>37644.9</v>
      </c>
      <c r="D678" s="38">
        <f t="shared" si="40"/>
        <v>1.7355023824509576E-2</v>
      </c>
      <c r="E678" s="38">
        <f t="shared" si="41"/>
        <v>5.4863317427003844E-3</v>
      </c>
      <c r="H678" s="35">
        <v>45154</v>
      </c>
      <c r="I678" s="37">
        <v>1418.5</v>
      </c>
      <c r="J678" s="37">
        <v>65539.42</v>
      </c>
      <c r="K678" s="38">
        <f t="shared" si="42"/>
        <v>-5.1595689963791075E-3</v>
      </c>
      <c r="L678" s="38">
        <f t="shared" si="43"/>
        <v>-5.9438340476407952E-3</v>
      </c>
    </row>
    <row r="679" spans="1:12">
      <c r="A679" s="35">
        <v>43325</v>
      </c>
      <c r="B679" s="37">
        <v>1409.45</v>
      </c>
      <c r="C679" s="37">
        <v>37852</v>
      </c>
      <c r="D679" s="38">
        <f t="shared" si="40"/>
        <v>-4.9677099879049931E-4</v>
      </c>
      <c r="E679" s="38">
        <f t="shared" si="41"/>
        <v>-4.9907698793486841E-3</v>
      </c>
      <c r="H679" s="35">
        <v>45155</v>
      </c>
      <c r="I679" s="37">
        <v>1411.2</v>
      </c>
      <c r="J679" s="37">
        <v>65151.02</v>
      </c>
      <c r="K679" s="38">
        <f t="shared" si="42"/>
        <v>-1.6036344298687152E-2</v>
      </c>
      <c r="L679" s="38">
        <f t="shared" si="43"/>
        <v>-3.1108479773780647E-3</v>
      </c>
    </row>
    <row r="680" spans="1:12">
      <c r="A680" s="35">
        <v>43326</v>
      </c>
      <c r="B680" s="37">
        <v>1408.75</v>
      </c>
      <c r="C680" s="37">
        <v>37663.56</v>
      </c>
      <c r="D680" s="38">
        <f t="shared" si="40"/>
        <v>1.1679531506999147E-2</v>
      </c>
      <c r="E680" s="38">
        <f t="shared" si="41"/>
        <v>7.5205905370050227E-3</v>
      </c>
      <c r="H680" s="35">
        <v>45156</v>
      </c>
      <c r="I680" s="37">
        <v>1388.75</v>
      </c>
      <c r="J680" s="37">
        <v>64948.66</v>
      </c>
      <c r="K680" s="38">
        <f t="shared" si="42"/>
        <v>1.1562063903766061E-2</v>
      </c>
      <c r="L680" s="38">
        <f t="shared" si="43"/>
        <v>4.1091059797780096E-3</v>
      </c>
    </row>
    <row r="681" spans="1:12">
      <c r="A681" s="35">
        <v>43328</v>
      </c>
      <c r="B681" s="37">
        <v>1425.3</v>
      </c>
      <c r="C681" s="37">
        <v>37947.879999999997</v>
      </c>
      <c r="D681" s="38">
        <f t="shared" si="40"/>
        <v>4.2357369964729687E-3</v>
      </c>
      <c r="E681" s="38">
        <f t="shared" si="41"/>
        <v>8.6812726204717472E-3</v>
      </c>
      <c r="H681" s="35">
        <v>45159</v>
      </c>
      <c r="I681" s="37">
        <v>1404.9</v>
      </c>
      <c r="J681" s="37">
        <v>65216.09</v>
      </c>
      <c r="K681" s="38">
        <f t="shared" si="42"/>
        <v>-7.8328056128480783E-4</v>
      </c>
      <c r="L681" s="38">
        <f t="shared" si="43"/>
        <v>6.0412713920037044E-5</v>
      </c>
    </row>
    <row r="682" spans="1:12">
      <c r="A682" s="35">
        <v>43329</v>
      </c>
      <c r="B682" s="37">
        <v>1431.35</v>
      </c>
      <c r="C682" s="37">
        <v>38278.75</v>
      </c>
      <c r="D682" s="38">
        <f t="shared" si="40"/>
        <v>-3.2773521329191396E-2</v>
      </c>
      <c r="E682" s="38">
        <f t="shared" si="41"/>
        <v>1.8285236681503638E-4</v>
      </c>
      <c r="H682" s="35">
        <v>45160</v>
      </c>
      <c r="I682" s="37">
        <v>1403.8</v>
      </c>
      <c r="J682" s="37">
        <v>65220.03</v>
      </c>
      <c r="K682" s="38">
        <f t="shared" si="42"/>
        <v>2.7743215375987266E-3</v>
      </c>
      <c r="L682" s="38">
        <f t="shared" si="43"/>
        <v>3.2646728471575842E-3</v>
      </c>
    </row>
    <row r="683" spans="1:12">
      <c r="A683" s="35">
        <v>43332</v>
      </c>
      <c r="B683" s="37">
        <v>1385.2</v>
      </c>
      <c r="C683" s="37">
        <v>38285.75</v>
      </c>
      <c r="D683" s="38">
        <f t="shared" si="40"/>
        <v>-6.4993683457763003E-4</v>
      </c>
      <c r="E683" s="38">
        <f t="shared" si="41"/>
        <v>1.3314627133945874E-3</v>
      </c>
      <c r="H683" s="35">
        <v>45161</v>
      </c>
      <c r="I683" s="37">
        <v>1407.7</v>
      </c>
      <c r="J683" s="37">
        <v>65433.3</v>
      </c>
      <c r="K683" s="38">
        <f t="shared" si="42"/>
        <v>1.1863708104043321E-2</v>
      </c>
      <c r="L683" s="38">
        <f t="shared" si="43"/>
        <v>-2.76939556108588E-3</v>
      </c>
    </row>
    <row r="684" spans="1:12">
      <c r="A684" s="35">
        <v>43333</v>
      </c>
      <c r="B684" s="37">
        <v>1384.3</v>
      </c>
      <c r="C684" s="37">
        <v>38336.76</v>
      </c>
      <c r="D684" s="38">
        <f t="shared" si="40"/>
        <v>1.0706048010703189E-2</v>
      </c>
      <c r="E684" s="38">
        <f t="shared" si="41"/>
        <v>-2.2186090154810599E-3</v>
      </c>
      <c r="H684" s="35">
        <v>45162</v>
      </c>
      <c r="I684" s="37">
        <v>1424.5</v>
      </c>
      <c r="J684" s="37">
        <v>65252.34</v>
      </c>
      <c r="K684" s="38">
        <f t="shared" si="42"/>
        <v>-2.7767543895501211E-3</v>
      </c>
      <c r="L684" s="38">
        <f t="shared" si="43"/>
        <v>-5.6221637676654437E-3</v>
      </c>
    </row>
    <row r="685" spans="1:12">
      <c r="A685" s="35">
        <v>43335</v>
      </c>
      <c r="B685" s="37">
        <v>1399.2</v>
      </c>
      <c r="C685" s="37">
        <v>38251.800000000003</v>
      </c>
      <c r="D685" s="38">
        <f t="shared" si="40"/>
        <v>-1.385337809359043E-2</v>
      </c>
      <c r="E685" s="38">
        <f t="shared" si="41"/>
        <v>1.1496774081419851E-2</v>
      </c>
      <c r="H685" s="35">
        <v>45163</v>
      </c>
      <c r="I685" s="37">
        <v>1420.55</v>
      </c>
      <c r="J685" s="37">
        <v>64886.51</v>
      </c>
      <c r="K685" s="38">
        <f t="shared" si="42"/>
        <v>-3.3140631093497978E-3</v>
      </c>
      <c r="L685" s="38">
        <f t="shared" si="43"/>
        <v>1.6952169741600441E-3</v>
      </c>
    </row>
    <row r="686" spans="1:12">
      <c r="A686" s="35">
        <v>43336</v>
      </c>
      <c r="B686" s="37">
        <v>1379.95</v>
      </c>
      <c r="C686" s="37">
        <v>38694.11</v>
      </c>
      <c r="D686" s="38">
        <f t="shared" si="40"/>
        <v>2.501159059110486E-2</v>
      </c>
      <c r="E686" s="38">
        <f t="shared" si="41"/>
        <v>5.2202224105902329E-3</v>
      </c>
      <c r="H686" s="35">
        <v>45166</v>
      </c>
      <c r="I686" s="37">
        <v>1415.85</v>
      </c>
      <c r="J686" s="37">
        <v>64996.6</v>
      </c>
      <c r="K686" s="38">
        <f t="shared" si="42"/>
        <v>1.6584044308332936E-3</v>
      </c>
      <c r="L686" s="38">
        <f t="shared" si="43"/>
        <v>1.2180908111833076E-3</v>
      </c>
    </row>
    <row r="687" spans="1:12">
      <c r="A687" s="35">
        <v>43339</v>
      </c>
      <c r="B687" s="37">
        <v>1414.9</v>
      </c>
      <c r="C687" s="37">
        <v>38896.629999999997</v>
      </c>
      <c r="D687" s="38">
        <f t="shared" si="40"/>
        <v>6.6567120863109137E-3</v>
      </c>
      <c r="E687" s="38">
        <f t="shared" si="41"/>
        <v>-4.4756834478157682E-3</v>
      </c>
      <c r="H687" s="35">
        <v>45167</v>
      </c>
      <c r="I687" s="37">
        <v>1418.2</v>
      </c>
      <c r="J687" s="37">
        <v>65075.82</v>
      </c>
      <c r="K687" s="38">
        <f t="shared" si="42"/>
        <v>1.181122992238974E-2</v>
      </c>
      <c r="L687" s="38">
        <f t="shared" si="43"/>
        <v>1.7562585193138601E-4</v>
      </c>
    </row>
    <row r="688" spans="1:12">
      <c r="A688" s="35">
        <v>43340</v>
      </c>
      <c r="B688" s="37">
        <v>1424.35</v>
      </c>
      <c r="C688" s="37">
        <v>38722.93</v>
      </c>
      <c r="D688" s="38">
        <f t="shared" si="40"/>
        <v>-9.8776687688610851E-3</v>
      </c>
      <c r="E688" s="38">
        <f t="shared" si="41"/>
        <v>-8.4817767675993692E-4</v>
      </c>
      <c r="H688" s="35">
        <v>45168</v>
      </c>
      <c r="I688" s="37">
        <v>1435.05</v>
      </c>
      <c r="J688" s="37">
        <v>65087.25</v>
      </c>
      <c r="K688" s="38">
        <f t="shared" si="42"/>
        <v>-6.6221705711947375E-4</v>
      </c>
      <c r="L688" s="38">
        <f t="shared" si="43"/>
        <v>-3.938469357765235E-3</v>
      </c>
    </row>
    <row r="689" spans="1:12">
      <c r="A689" s="35">
        <v>43341</v>
      </c>
      <c r="B689" s="37">
        <v>1410.35</v>
      </c>
      <c r="C689" s="37">
        <v>38690.1</v>
      </c>
      <c r="D689" s="38">
        <f t="shared" si="40"/>
        <v>5.0568560825506427E-3</v>
      </c>
      <c r="E689" s="38">
        <f t="shared" si="41"/>
        <v>-1.1645414392695824E-3</v>
      </c>
      <c r="H689" s="35">
        <v>45169</v>
      </c>
      <c r="I689" s="37">
        <v>1434.1</v>
      </c>
      <c r="J689" s="37">
        <v>64831.41</v>
      </c>
      <c r="K689" s="38">
        <f t="shared" si="42"/>
        <v>6.2214544730556983E-3</v>
      </c>
      <c r="L689" s="38">
        <f t="shared" si="43"/>
        <v>8.5357007720284865E-3</v>
      </c>
    </row>
    <row r="690" spans="1:12">
      <c r="A690" s="35">
        <v>43342</v>
      </c>
      <c r="B690" s="37">
        <v>1417.5</v>
      </c>
      <c r="C690" s="37">
        <v>38645.07</v>
      </c>
      <c r="D690" s="38">
        <f t="shared" si="40"/>
        <v>1.5748356968139112E-2</v>
      </c>
      <c r="E690" s="38">
        <f t="shared" si="41"/>
        <v>-8.6424761978751326E-3</v>
      </c>
      <c r="H690" s="35">
        <v>45170</v>
      </c>
      <c r="I690" s="37">
        <v>1443.05</v>
      </c>
      <c r="J690" s="37">
        <v>65387.16</v>
      </c>
      <c r="K690" s="38">
        <f t="shared" si="42"/>
        <v>1.4857376850089464E-2</v>
      </c>
      <c r="L690" s="38">
        <f t="shared" si="43"/>
        <v>3.6786584735623478E-3</v>
      </c>
    </row>
    <row r="691" spans="1:12">
      <c r="A691" s="35">
        <v>43343</v>
      </c>
      <c r="B691" s="37">
        <v>1440</v>
      </c>
      <c r="C691" s="37">
        <v>38312.519999999997</v>
      </c>
      <c r="D691" s="38">
        <f t="shared" si="40"/>
        <v>-4.5589875200865923E-3</v>
      </c>
      <c r="E691" s="38">
        <f t="shared" si="41"/>
        <v>-4.0433979621516897E-3</v>
      </c>
      <c r="H691" s="35">
        <v>45173</v>
      </c>
      <c r="I691" s="37">
        <v>1464.65</v>
      </c>
      <c r="J691" s="37">
        <v>65628.14</v>
      </c>
      <c r="K691" s="38">
        <f t="shared" si="42"/>
        <v>9.5470173211300163E-3</v>
      </c>
      <c r="L691" s="38">
        <f t="shared" si="43"/>
        <v>2.3152259360947757E-3</v>
      </c>
    </row>
    <row r="692" spans="1:12">
      <c r="A692" s="35">
        <v>43346</v>
      </c>
      <c r="B692" s="37">
        <v>1433.45</v>
      </c>
      <c r="C692" s="37">
        <v>38157.919999999998</v>
      </c>
      <c r="D692" s="38">
        <f t="shared" si="40"/>
        <v>-0.66708494290600384</v>
      </c>
      <c r="E692" s="38">
        <f t="shared" si="41"/>
        <v>-3.6654519739623926E-3</v>
      </c>
      <c r="H692" s="35">
        <v>45174</v>
      </c>
      <c r="I692" s="37">
        <v>1478.7</v>
      </c>
      <c r="J692" s="37">
        <v>65780.259999999995</v>
      </c>
      <c r="K692" s="38">
        <f t="shared" si="42"/>
        <v>-1.3195961920971586E-3</v>
      </c>
      <c r="L692" s="38">
        <f t="shared" si="43"/>
        <v>1.5230050950603322E-3</v>
      </c>
    </row>
    <row r="693" spans="1:12">
      <c r="A693" s="35">
        <v>43347</v>
      </c>
      <c r="B693" s="37">
        <v>735.65</v>
      </c>
      <c r="C693" s="37">
        <v>38018.31</v>
      </c>
      <c r="D693" s="38">
        <f t="shared" si="40"/>
        <v>-7.9839381416087936E-3</v>
      </c>
      <c r="E693" s="38">
        <f t="shared" si="41"/>
        <v>5.887682964017823E-3</v>
      </c>
      <c r="H693" s="35">
        <v>45175</v>
      </c>
      <c r="I693" s="37">
        <v>1476.75</v>
      </c>
      <c r="J693" s="37">
        <v>65880.52</v>
      </c>
      <c r="K693" s="38">
        <f t="shared" si="42"/>
        <v>-7.3061237407478392E-3</v>
      </c>
      <c r="L693" s="38">
        <f t="shared" si="43"/>
        <v>5.8275067963771705E-3</v>
      </c>
    </row>
    <row r="694" spans="1:12">
      <c r="A694" s="35">
        <v>43348</v>
      </c>
      <c r="B694" s="37">
        <v>729.8</v>
      </c>
      <c r="C694" s="37">
        <v>38242.81</v>
      </c>
      <c r="D694" s="38">
        <f t="shared" si="40"/>
        <v>-2.5381594830122278E-3</v>
      </c>
      <c r="E694" s="38">
        <f t="shared" si="41"/>
        <v>3.8367515336570498E-3</v>
      </c>
      <c r="H694" s="35">
        <v>45176</v>
      </c>
      <c r="I694" s="37">
        <v>1466</v>
      </c>
      <c r="J694" s="37">
        <v>66265.56</v>
      </c>
      <c r="K694" s="38">
        <f t="shared" si="42"/>
        <v>2.4866737389188697E-3</v>
      </c>
      <c r="L694" s="38">
        <f t="shared" si="43"/>
        <v>5.0179058323399049E-3</v>
      </c>
    </row>
    <row r="695" spans="1:12">
      <c r="A695" s="35">
        <v>43349</v>
      </c>
      <c r="B695" s="37">
        <v>727.95</v>
      </c>
      <c r="C695" s="37">
        <v>38389.82</v>
      </c>
      <c r="D695" s="38">
        <f t="shared" si="40"/>
        <v>7.1179549037531913E-3</v>
      </c>
      <c r="E695" s="38">
        <f t="shared" si="41"/>
        <v>-1.2256418792805665E-2</v>
      </c>
      <c r="H695" s="35">
        <v>45177</v>
      </c>
      <c r="I695" s="37">
        <v>1469.65</v>
      </c>
      <c r="J695" s="37">
        <v>66598.91</v>
      </c>
      <c r="K695" s="38">
        <f t="shared" si="42"/>
        <v>4.5485482359245181E-3</v>
      </c>
      <c r="L695" s="38">
        <f t="shared" si="43"/>
        <v>7.8993282675142284E-3</v>
      </c>
    </row>
    <row r="696" spans="1:12">
      <c r="A696" s="35">
        <v>43350</v>
      </c>
      <c r="B696" s="37">
        <v>733.15</v>
      </c>
      <c r="C696" s="37">
        <v>37922.17</v>
      </c>
      <c r="D696" s="38">
        <f t="shared" si="40"/>
        <v>-1.6381138056673716E-3</v>
      </c>
      <c r="E696" s="38">
        <f t="shared" si="41"/>
        <v>-1.3514189159168981E-2</v>
      </c>
      <c r="H696" s="35">
        <v>45180</v>
      </c>
      <c r="I696" s="37">
        <v>1476.35</v>
      </c>
      <c r="J696" s="37">
        <v>67127.08</v>
      </c>
      <c r="K696" s="38">
        <f t="shared" si="42"/>
        <v>1.6425473830520086E-2</v>
      </c>
      <c r="L696" s="38">
        <f t="shared" si="43"/>
        <v>1.4000933151777223E-3</v>
      </c>
    </row>
    <row r="697" spans="1:12">
      <c r="A697" s="35">
        <v>43353</v>
      </c>
      <c r="B697" s="37">
        <v>731.95</v>
      </c>
      <c r="C697" s="37">
        <v>37413.129999999997</v>
      </c>
      <c r="D697" s="38">
        <f t="shared" si="40"/>
        <v>3.1373644613085748E-3</v>
      </c>
      <c r="E697" s="38">
        <f t="shared" si="41"/>
        <v>8.114661259275199E-3</v>
      </c>
      <c r="H697" s="35">
        <v>45181</v>
      </c>
      <c r="I697" s="37">
        <v>1500.8</v>
      </c>
      <c r="J697" s="37">
        <v>67221.13</v>
      </c>
      <c r="K697" s="38">
        <f t="shared" si="42"/>
        <v>-2.5685945237292783E-3</v>
      </c>
      <c r="L697" s="38">
        <f t="shared" si="43"/>
        <v>3.6508085950968084E-3</v>
      </c>
    </row>
    <row r="698" spans="1:12">
      <c r="A698" s="35">
        <v>43354</v>
      </c>
      <c r="B698" s="37">
        <v>734.25</v>
      </c>
      <c r="C698" s="37">
        <v>37717.96</v>
      </c>
      <c r="D698" s="38">
        <f t="shared" si="40"/>
        <v>1.1442624596521293E-2</v>
      </c>
      <c r="E698" s="38">
        <f t="shared" si="41"/>
        <v>9.832209071679263E-3</v>
      </c>
      <c r="H698" s="35">
        <v>45182</v>
      </c>
      <c r="I698" s="37">
        <v>1496.95</v>
      </c>
      <c r="J698" s="37">
        <v>67466.990000000005</v>
      </c>
      <c r="K698" s="38">
        <f t="shared" si="42"/>
        <v>6.5253086349224207E-3</v>
      </c>
      <c r="L698" s="38">
        <f t="shared" si="43"/>
        <v>7.7059852765049084E-4</v>
      </c>
    </row>
    <row r="699" spans="1:12">
      <c r="A699" s="35">
        <v>43355</v>
      </c>
      <c r="B699" s="37">
        <v>742.7</v>
      </c>
      <c r="C699" s="37">
        <v>38090.639999999999</v>
      </c>
      <c r="D699" s="38">
        <f t="shared" si="40"/>
        <v>-1.0149623633773426E-2</v>
      </c>
      <c r="E699" s="38">
        <f t="shared" si="41"/>
        <v>-1.3349978879253129E-2</v>
      </c>
      <c r="H699" s="35">
        <v>45183</v>
      </c>
      <c r="I699" s="37">
        <v>1506.75</v>
      </c>
      <c r="J699" s="37">
        <v>67519</v>
      </c>
      <c r="K699" s="38">
        <f t="shared" si="42"/>
        <v>3.6435946238700433E-3</v>
      </c>
      <c r="L699" s="38">
        <f t="shared" si="43"/>
        <v>4.7227569527767731E-3</v>
      </c>
    </row>
    <row r="700" spans="1:12">
      <c r="A700" s="35">
        <v>43357</v>
      </c>
      <c r="B700" s="37">
        <v>735.2</v>
      </c>
      <c r="C700" s="37">
        <v>37585.51</v>
      </c>
      <c r="D700" s="38">
        <f t="shared" si="40"/>
        <v>-1.1835267274772599E-2</v>
      </c>
      <c r="E700" s="38">
        <f t="shared" si="41"/>
        <v>-7.8754424676463486E-3</v>
      </c>
      <c r="H700" s="35">
        <v>45184</v>
      </c>
      <c r="I700" s="37">
        <v>1512.25</v>
      </c>
      <c r="J700" s="37">
        <v>67838.63</v>
      </c>
      <c r="K700" s="38">
        <f t="shared" si="42"/>
        <v>-1.4084505390161949E-2</v>
      </c>
      <c r="L700" s="38">
        <f t="shared" si="43"/>
        <v>-3.5705603100824488E-3</v>
      </c>
    </row>
    <row r="701" spans="1:12">
      <c r="A701" s="35">
        <v>43360</v>
      </c>
      <c r="B701" s="37">
        <v>726.55</v>
      </c>
      <c r="C701" s="37">
        <v>37290.67</v>
      </c>
      <c r="D701" s="38">
        <f t="shared" si="40"/>
        <v>-1.0237344716806596E-2</v>
      </c>
      <c r="E701" s="38">
        <f t="shared" si="41"/>
        <v>-4.5543875555510878E-3</v>
      </c>
      <c r="H701" s="35">
        <v>45187</v>
      </c>
      <c r="I701" s="37">
        <v>1491.1</v>
      </c>
      <c r="J701" s="37">
        <v>67596.84</v>
      </c>
      <c r="K701" s="38">
        <f t="shared" si="42"/>
        <v>-7.3798265735685827E-4</v>
      </c>
      <c r="L701" s="38">
        <f t="shared" si="43"/>
        <v>-1.1845581080343745E-2</v>
      </c>
    </row>
    <row r="702" spans="1:12">
      <c r="A702" s="35">
        <v>43361</v>
      </c>
      <c r="B702" s="37">
        <v>719.15</v>
      </c>
      <c r="C702" s="37">
        <v>37121.22</v>
      </c>
      <c r="D702" s="38">
        <f t="shared" si="40"/>
        <v>1.7366542519027437E-3</v>
      </c>
      <c r="E702" s="38">
        <f t="shared" si="41"/>
        <v>-7.5611322600144335E-3</v>
      </c>
      <c r="H702" s="35">
        <v>45189</v>
      </c>
      <c r="I702" s="37">
        <v>1490</v>
      </c>
      <c r="J702" s="37">
        <v>66800.84</v>
      </c>
      <c r="K702" s="38">
        <f t="shared" si="42"/>
        <v>7.9215615533421643E-3</v>
      </c>
      <c r="L702" s="38">
        <f t="shared" si="43"/>
        <v>-8.5784990880468214E-3</v>
      </c>
    </row>
    <row r="703" spans="1:12">
      <c r="A703" s="35">
        <v>43362</v>
      </c>
      <c r="B703" s="37">
        <v>720.4</v>
      </c>
      <c r="C703" s="37">
        <v>36841.599999999999</v>
      </c>
      <c r="D703" s="38">
        <f t="shared" si="40"/>
        <v>-1.9766536886924417E-2</v>
      </c>
      <c r="E703" s="38">
        <f t="shared" si="41"/>
        <v>-1.4671617776842619E-2</v>
      </c>
      <c r="H703" s="35">
        <v>45190</v>
      </c>
      <c r="I703" s="37">
        <v>1501.85</v>
      </c>
      <c r="J703" s="37">
        <v>66230.240000000005</v>
      </c>
      <c r="K703" s="38">
        <f t="shared" si="42"/>
        <v>-3.9028019584244024E-3</v>
      </c>
      <c r="L703" s="38">
        <f t="shared" si="43"/>
        <v>-3.3437874448605373E-3</v>
      </c>
    </row>
    <row r="704" spans="1:12">
      <c r="A704" s="35">
        <v>43364</v>
      </c>
      <c r="B704" s="37">
        <v>706.3</v>
      </c>
      <c r="C704" s="37">
        <v>36305.019999999997</v>
      </c>
      <c r="D704" s="38">
        <f t="shared" si="40"/>
        <v>1.545408671751217E-2</v>
      </c>
      <c r="E704" s="38">
        <f t="shared" si="41"/>
        <v>9.5136103997048548E-3</v>
      </c>
      <c r="H704" s="35">
        <v>45191</v>
      </c>
      <c r="I704" s="37">
        <v>1496</v>
      </c>
      <c r="J704" s="37">
        <v>66009.149999999994</v>
      </c>
      <c r="K704" s="38">
        <f t="shared" si="42"/>
        <v>-1.4306395651237858E-2</v>
      </c>
      <c r="L704" s="38">
        <f t="shared" si="43"/>
        <v>2.2024823610223188E-4</v>
      </c>
    </row>
    <row r="705" spans="1:12">
      <c r="A705" s="35">
        <v>43367</v>
      </c>
      <c r="B705" s="37">
        <v>717.3</v>
      </c>
      <c r="C705" s="37">
        <v>36652.06</v>
      </c>
      <c r="D705" s="38">
        <f t="shared" si="40"/>
        <v>1.274431987794891E-2</v>
      </c>
      <c r="E705" s="38">
        <f t="shared" si="41"/>
        <v>-2.9999613997523464E-3</v>
      </c>
      <c r="H705" s="35">
        <v>45194</v>
      </c>
      <c r="I705" s="37">
        <v>1474.75</v>
      </c>
      <c r="J705" s="37">
        <v>66023.69</v>
      </c>
      <c r="K705" s="38">
        <f t="shared" si="42"/>
        <v>-1.0017802191860716E-2</v>
      </c>
      <c r="L705" s="38">
        <f t="shared" si="43"/>
        <v>-1.1854286131673839E-3</v>
      </c>
    </row>
    <row r="706" spans="1:12">
      <c r="A706" s="35">
        <v>43368</v>
      </c>
      <c r="B706" s="37">
        <v>726.5</v>
      </c>
      <c r="C706" s="37">
        <v>36542.269999999997</v>
      </c>
      <c r="D706" s="38">
        <f t="shared" si="40"/>
        <v>-1.2047504296830762E-2</v>
      </c>
      <c r="E706" s="38">
        <f t="shared" si="41"/>
        <v>-5.9863128023774879E-3</v>
      </c>
      <c r="H706" s="35">
        <v>45195</v>
      </c>
      <c r="I706" s="37">
        <v>1460.05</v>
      </c>
      <c r="J706" s="37">
        <v>65945.47</v>
      </c>
      <c r="K706" s="38">
        <f t="shared" si="42"/>
        <v>5.1236619807610208E-3</v>
      </c>
      <c r="L706" s="38">
        <f t="shared" si="43"/>
        <v>2.6232718904999827E-3</v>
      </c>
    </row>
    <row r="707" spans="1:12">
      <c r="A707" s="35">
        <v>43369</v>
      </c>
      <c r="B707" s="37">
        <v>717.8</v>
      </c>
      <c r="C707" s="37">
        <v>36324.17</v>
      </c>
      <c r="D707" s="38">
        <f t="shared" si="40"/>
        <v>8.8075745333584081E-3</v>
      </c>
      <c r="E707" s="38">
        <f t="shared" si="41"/>
        <v>-2.6747982317742868E-3</v>
      </c>
      <c r="H707" s="35">
        <v>45196</v>
      </c>
      <c r="I707" s="37">
        <v>1467.55</v>
      </c>
      <c r="J707" s="37">
        <v>66118.69</v>
      </c>
      <c r="K707" s="38">
        <f t="shared" si="42"/>
        <v>-1.9298512619854425E-2</v>
      </c>
      <c r="L707" s="38">
        <f t="shared" si="43"/>
        <v>-9.274302819120046E-3</v>
      </c>
    </row>
    <row r="708" spans="1:12">
      <c r="A708" s="35">
        <v>43370</v>
      </c>
      <c r="B708" s="37">
        <v>724.15</v>
      </c>
      <c r="C708" s="37">
        <v>36227.14</v>
      </c>
      <c r="D708" s="38">
        <f t="shared" si="40"/>
        <v>5.0964297638045929E-3</v>
      </c>
      <c r="E708" s="38">
        <f t="shared" si="41"/>
        <v>8.2196069625015324E-3</v>
      </c>
      <c r="H708" s="35">
        <v>45197</v>
      </c>
      <c r="I708" s="37">
        <v>1439.5</v>
      </c>
      <c r="J708" s="37">
        <v>65508.32</v>
      </c>
      <c r="K708" s="38">
        <f t="shared" si="42"/>
        <v>-3.0961392599445697E-3</v>
      </c>
      <c r="L708" s="38">
        <f t="shared" si="43"/>
        <v>4.8743505911730033E-3</v>
      </c>
    </row>
    <row r="709" spans="1:12">
      <c r="A709" s="35">
        <v>43371</v>
      </c>
      <c r="B709" s="37">
        <v>727.85</v>
      </c>
      <c r="C709" s="37">
        <v>36526.14</v>
      </c>
      <c r="D709" s="38">
        <f t="shared" ref="D709:D772" si="44">LN(B710/B709)</f>
        <v>2.255070769088963E-2</v>
      </c>
      <c r="E709" s="38">
        <f t="shared" ref="E709:E772" si="45">LN(C710/C709)</f>
        <v>-1.5186403867349372E-2</v>
      </c>
      <c r="H709" s="35">
        <v>45198</v>
      </c>
      <c r="I709" s="37">
        <v>1435.05</v>
      </c>
      <c r="J709" s="37">
        <v>65828.41</v>
      </c>
      <c r="K709" s="38">
        <f t="shared" ref="K709:K772" si="46">LN(I710/I709)</f>
        <v>-1.0109285716200242E-3</v>
      </c>
      <c r="L709" s="38">
        <f t="shared" ref="L709:L772" si="47">LN(J710/J709)</f>
        <v>-4.8166496617904307E-3</v>
      </c>
    </row>
    <row r="710" spans="1:12">
      <c r="A710" s="35">
        <v>43374</v>
      </c>
      <c r="B710" s="37">
        <v>744.45</v>
      </c>
      <c r="C710" s="37">
        <v>35975.629999999997</v>
      </c>
      <c r="D710" s="38">
        <f t="shared" si="44"/>
        <v>-2.2550707690889699E-2</v>
      </c>
      <c r="E710" s="38">
        <f t="shared" si="45"/>
        <v>-2.2672202572692958E-2</v>
      </c>
      <c r="H710" s="35">
        <v>45202</v>
      </c>
      <c r="I710" s="37">
        <v>1433.6</v>
      </c>
      <c r="J710" s="37">
        <v>65512.1</v>
      </c>
      <c r="K710" s="38">
        <f t="shared" si="46"/>
        <v>8.0935537419195326E-3</v>
      </c>
      <c r="L710" s="38">
        <f t="shared" si="47"/>
        <v>-4.3760827025122887E-3</v>
      </c>
    </row>
    <row r="711" spans="1:12">
      <c r="A711" s="35">
        <v>43376</v>
      </c>
      <c r="B711" s="37">
        <v>727.85</v>
      </c>
      <c r="C711" s="37">
        <v>35169.160000000003</v>
      </c>
      <c r="D711" s="38">
        <f t="shared" si="44"/>
        <v>-2.9984117652996592E-2</v>
      </c>
      <c r="E711" s="38">
        <f t="shared" si="45"/>
        <v>-2.2782116988413217E-2</v>
      </c>
      <c r="H711" s="35">
        <v>45203</v>
      </c>
      <c r="I711" s="37">
        <v>1445.25</v>
      </c>
      <c r="J711" s="37">
        <v>65226.04</v>
      </c>
      <c r="K711" s="38">
        <f t="shared" si="46"/>
        <v>1.1830794524813891E-2</v>
      </c>
      <c r="L711" s="38">
        <f t="shared" si="47"/>
        <v>6.1980544842873027E-3</v>
      </c>
    </row>
    <row r="712" spans="1:12">
      <c r="A712" s="35">
        <v>43377</v>
      </c>
      <c r="B712" s="37">
        <v>706.35</v>
      </c>
      <c r="C712" s="37">
        <v>34376.99</v>
      </c>
      <c r="D712" s="38">
        <f t="shared" si="44"/>
        <v>2.1706495718150396E-2</v>
      </c>
      <c r="E712" s="38">
        <f t="shared" si="45"/>
        <v>2.8289942510279524E-3</v>
      </c>
      <c r="H712" s="35">
        <v>45204</v>
      </c>
      <c r="I712" s="37">
        <v>1462.45</v>
      </c>
      <c r="J712" s="37">
        <v>65631.570000000007</v>
      </c>
      <c r="K712" s="38">
        <f t="shared" si="46"/>
        <v>1.0948766292158225E-2</v>
      </c>
      <c r="L712" s="38">
        <f t="shared" si="47"/>
        <v>5.531697526692741E-3</v>
      </c>
    </row>
    <row r="713" spans="1:12">
      <c r="A713" s="35">
        <v>43378</v>
      </c>
      <c r="B713" s="37">
        <v>721.85</v>
      </c>
      <c r="C713" s="37">
        <v>34474.379999999997</v>
      </c>
      <c r="D713" s="38">
        <f t="shared" si="44"/>
        <v>-1.0234363705901523E-2</v>
      </c>
      <c r="E713" s="38">
        <f t="shared" si="45"/>
        <v>-5.0865373137713261E-3</v>
      </c>
      <c r="H713" s="35">
        <v>45205</v>
      </c>
      <c r="I713" s="37">
        <v>1478.55</v>
      </c>
      <c r="J713" s="37">
        <v>65995.63</v>
      </c>
      <c r="K713" s="38">
        <f t="shared" si="46"/>
        <v>-2.6751112240075078E-3</v>
      </c>
      <c r="L713" s="38">
        <f t="shared" si="47"/>
        <v>-7.349242655099222E-3</v>
      </c>
    </row>
    <row r="714" spans="1:12">
      <c r="A714" s="35">
        <v>43381</v>
      </c>
      <c r="B714" s="37">
        <v>714.5</v>
      </c>
      <c r="C714" s="37">
        <v>34299.47</v>
      </c>
      <c r="D714" s="38">
        <f t="shared" si="44"/>
        <v>3.9808691744768979E-3</v>
      </c>
      <c r="E714" s="38">
        <f t="shared" si="45"/>
        <v>1.3363002054634695E-2</v>
      </c>
      <c r="H714" s="35">
        <v>45208</v>
      </c>
      <c r="I714" s="37">
        <v>1474.6</v>
      </c>
      <c r="J714" s="37">
        <v>65512.39</v>
      </c>
      <c r="K714" s="38">
        <f t="shared" si="46"/>
        <v>1.3739440269236762E-2</v>
      </c>
      <c r="L714" s="38">
        <f t="shared" si="47"/>
        <v>8.6171588778013557E-3</v>
      </c>
    </row>
    <row r="715" spans="1:12">
      <c r="A715" s="35">
        <v>43382</v>
      </c>
      <c r="B715" s="37">
        <v>717.35</v>
      </c>
      <c r="C715" s="37">
        <v>34760.89</v>
      </c>
      <c r="D715" s="38">
        <f t="shared" si="44"/>
        <v>-2.4055051882926982E-2</v>
      </c>
      <c r="E715" s="38">
        <f t="shared" si="45"/>
        <v>-2.2098556638533062E-2</v>
      </c>
      <c r="H715" s="35">
        <v>45209</v>
      </c>
      <c r="I715" s="37">
        <v>1495</v>
      </c>
      <c r="J715" s="37">
        <v>66079.360000000001</v>
      </c>
      <c r="K715" s="38">
        <f t="shared" si="46"/>
        <v>-9.034179926176208E-4</v>
      </c>
      <c r="L715" s="38">
        <f t="shared" si="47"/>
        <v>5.9401584268105254E-3</v>
      </c>
    </row>
    <row r="716" spans="1:12">
      <c r="A716" s="35">
        <v>43383</v>
      </c>
      <c r="B716" s="37">
        <v>700.3</v>
      </c>
      <c r="C716" s="37">
        <v>34001.15</v>
      </c>
      <c r="D716" s="38">
        <f t="shared" si="44"/>
        <v>-3.6796123788942134E-2</v>
      </c>
      <c r="E716" s="38">
        <f t="shared" si="45"/>
        <v>2.1312594779816445E-2</v>
      </c>
      <c r="H716" s="35">
        <v>45210</v>
      </c>
      <c r="I716" s="37">
        <v>1493.65</v>
      </c>
      <c r="J716" s="37">
        <v>66473.05</v>
      </c>
      <c r="K716" s="38">
        <f t="shared" si="46"/>
        <v>-1.9674760802014465E-2</v>
      </c>
      <c r="L716" s="38">
        <f t="shared" si="47"/>
        <v>-9.7319844070590752E-4</v>
      </c>
    </row>
    <row r="717" spans="1:12">
      <c r="A717" s="35">
        <v>43384</v>
      </c>
      <c r="B717" s="37">
        <v>675</v>
      </c>
      <c r="C717" s="37">
        <v>34733.58</v>
      </c>
      <c r="D717" s="38">
        <f t="shared" si="44"/>
        <v>5.9820716775474689E-3</v>
      </c>
      <c r="E717" s="38">
        <f t="shared" si="45"/>
        <v>3.7793865214108334E-3</v>
      </c>
      <c r="H717" s="35">
        <v>45211</v>
      </c>
      <c r="I717" s="37">
        <v>1464.55</v>
      </c>
      <c r="J717" s="37">
        <v>66408.39</v>
      </c>
      <c r="K717" s="38">
        <f t="shared" si="46"/>
        <v>-2.2615634068070066E-2</v>
      </c>
      <c r="L717" s="38">
        <f t="shared" si="47"/>
        <v>-1.8938724473336714E-3</v>
      </c>
    </row>
    <row r="718" spans="1:12">
      <c r="A718" s="35">
        <v>43385</v>
      </c>
      <c r="B718" s="37">
        <v>679.05</v>
      </c>
      <c r="C718" s="37">
        <v>34865.1</v>
      </c>
      <c r="D718" s="38">
        <f t="shared" si="44"/>
        <v>2.9099030967862326E-2</v>
      </c>
      <c r="E718" s="38">
        <f t="shared" si="45"/>
        <v>8.493276153244524E-3</v>
      </c>
      <c r="H718" s="35">
        <v>45212</v>
      </c>
      <c r="I718" s="37">
        <v>1431.8</v>
      </c>
      <c r="J718" s="37">
        <v>66282.740000000005</v>
      </c>
      <c r="K718" s="38">
        <f t="shared" si="46"/>
        <v>1.8491065015766928E-3</v>
      </c>
      <c r="L718" s="38">
        <f t="shared" si="47"/>
        <v>-1.7487401744851814E-3</v>
      </c>
    </row>
    <row r="719" spans="1:12">
      <c r="A719" s="35">
        <v>43388</v>
      </c>
      <c r="B719" s="37">
        <v>699.1</v>
      </c>
      <c r="C719" s="37">
        <v>35162.480000000003</v>
      </c>
      <c r="D719" s="38">
        <f t="shared" si="44"/>
        <v>-3.8695856239055171E-3</v>
      </c>
      <c r="E719" s="38">
        <f t="shared" si="45"/>
        <v>-1.0949172080512789E-2</v>
      </c>
      <c r="H719" s="35">
        <v>45215</v>
      </c>
      <c r="I719" s="37">
        <v>1434.45</v>
      </c>
      <c r="J719" s="37">
        <v>66166.929999999993</v>
      </c>
      <c r="K719" s="38">
        <f t="shared" si="46"/>
        <v>5.7348574880651745E-3</v>
      </c>
      <c r="L719" s="38">
        <f t="shared" si="47"/>
        <v>3.93921789387079E-3</v>
      </c>
    </row>
    <row r="720" spans="1:12">
      <c r="A720" s="35">
        <v>43389</v>
      </c>
      <c r="B720" s="37">
        <v>696.4</v>
      </c>
      <c r="C720" s="37">
        <v>34779.58</v>
      </c>
      <c r="D720" s="38">
        <f t="shared" si="44"/>
        <v>1.156412344470095E-2</v>
      </c>
      <c r="E720" s="38">
        <f t="shared" si="45"/>
        <v>-1.3429497437379579E-2</v>
      </c>
      <c r="H720" s="35">
        <v>45216</v>
      </c>
      <c r="I720" s="37">
        <v>1442.7</v>
      </c>
      <c r="J720" s="37">
        <v>66428.09</v>
      </c>
      <c r="K720" s="38">
        <f t="shared" si="46"/>
        <v>-1.3525466349509844E-3</v>
      </c>
      <c r="L720" s="38">
        <f t="shared" si="47"/>
        <v>-8.3303386659392912E-3</v>
      </c>
    </row>
    <row r="721" spans="1:12">
      <c r="A721" s="35">
        <v>43390</v>
      </c>
      <c r="B721" s="37">
        <v>704.5</v>
      </c>
      <c r="C721" s="37">
        <v>34315.629999999997</v>
      </c>
      <c r="D721" s="38">
        <f t="shared" si="44"/>
        <v>-3.157929486612817E-2</v>
      </c>
      <c r="E721" s="38">
        <f t="shared" si="45"/>
        <v>-5.2958479804852254E-3</v>
      </c>
      <c r="H721" s="35">
        <v>45217</v>
      </c>
      <c r="I721" s="37">
        <v>1440.75</v>
      </c>
      <c r="J721" s="37">
        <v>65877.02</v>
      </c>
      <c r="K721" s="38">
        <f t="shared" si="46"/>
        <v>-5.079685266816048E-3</v>
      </c>
      <c r="L721" s="38">
        <f t="shared" si="47"/>
        <v>-3.7683421795217391E-3</v>
      </c>
    </row>
    <row r="722" spans="1:12">
      <c r="A722" s="35">
        <v>43392</v>
      </c>
      <c r="B722" s="37">
        <v>682.6</v>
      </c>
      <c r="C722" s="37">
        <v>34134.379999999997</v>
      </c>
      <c r="D722" s="38">
        <f t="shared" si="44"/>
        <v>-6.3930849335655845E-3</v>
      </c>
      <c r="E722" s="38">
        <f t="shared" si="45"/>
        <v>-8.447923129814008E-3</v>
      </c>
      <c r="H722" s="35">
        <v>45218</v>
      </c>
      <c r="I722" s="37">
        <v>1433.45</v>
      </c>
      <c r="J722" s="37">
        <v>65629.240000000005</v>
      </c>
      <c r="K722" s="38">
        <f t="shared" si="46"/>
        <v>-4.3696432242146619E-3</v>
      </c>
      <c r="L722" s="38">
        <f t="shared" si="47"/>
        <v>-3.5354619848322636E-3</v>
      </c>
    </row>
    <row r="723" spans="1:12">
      <c r="A723" s="35">
        <v>43395</v>
      </c>
      <c r="B723" s="37">
        <v>678.25</v>
      </c>
      <c r="C723" s="37">
        <v>33847.230000000003</v>
      </c>
      <c r="D723" s="38">
        <f t="shared" si="44"/>
        <v>-3.0539009727193867E-2</v>
      </c>
      <c r="E723" s="38">
        <f t="shared" si="45"/>
        <v>5.5016852534103804E-3</v>
      </c>
      <c r="H723" s="35">
        <v>45219</v>
      </c>
      <c r="I723" s="37">
        <v>1427.2</v>
      </c>
      <c r="J723" s="37">
        <v>65397.62</v>
      </c>
      <c r="K723" s="38">
        <f t="shared" si="46"/>
        <v>-1.2869736717110843E-2</v>
      </c>
      <c r="L723" s="38">
        <f t="shared" si="47"/>
        <v>-1.2706844460737445E-2</v>
      </c>
    </row>
    <row r="724" spans="1:12">
      <c r="A724" s="35">
        <v>43396</v>
      </c>
      <c r="B724" s="37">
        <v>657.85</v>
      </c>
      <c r="C724" s="37">
        <v>34033.96</v>
      </c>
      <c r="D724" s="38">
        <f t="shared" si="44"/>
        <v>-1.1773836314518421E-2</v>
      </c>
      <c r="E724" s="38">
        <f t="shared" si="45"/>
        <v>-1.0155120822517729E-2</v>
      </c>
      <c r="H724" s="35">
        <v>45222</v>
      </c>
      <c r="I724" s="37">
        <v>1408.95</v>
      </c>
      <c r="J724" s="37">
        <v>64571.88</v>
      </c>
      <c r="K724" s="38">
        <f t="shared" si="46"/>
        <v>-2.7961016249571188E-2</v>
      </c>
      <c r="L724" s="38">
        <f t="shared" si="47"/>
        <v>-8.129669702221301E-3</v>
      </c>
    </row>
    <row r="725" spans="1:12">
      <c r="A725" s="35">
        <v>43397</v>
      </c>
      <c r="B725" s="37">
        <v>650.15</v>
      </c>
      <c r="C725" s="37">
        <v>33690.089999999997</v>
      </c>
      <c r="D725" s="38">
        <f t="shared" si="44"/>
        <v>-1.308245982887857E-3</v>
      </c>
      <c r="E725" s="38">
        <f t="shared" si="45"/>
        <v>-1.0166646338317148E-2</v>
      </c>
      <c r="H725" s="35">
        <v>45224</v>
      </c>
      <c r="I725" s="37">
        <v>1370.1</v>
      </c>
      <c r="J725" s="37">
        <v>64049.06</v>
      </c>
      <c r="K725" s="38">
        <f t="shared" si="46"/>
        <v>-9.0179869915162757E-3</v>
      </c>
      <c r="L725" s="38">
        <f t="shared" si="47"/>
        <v>-1.4165799161900099E-2</v>
      </c>
    </row>
    <row r="726" spans="1:12">
      <c r="A726" s="35">
        <v>43398</v>
      </c>
      <c r="B726" s="37">
        <v>649.29999999999995</v>
      </c>
      <c r="C726" s="37">
        <v>33349.31</v>
      </c>
      <c r="D726" s="38">
        <f t="shared" si="44"/>
        <v>-2.4634859753247286E-2</v>
      </c>
      <c r="E726" s="38">
        <f t="shared" si="45"/>
        <v>2.1303832796164695E-2</v>
      </c>
      <c r="H726" s="35">
        <v>45225</v>
      </c>
      <c r="I726" s="37">
        <v>1357.8</v>
      </c>
      <c r="J726" s="37">
        <v>63148.15</v>
      </c>
      <c r="K726" s="38">
        <f t="shared" si="46"/>
        <v>1.6688659883951105E-2</v>
      </c>
      <c r="L726" s="38">
        <f t="shared" si="47"/>
        <v>1.0000008488869989E-2</v>
      </c>
    </row>
    <row r="727" spans="1:12">
      <c r="A727" s="35">
        <v>43399</v>
      </c>
      <c r="B727" s="37">
        <v>633.5</v>
      </c>
      <c r="C727" s="37">
        <v>34067.4</v>
      </c>
      <c r="D727" s="38">
        <f t="shared" si="44"/>
        <v>1.6128119103514013E-2</v>
      </c>
      <c r="E727" s="38">
        <f t="shared" si="45"/>
        <v>-5.1875870564258748E-3</v>
      </c>
      <c r="H727" s="35">
        <v>45226</v>
      </c>
      <c r="I727" s="37">
        <v>1380.65</v>
      </c>
      <c r="J727" s="37">
        <v>63782.8</v>
      </c>
      <c r="K727" s="38">
        <f t="shared" si="46"/>
        <v>-2.4293418282118153E-3</v>
      </c>
      <c r="L727" s="38">
        <f t="shared" si="47"/>
        <v>5.1581308223353521E-3</v>
      </c>
    </row>
    <row r="728" spans="1:12">
      <c r="A728" s="35">
        <v>43402</v>
      </c>
      <c r="B728" s="37">
        <v>643.79999999999995</v>
      </c>
      <c r="C728" s="37">
        <v>33891.129999999997</v>
      </c>
      <c r="D728" s="38">
        <f t="shared" si="44"/>
        <v>2.4472856518725741E-2</v>
      </c>
      <c r="E728" s="38">
        <f t="shared" si="45"/>
        <v>1.6124873365417007E-2</v>
      </c>
      <c r="H728" s="35">
        <v>45229</v>
      </c>
      <c r="I728" s="37">
        <v>1377.3</v>
      </c>
      <c r="J728" s="37">
        <v>64112.65</v>
      </c>
      <c r="K728" s="38">
        <f t="shared" si="46"/>
        <v>-6.3002083881706604E-3</v>
      </c>
      <c r="L728" s="38">
        <f t="shared" si="47"/>
        <v>-3.7147397171490436E-3</v>
      </c>
    </row>
    <row r="729" spans="1:12">
      <c r="A729" s="35">
        <v>43403</v>
      </c>
      <c r="B729" s="37">
        <v>659.75</v>
      </c>
      <c r="C729" s="37">
        <v>34442.050000000003</v>
      </c>
      <c r="D729" s="38">
        <f t="shared" si="44"/>
        <v>3.9381017440306872E-2</v>
      </c>
      <c r="E729" s="38">
        <f t="shared" si="45"/>
        <v>-2.9270834117051613E-4</v>
      </c>
      <c r="H729" s="35">
        <v>45230</v>
      </c>
      <c r="I729" s="37">
        <v>1368.65</v>
      </c>
      <c r="J729" s="37">
        <v>63874.93</v>
      </c>
      <c r="K729" s="38">
        <f t="shared" si="46"/>
        <v>-1.1094081899679913E-2</v>
      </c>
      <c r="L729" s="38">
        <f t="shared" si="47"/>
        <v>-4.4498123340161741E-3</v>
      </c>
    </row>
    <row r="730" spans="1:12">
      <c r="A730" s="35">
        <v>43404</v>
      </c>
      <c r="B730" s="37">
        <v>686.25</v>
      </c>
      <c r="C730" s="37">
        <v>34431.97</v>
      </c>
      <c r="D730" s="38">
        <f t="shared" si="44"/>
        <v>-2.9426934798004383E-2</v>
      </c>
      <c r="E730" s="38">
        <f t="shared" si="45"/>
        <v>1.6695369991209963E-2</v>
      </c>
      <c r="H730" s="35">
        <v>45231</v>
      </c>
      <c r="I730" s="37">
        <v>1353.55</v>
      </c>
      <c r="J730" s="37">
        <v>63591.33</v>
      </c>
      <c r="K730" s="38">
        <f t="shared" si="46"/>
        <v>1.2408382406494507E-2</v>
      </c>
      <c r="L730" s="38">
        <f t="shared" si="47"/>
        <v>7.6692073064537547E-3</v>
      </c>
    </row>
    <row r="731" spans="1:12">
      <c r="A731" s="35">
        <v>43405</v>
      </c>
      <c r="B731" s="37">
        <v>666.35</v>
      </c>
      <c r="C731" s="37">
        <v>35011.65</v>
      </c>
      <c r="D731" s="38">
        <f t="shared" si="44"/>
        <v>-6.4739762399701924E-3</v>
      </c>
      <c r="E731" s="38">
        <f t="shared" si="45"/>
        <v>-1.7360715952280043E-3</v>
      </c>
      <c r="H731" s="35">
        <v>45232</v>
      </c>
      <c r="I731" s="37">
        <v>1370.45</v>
      </c>
      <c r="J731" s="37">
        <v>64080.9</v>
      </c>
      <c r="K731" s="38">
        <f t="shared" si="46"/>
        <v>1.351690236141366E-2</v>
      </c>
      <c r="L731" s="38">
        <f t="shared" si="47"/>
        <v>4.4047049259823461E-3</v>
      </c>
    </row>
    <row r="732" spans="1:12">
      <c r="A732" s="35">
        <v>43406</v>
      </c>
      <c r="B732" s="37">
        <v>662.05</v>
      </c>
      <c r="C732" s="37">
        <v>34950.92</v>
      </c>
      <c r="D732" s="38">
        <f t="shared" si="44"/>
        <v>1.0567633833690462E-3</v>
      </c>
      <c r="E732" s="38">
        <f t="shared" si="45"/>
        <v>1.1721002622496676E-3</v>
      </c>
      <c r="H732" s="35">
        <v>45233</v>
      </c>
      <c r="I732" s="37">
        <v>1389.1</v>
      </c>
      <c r="J732" s="37">
        <v>64363.78</v>
      </c>
      <c r="K732" s="38">
        <f t="shared" si="46"/>
        <v>1.0669250182412857E-2</v>
      </c>
      <c r="L732" s="38">
        <f t="shared" si="47"/>
        <v>9.2004768626460266E-3</v>
      </c>
    </row>
    <row r="733" spans="1:12">
      <c r="A733" s="35">
        <v>43409</v>
      </c>
      <c r="B733" s="37">
        <v>662.75</v>
      </c>
      <c r="C733" s="37">
        <v>34991.910000000003</v>
      </c>
      <c r="D733" s="38">
        <f t="shared" si="44"/>
        <v>6.092305707503934E-3</v>
      </c>
      <c r="E733" s="38">
        <f t="shared" si="45"/>
        <v>6.9990727069357012E-3</v>
      </c>
      <c r="H733" s="35">
        <v>45236</v>
      </c>
      <c r="I733" s="37">
        <v>1404</v>
      </c>
      <c r="J733" s="37">
        <v>64958.69</v>
      </c>
      <c r="K733" s="38">
        <f t="shared" si="46"/>
        <v>2.4925668225968099E-4</v>
      </c>
      <c r="L733" s="38">
        <f t="shared" si="47"/>
        <v>-2.5080621087003656E-4</v>
      </c>
    </row>
    <row r="734" spans="1:12">
      <c r="A734" s="35">
        <v>43410</v>
      </c>
      <c r="B734" s="37">
        <v>666.8</v>
      </c>
      <c r="C734" s="37">
        <v>35237.68</v>
      </c>
      <c r="D734" s="38">
        <f t="shared" si="44"/>
        <v>1.370292516632533E-2</v>
      </c>
      <c r="E734" s="38">
        <f t="shared" si="45"/>
        <v>-2.2481327005033284E-3</v>
      </c>
      <c r="H734" s="35">
        <v>45237</v>
      </c>
      <c r="I734" s="37">
        <v>1404.35</v>
      </c>
      <c r="J734" s="37">
        <v>64942.400000000001</v>
      </c>
      <c r="K734" s="38">
        <f t="shared" si="46"/>
        <v>-8.761163873494569E-3</v>
      </c>
      <c r="L734" s="38">
        <f t="shared" si="47"/>
        <v>5.1124552667246911E-4</v>
      </c>
    </row>
    <row r="735" spans="1:12">
      <c r="A735" s="35">
        <v>43411</v>
      </c>
      <c r="B735" s="37">
        <v>676</v>
      </c>
      <c r="C735" s="37">
        <v>35158.550000000003</v>
      </c>
      <c r="D735" s="38">
        <f t="shared" si="44"/>
        <v>-2.175868113457493E-2</v>
      </c>
      <c r="E735" s="38">
        <f t="shared" si="45"/>
        <v>-9.8772389286810869E-3</v>
      </c>
      <c r="H735" s="35">
        <v>45238</v>
      </c>
      <c r="I735" s="37">
        <v>1392.1</v>
      </c>
      <c r="J735" s="37">
        <v>64975.61</v>
      </c>
      <c r="K735" s="38">
        <f t="shared" si="46"/>
        <v>-1.2250582334739371E-2</v>
      </c>
      <c r="L735" s="38">
        <f t="shared" si="47"/>
        <v>-2.2095751919183801E-3</v>
      </c>
    </row>
    <row r="736" spans="1:12">
      <c r="A736" s="35">
        <v>43413</v>
      </c>
      <c r="B736" s="37">
        <v>661.45</v>
      </c>
      <c r="C736" s="37">
        <v>34812.99</v>
      </c>
      <c r="D736" s="38">
        <f t="shared" si="44"/>
        <v>4.5252358691276204E-3</v>
      </c>
      <c r="E736" s="38">
        <f t="shared" si="45"/>
        <v>9.4772562198977128E-3</v>
      </c>
      <c r="H736" s="35">
        <v>45239</v>
      </c>
      <c r="I736" s="37">
        <v>1375.15</v>
      </c>
      <c r="J736" s="37">
        <v>64832.2</v>
      </c>
      <c r="K736" s="38">
        <f t="shared" si="46"/>
        <v>-4.7014318425615325E-3</v>
      </c>
      <c r="L736" s="38">
        <f t="shared" si="47"/>
        <v>1.1173385322755856E-3</v>
      </c>
    </row>
    <row r="737" spans="1:12">
      <c r="A737" s="35">
        <v>43416</v>
      </c>
      <c r="B737" s="37">
        <v>664.45</v>
      </c>
      <c r="C737" s="37">
        <v>35144.49</v>
      </c>
      <c r="D737" s="38">
        <f t="shared" si="44"/>
        <v>1.8794878291411793E-3</v>
      </c>
      <c r="E737" s="38">
        <f t="shared" si="45"/>
        <v>-7.1137436418899737E-5</v>
      </c>
      <c r="H737" s="35">
        <v>45240</v>
      </c>
      <c r="I737" s="37">
        <v>1368.7</v>
      </c>
      <c r="J737" s="37">
        <v>64904.68</v>
      </c>
      <c r="K737" s="38">
        <f t="shared" si="46"/>
        <v>1.4038500255469514E-2</v>
      </c>
      <c r="L737" s="38">
        <f t="shared" si="47"/>
        <v>5.4511312524241429E-3</v>
      </c>
    </row>
    <row r="738" spans="1:12">
      <c r="A738" s="35">
        <v>43417</v>
      </c>
      <c r="B738" s="37">
        <v>665.7</v>
      </c>
      <c r="C738" s="37">
        <v>35141.99</v>
      </c>
      <c r="D738" s="38">
        <f t="shared" si="44"/>
        <v>-1.8573099563612999E-2</v>
      </c>
      <c r="E738" s="38">
        <f t="shared" si="45"/>
        <v>3.3677798808909218E-3</v>
      </c>
      <c r="H738" s="35">
        <v>45242</v>
      </c>
      <c r="I738" s="37">
        <v>1388.05</v>
      </c>
      <c r="J738" s="37">
        <v>65259.45</v>
      </c>
      <c r="K738" s="38">
        <f t="shared" si="46"/>
        <v>-1.0064526343362711E-2</v>
      </c>
      <c r="L738" s="38">
        <f t="shared" si="47"/>
        <v>-5.0014959092725582E-3</v>
      </c>
    </row>
    <row r="739" spans="1:12">
      <c r="A739" s="35">
        <v>43418</v>
      </c>
      <c r="B739" s="37">
        <v>653.45000000000005</v>
      </c>
      <c r="C739" s="37">
        <v>35260.54</v>
      </c>
      <c r="D739" s="38">
        <f t="shared" si="44"/>
        <v>4.428164206371564E-3</v>
      </c>
      <c r="E739" s="38">
        <f t="shared" si="45"/>
        <v>5.5607155393757228E-3</v>
      </c>
      <c r="H739" s="35">
        <v>45243</v>
      </c>
      <c r="I739" s="37">
        <v>1374.15</v>
      </c>
      <c r="J739" s="37">
        <v>64933.87</v>
      </c>
      <c r="K739" s="38">
        <f t="shared" si="46"/>
        <v>2.6569616656510153E-2</v>
      </c>
      <c r="L739" s="38">
        <f t="shared" si="47"/>
        <v>1.1363128717620631E-2</v>
      </c>
    </row>
    <row r="740" spans="1:12">
      <c r="A740" s="35">
        <v>43419</v>
      </c>
      <c r="B740" s="37">
        <v>656.35</v>
      </c>
      <c r="C740" s="37">
        <v>35457.160000000003</v>
      </c>
      <c r="D740" s="38">
        <f t="shared" si="44"/>
        <v>-9.0297522018483612E-3</v>
      </c>
      <c r="E740" s="38">
        <f t="shared" si="45"/>
        <v>8.9207639430545736E-3</v>
      </c>
      <c r="H740" s="35">
        <v>45245</v>
      </c>
      <c r="I740" s="37">
        <v>1411.15</v>
      </c>
      <c r="J740" s="37">
        <v>65675.929999999993</v>
      </c>
      <c r="K740" s="38">
        <f t="shared" si="46"/>
        <v>2.2942811191335746E-2</v>
      </c>
      <c r="L740" s="38">
        <f t="shared" si="47"/>
        <v>4.656756130821298E-3</v>
      </c>
    </row>
    <row r="741" spans="1:12">
      <c r="A741" s="35">
        <v>43420</v>
      </c>
      <c r="B741" s="37">
        <v>650.45000000000005</v>
      </c>
      <c r="C741" s="37">
        <v>35774.879999999997</v>
      </c>
      <c r="D741" s="38">
        <f t="shared" si="44"/>
        <v>2.0733353558930264E-3</v>
      </c>
      <c r="E741" s="38">
        <f t="shared" si="45"/>
        <v>-8.4315607325276942E-3</v>
      </c>
      <c r="H741" s="35">
        <v>45246</v>
      </c>
      <c r="I741" s="37">
        <v>1443.9</v>
      </c>
      <c r="J741" s="37">
        <v>65982.48</v>
      </c>
      <c r="K741" s="38">
        <f t="shared" si="46"/>
        <v>-4.3379499234365805E-3</v>
      </c>
      <c r="L741" s="38">
        <f t="shared" si="47"/>
        <v>-2.849508303285776E-3</v>
      </c>
    </row>
    <row r="742" spans="1:12">
      <c r="A742" s="35">
        <v>43423</v>
      </c>
      <c r="B742" s="37">
        <v>651.79999999999995</v>
      </c>
      <c r="C742" s="37">
        <v>35474.51</v>
      </c>
      <c r="D742" s="38">
        <f t="shared" si="44"/>
        <v>-1.6552315410249468E-2</v>
      </c>
      <c r="E742" s="38">
        <f t="shared" si="45"/>
        <v>-7.7740096369391188E-3</v>
      </c>
      <c r="H742" s="35">
        <v>45247</v>
      </c>
      <c r="I742" s="37">
        <v>1437.65</v>
      </c>
      <c r="J742" s="37">
        <v>65794.73</v>
      </c>
      <c r="K742" s="38">
        <f t="shared" si="46"/>
        <v>-9.3947361595976726E-4</v>
      </c>
      <c r="L742" s="38">
        <f t="shared" si="47"/>
        <v>-2.1236999601672714E-3</v>
      </c>
    </row>
    <row r="743" spans="1:12">
      <c r="A743" s="35">
        <v>43424</v>
      </c>
      <c r="B743" s="37">
        <v>641.1</v>
      </c>
      <c r="C743" s="37">
        <v>35199.800000000003</v>
      </c>
      <c r="D743" s="38">
        <f t="shared" si="44"/>
        <v>-3.1934887599170014E-2</v>
      </c>
      <c r="E743" s="38">
        <f t="shared" si="45"/>
        <v>-6.2347720846771156E-3</v>
      </c>
      <c r="H743" s="35">
        <v>45250</v>
      </c>
      <c r="I743" s="37">
        <v>1436.3</v>
      </c>
      <c r="J743" s="37">
        <v>65655.149999999994</v>
      </c>
      <c r="K743" s="38">
        <f t="shared" si="46"/>
        <v>2.1559976359269988E-3</v>
      </c>
      <c r="L743" s="38">
        <f t="shared" si="47"/>
        <v>4.1892081323266547E-3</v>
      </c>
    </row>
    <row r="744" spans="1:12">
      <c r="A744" s="35">
        <v>43425</v>
      </c>
      <c r="B744" s="37">
        <v>620.95000000000005</v>
      </c>
      <c r="C744" s="37">
        <v>34981.019999999997</v>
      </c>
      <c r="D744" s="38">
        <f t="shared" si="44"/>
        <v>-8.0554217341292922E-4</v>
      </c>
      <c r="E744" s="38">
        <f t="shared" si="45"/>
        <v>1.060817425348308E-2</v>
      </c>
      <c r="H744" s="35">
        <v>45251</v>
      </c>
      <c r="I744" s="37">
        <v>1439.4</v>
      </c>
      <c r="J744" s="37">
        <v>65930.77</v>
      </c>
      <c r="K744" s="38">
        <f t="shared" si="46"/>
        <v>1.2633491006263089E-2</v>
      </c>
      <c r="L744" s="38">
        <f t="shared" si="47"/>
        <v>1.4015491478716958E-3</v>
      </c>
    </row>
    <row r="745" spans="1:12">
      <c r="A745" s="35">
        <v>43426</v>
      </c>
      <c r="B745" s="37">
        <v>620.45000000000005</v>
      </c>
      <c r="C745" s="37">
        <v>35354.080000000002</v>
      </c>
      <c r="D745" s="38">
        <f t="shared" si="44"/>
        <v>1.3690358490193071E-3</v>
      </c>
      <c r="E745" s="38">
        <f t="shared" si="45"/>
        <v>4.4889659026828357E-3</v>
      </c>
      <c r="H745" s="35">
        <v>45252</v>
      </c>
      <c r="I745" s="37">
        <v>1457.7</v>
      </c>
      <c r="J745" s="37">
        <v>66023.240000000005</v>
      </c>
      <c r="K745" s="38">
        <f t="shared" si="46"/>
        <v>-5.4687233234170223E-3</v>
      </c>
      <c r="L745" s="38">
        <f t="shared" si="47"/>
        <v>-8.2247149701860256E-5</v>
      </c>
    </row>
    <row r="746" spans="1:12">
      <c r="A746" s="35">
        <v>43430</v>
      </c>
      <c r="B746" s="37">
        <v>621.29999999999995</v>
      </c>
      <c r="C746" s="37">
        <v>35513.14</v>
      </c>
      <c r="D746" s="38">
        <f t="shared" si="44"/>
        <v>2.4955598502515164E-2</v>
      </c>
      <c r="E746" s="38">
        <f t="shared" si="45"/>
        <v>5.7225971832745616E-3</v>
      </c>
      <c r="H746" s="35">
        <v>45253</v>
      </c>
      <c r="I746" s="37">
        <v>1449.75</v>
      </c>
      <c r="J746" s="37">
        <v>66017.81</v>
      </c>
      <c r="K746" s="38">
        <f t="shared" si="46"/>
        <v>-8.8683159940789232E-3</v>
      </c>
      <c r="L746" s="38">
        <f t="shared" si="47"/>
        <v>-7.2385453791126817E-4</v>
      </c>
    </row>
    <row r="747" spans="1:12">
      <c r="A747" s="35">
        <v>43431</v>
      </c>
      <c r="B747" s="37">
        <v>637</v>
      </c>
      <c r="C747" s="37">
        <v>35716.949999999997</v>
      </c>
      <c r="D747" s="38">
        <f t="shared" si="44"/>
        <v>4.5045402453572601E-2</v>
      </c>
      <c r="E747" s="38">
        <f t="shared" si="45"/>
        <v>1.2616015236066785E-2</v>
      </c>
      <c r="H747" s="35">
        <v>45254</v>
      </c>
      <c r="I747" s="37">
        <v>1436.95</v>
      </c>
      <c r="J747" s="37">
        <v>65970.039999999994</v>
      </c>
      <c r="K747" s="38">
        <f t="shared" si="46"/>
        <v>4.2361174457512651E-3</v>
      </c>
      <c r="L747" s="38">
        <f t="shared" si="47"/>
        <v>3.089959311744534E-3</v>
      </c>
    </row>
    <row r="748" spans="1:12">
      <c r="A748" s="35">
        <v>43432</v>
      </c>
      <c r="B748" s="37">
        <v>666.35</v>
      </c>
      <c r="C748" s="37">
        <v>36170.410000000003</v>
      </c>
      <c r="D748" s="38">
        <f t="shared" si="44"/>
        <v>-1.018146734029211E-2</v>
      </c>
      <c r="E748" s="38">
        <f t="shared" si="45"/>
        <v>6.6026660973018329E-4</v>
      </c>
      <c r="H748" s="35">
        <v>45258</v>
      </c>
      <c r="I748" s="37">
        <v>1443.05</v>
      </c>
      <c r="J748" s="37">
        <v>66174.2</v>
      </c>
      <c r="K748" s="38">
        <f t="shared" si="46"/>
        <v>1.1060878061754362E-2</v>
      </c>
      <c r="L748" s="38">
        <f t="shared" si="47"/>
        <v>1.0936857918821987E-2</v>
      </c>
    </row>
    <row r="749" spans="1:12">
      <c r="A749" s="35">
        <v>43433</v>
      </c>
      <c r="B749" s="37">
        <v>659.6</v>
      </c>
      <c r="C749" s="37">
        <v>36194.300000000003</v>
      </c>
      <c r="D749" s="38">
        <f t="shared" si="44"/>
        <v>1.0406548933319486E-2</v>
      </c>
      <c r="E749" s="38">
        <f t="shared" si="45"/>
        <v>1.289426742772297E-3</v>
      </c>
      <c r="H749" s="35">
        <v>45259</v>
      </c>
      <c r="I749" s="37">
        <v>1459.1</v>
      </c>
      <c r="J749" s="37">
        <v>66901.91</v>
      </c>
      <c r="K749" s="38">
        <f t="shared" si="46"/>
        <v>-2.6077423506961628E-3</v>
      </c>
      <c r="L749" s="38">
        <f t="shared" si="47"/>
        <v>1.2925503898830455E-3</v>
      </c>
    </row>
    <row r="750" spans="1:12">
      <c r="A750" s="35">
        <v>43434</v>
      </c>
      <c r="B750" s="37">
        <v>666.5</v>
      </c>
      <c r="C750" s="37">
        <v>36241</v>
      </c>
      <c r="D750" s="38">
        <f t="shared" si="44"/>
        <v>5.0136671042314666E-3</v>
      </c>
      <c r="E750" s="38">
        <f t="shared" si="45"/>
        <v>-2.9482451206202906E-3</v>
      </c>
      <c r="H750" s="35">
        <v>45260</v>
      </c>
      <c r="I750" s="37">
        <v>1455.3</v>
      </c>
      <c r="J750" s="37">
        <v>66988.44</v>
      </c>
      <c r="K750" s="38">
        <f t="shared" si="46"/>
        <v>-2.0979870466386052E-3</v>
      </c>
      <c r="L750" s="38">
        <f t="shared" si="47"/>
        <v>7.3288251857883766E-3</v>
      </c>
    </row>
    <row r="751" spans="1:12">
      <c r="A751" s="35">
        <v>43437</v>
      </c>
      <c r="B751" s="37">
        <v>669.85</v>
      </c>
      <c r="C751" s="37">
        <v>36134.31</v>
      </c>
      <c r="D751" s="38">
        <f t="shared" si="44"/>
        <v>2.1561789318526463E-2</v>
      </c>
      <c r="E751" s="38">
        <f t="shared" si="45"/>
        <v>-6.9398901556264499E-3</v>
      </c>
      <c r="H751" s="35">
        <v>45261</v>
      </c>
      <c r="I751" s="37">
        <v>1452.25</v>
      </c>
      <c r="J751" s="37">
        <v>67481.19</v>
      </c>
      <c r="K751" s="38">
        <f t="shared" si="46"/>
        <v>8.3656674671483827E-3</v>
      </c>
      <c r="L751" s="38">
        <f t="shared" si="47"/>
        <v>2.0300916530481338E-2</v>
      </c>
    </row>
    <row r="752" spans="1:12">
      <c r="A752" s="35">
        <v>43438</v>
      </c>
      <c r="B752" s="37">
        <v>684.45</v>
      </c>
      <c r="C752" s="37">
        <v>35884.410000000003</v>
      </c>
      <c r="D752" s="38">
        <f t="shared" si="44"/>
        <v>-4.3927151679992935E-3</v>
      </c>
      <c r="E752" s="38">
        <f t="shared" si="45"/>
        <v>-1.6076408361153822E-2</v>
      </c>
      <c r="H752" s="35">
        <v>45264</v>
      </c>
      <c r="I752" s="37">
        <v>1464.45</v>
      </c>
      <c r="J752" s="37">
        <v>68865.119999999995</v>
      </c>
      <c r="K752" s="38">
        <f t="shared" si="46"/>
        <v>-7.3677149075109648E-3</v>
      </c>
      <c r="L752" s="38">
        <f t="shared" si="47"/>
        <v>6.2393958813346789E-3</v>
      </c>
    </row>
    <row r="753" spans="1:12">
      <c r="A753" s="35">
        <v>43439</v>
      </c>
      <c r="B753" s="37">
        <v>681.45</v>
      </c>
      <c r="C753" s="37">
        <v>35312.129999999997</v>
      </c>
      <c r="D753" s="38">
        <f t="shared" si="44"/>
        <v>-1.9635350950865799E-2</v>
      </c>
      <c r="E753" s="38">
        <f t="shared" si="45"/>
        <v>1.0174577224699905E-2</v>
      </c>
      <c r="H753" s="35">
        <v>45265</v>
      </c>
      <c r="I753" s="37">
        <v>1453.7</v>
      </c>
      <c r="J753" s="37">
        <v>69296.14</v>
      </c>
      <c r="K753" s="38">
        <f t="shared" si="46"/>
        <v>1.3935603620953278E-2</v>
      </c>
      <c r="L753" s="38">
        <f t="shared" si="47"/>
        <v>5.147047484709311E-3</v>
      </c>
    </row>
    <row r="754" spans="1:12">
      <c r="A754" s="35">
        <v>43440</v>
      </c>
      <c r="B754" s="37">
        <v>668.2</v>
      </c>
      <c r="C754" s="37">
        <v>35673.25</v>
      </c>
      <c r="D754" s="38">
        <f t="shared" si="44"/>
        <v>1.9048194970694411E-2</v>
      </c>
      <c r="E754" s="38">
        <f t="shared" si="45"/>
        <v>-2.0204566598416761E-2</v>
      </c>
      <c r="H754" s="35">
        <v>45266</v>
      </c>
      <c r="I754" s="37">
        <v>1474.1</v>
      </c>
      <c r="J754" s="37">
        <v>69653.73</v>
      </c>
      <c r="K754" s="38">
        <f t="shared" si="46"/>
        <v>-5.4077166048751386E-3</v>
      </c>
      <c r="L754" s="38">
        <f t="shared" si="47"/>
        <v>-1.8974620606997882E-3</v>
      </c>
    </row>
    <row r="755" spans="1:12">
      <c r="A755" s="35">
        <v>43441</v>
      </c>
      <c r="B755" s="37">
        <v>681.05</v>
      </c>
      <c r="C755" s="37">
        <v>34959.72</v>
      </c>
      <c r="D755" s="38">
        <f t="shared" si="44"/>
        <v>-1.9646997383796536E-2</v>
      </c>
      <c r="E755" s="38">
        <f t="shared" si="45"/>
        <v>5.4283611497116377E-3</v>
      </c>
      <c r="H755" s="35">
        <v>45267</v>
      </c>
      <c r="I755" s="37">
        <v>1466.15</v>
      </c>
      <c r="J755" s="37">
        <v>69521.69</v>
      </c>
      <c r="K755" s="38">
        <f t="shared" si="46"/>
        <v>1.6538805999236069E-2</v>
      </c>
      <c r="L755" s="38">
        <f t="shared" si="47"/>
        <v>4.3619144922976564E-3</v>
      </c>
    </row>
    <row r="756" spans="1:12">
      <c r="A756" s="35">
        <v>43444</v>
      </c>
      <c r="B756" s="37">
        <v>667.8</v>
      </c>
      <c r="C756" s="37">
        <v>35150.01</v>
      </c>
      <c r="D756" s="38">
        <f t="shared" si="44"/>
        <v>9.6122345102851725E-3</v>
      </c>
      <c r="E756" s="38">
        <f t="shared" si="45"/>
        <v>1.7738182816716838E-2</v>
      </c>
      <c r="H756" s="35">
        <v>45268</v>
      </c>
      <c r="I756" s="37">
        <v>1490.6</v>
      </c>
      <c r="J756" s="37">
        <v>69825.600000000006</v>
      </c>
      <c r="K756" s="38">
        <f t="shared" si="46"/>
        <v>-1.342642521783089E-3</v>
      </c>
      <c r="L756" s="38">
        <f t="shared" si="47"/>
        <v>1.4730157686393831E-3</v>
      </c>
    </row>
    <row r="757" spans="1:12">
      <c r="A757" s="35">
        <v>43445</v>
      </c>
      <c r="B757" s="37">
        <v>674.25</v>
      </c>
      <c r="C757" s="37">
        <v>35779.07</v>
      </c>
      <c r="D757" s="38">
        <f t="shared" si="44"/>
        <v>6.5782416898733436E-3</v>
      </c>
      <c r="E757" s="38">
        <f t="shared" si="45"/>
        <v>4.1994960245336161E-3</v>
      </c>
      <c r="H757" s="35">
        <v>45271</v>
      </c>
      <c r="I757" s="37">
        <v>1488.6</v>
      </c>
      <c r="J757" s="37">
        <v>69928.53</v>
      </c>
      <c r="K757" s="38">
        <f t="shared" si="46"/>
        <v>-8.5003547653924923E-3</v>
      </c>
      <c r="L757" s="38">
        <f t="shared" si="47"/>
        <v>-5.412992724441291E-3</v>
      </c>
    </row>
    <row r="758" spans="1:12">
      <c r="A758" s="35">
        <v>43446</v>
      </c>
      <c r="B758" s="37">
        <v>678.7</v>
      </c>
      <c r="C758" s="37">
        <v>35929.64</v>
      </c>
      <c r="D758" s="38">
        <f t="shared" si="44"/>
        <v>2.5888589510147574E-2</v>
      </c>
      <c r="E758" s="38">
        <f t="shared" si="45"/>
        <v>9.2610411282607928E-4</v>
      </c>
      <c r="H758" s="35">
        <v>45272</v>
      </c>
      <c r="I758" s="37">
        <v>1476</v>
      </c>
      <c r="J758" s="37">
        <v>69551.03</v>
      </c>
      <c r="K758" s="38">
        <f t="shared" si="46"/>
        <v>-1.8531078333741211E-2</v>
      </c>
      <c r="L758" s="38">
        <f t="shared" si="47"/>
        <v>4.8255074061791595E-4</v>
      </c>
    </row>
    <row r="759" spans="1:12">
      <c r="A759" s="35">
        <v>43447</v>
      </c>
      <c r="B759" s="37">
        <v>696.5</v>
      </c>
      <c r="C759" s="37">
        <v>35962.93</v>
      </c>
      <c r="D759" s="38">
        <f t="shared" si="44"/>
        <v>1.2980711472721278E-2</v>
      </c>
      <c r="E759" s="38">
        <f t="shared" si="45"/>
        <v>8.5041975568892897E-3</v>
      </c>
      <c r="H759" s="35">
        <v>45273</v>
      </c>
      <c r="I759" s="37">
        <v>1448.9</v>
      </c>
      <c r="J759" s="37">
        <v>69584.600000000006</v>
      </c>
      <c r="K759" s="38">
        <f t="shared" si="46"/>
        <v>3.549344656751658E-2</v>
      </c>
      <c r="L759" s="38">
        <f t="shared" si="47"/>
        <v>1.3270829485982407E-2</v>
      </c>
    </row>
    <row r="760" spans="1:12">
      <c r="A760" s="35">
        <v>43448</v>
      </c>
      <c r="B760" s="37">
        <v>705.6</v>
      </c>
      <c r="C760" s="37">
        <v>36270.07</v>
      </c>
      <c r="D760" s="38">
        <f t="shared" si="44"/>
        <v>-1.7225169483282555E-2</v>
      </c>
      <c r="E760" s="38">
        <f t="shared" si="45"/>
        <v>2.1209873664743547E-3</v>
      </c>
      <c r="H760" s="35">
        <v>45274</v>
      </c>
      <c r="I760" s="37">
        <v>1501.25</v>
      </c>
      <c r="J760" s="37">
        <v>70514.2</v>
      </c>
      <c r="K760" s="38">
        <f t="shared" si="46"/>
        <v>5.0651956384616371E-2</v>
      </c>
      <c r="L760" s="38">
        <f t="shared" si="47"/>
        <v>1.3656043166360418E-2</v>
      </c>
    </row>
    <row r="761" spans="1:12">
      <c r="A761" s="35">
        <v>43451</v>
      </c>
      <c r="B761" s="37">
        <v>693.55</v>
      </c>
      <c r="C761" s="37">
        <v>36347.08</v>
      </c>
      <c r="D761" s="38">
        <f t="shared" si="44"/>
        <v>-2.511264167409618E-2</v>
      </c>
      <c r="E761" s="38">
        <f t="shared" si="45"/>
        <v>3.7689827087594506E-3</v>
      </c>
      <c r="H761" s="35">
        <v>45275</v>
      </c>
      <c r="I761" s="37">
        <v>1579.25</v>
      </c>
      <c r="J761" s="37">
        <v>71483.75</v>
      </c>
      <c r="K761" s="38">
        <f t="shared" si="46"/>
        <v>-9.8632679976888571E-3</v>
      </c>
      <c r="L761" s="38">
        <f t="shared" si="47"/>
        <v>-2.3622051611495668E-3</v>
      </c>
    </row>
    <row r="762" spans="1:12">
      <c r="A762" s="35">
        <v>43452</v>
      </c>
      <c r="B762" s="37">
        <v>676.35</v>
      </c>
      <c r="C762" s="37">
        <v>36484.33</v>
      </c>
      <c r="D762" s="38">
        <f t="shared" si="44"/>
        <v>-1.6547783677404383E-2</v>
      </c>
      <c r="E762" s="38">
        <f t="shared" si="45"/>
        <v>-1.4444020285086839E-3</v>
      </c>
      <c r="H762" s="35">
        <v>45278</v>
      </c>
      <c r="I762" s="37">
        <v>1563.75</v>
      </c>
      <c r="J762" s="37">
        <v>71315.09</v>
      </c>
      <c r="K762" s="38">
        <f t="shared" si="46"/>
        <v>-4.2937774248417594E-3</v>
      </c>
      <c r="L762" s="38">
        <f t="shared" si="47"/>
        <v>1.7106561068665376E-3</v>
      </c>
    </row>
    <row r="763" spans="1:12">
      <c r="A763" s="35">
        <v>43453</v>
      </c>
      <c r="B763" s="37">
        <v>665.25</v>
      </c>
      <c r="C763" s="37">
        <v>36431.67</v>
      </c>
      <c r="D763" s="38">
        <f t="shared" si="44"/>
        <v>2.4022232106049469E-3</v>
      </c>
      <c r="E763" s="38">
        <f t="shared" si="45"/>
        <v>-1.9110024956438692E-2</v>
      </c>
      <c r="H763" s="35">
        <v>45279</v>
      </c>
      <c r="I763" s="37">
        <v>1557.05</v>
      </c>
      <c r="J763" s="37">
        <v>71437.19</v>
      </c>
      <c r="K763" s="38">
        <f t="shared" si="46"/>
        <v>-1.3774144312242336E-2</v>
      </c>
      <c r="L763" s="38">
        <f t="shared" si="47"/>
        <v>-1.3116392728927326E-2</v>
      </c>
    </row>
    <row r="764" spans="1:12">
      <c r="A764" s="35">
        <v>43454</v>
      </c>
      <c r="B764" s="37">
        <v>666.85</v>
      </c>
      <c r="C764" s="37">
        <v>35742.07</v>
      </c>
      <c r="D764" s="38">
        <f t="shared" si="44"/>
        <v>-3.2152701092453689E-2</v>
      </c>
      <c r="E764" s="38">
        <f t="shared" si="45"/>
        <v>-7.6369286504654483E-3</v>
      </c>
      <c r="H764" s="35">
        <v>45280</v>
      </c>
      <c r="I764" s="37">
        <v>1535.75</v>
      </c>
      <c r="J764" s="37">
        <v>70506.31</v>
      </c>
      <c r="K764" s="38">
        <f t="shared" si="46"/>
        <v>3.2552083620778004E-4</v>
      </c>
      <c r="L764" s="38">
        <f t="shared" si="47"/>
        <v>5.0758603926002784E-3</v>
      </c>
    </row>
    <row r="765" spans="1:12">
      <c r="A765" s="35">
        <v>43455</v>
      </c>
      <c r="B765" s="37">
        <v>645.75</v>
      </c>
      <c r="C765" s="37">
        <v>35470.15</v>
      </c>
      <c r="D765" s="38">
        <f t="shared" si="44"/>
        <v>5.0973233630534388E-3</v>
      </c>
      <c r="E765" s="38">
        <f t="shared" si="45"/>
        <v>5.0559661269942453E-3</v>
      </c>
      <c r="H765" s="35">
        <v>45281</v>
      </c>
      <c r="I765" s="37">
        <v>1536.25</v>
      </c>
      <c r="J765" s="37">
        <v>70865.100000000006</v>
      </c>
      <c r="K765" s="38">
        <f t="shared" si="46"/>
        <v>1.6622669519386617E-2</v>
      </c>
      <c r="L765" s="38">
        <f t="shared" si="47"/>
        <v>3.4071525618924515E-3</v>
      </c>
    </row>
    <row r="766" spans="1:12">
      <c r="A766" s="35">
        <v>43458</v>
      </c>
      <c r="B766" s="37">
        <v>649.04999999999995</v>
      </c>
      <c r="C766" s="37">
        <v>35649.94</v>
      </c>
      <c r="D766" s="38">
        <f t="shared" si="44"/>
        <v>-6.8797859576659511E-3</v>
      </c>
      <c r="E766" s="38">
        <f t="shared" si="45"/>
        <v>4.4037608593198649E-3</v>
      </c>
      <c r="H766" s="35">
        <v>45282</v>
      </c>
      <c r="I766" s="37">
        <v>1562</v>
      </c>
      <c r="J766" s="37">
        <v>71106.960000000006</v>
      </c>
      <c r="K766" s="38">
        <f t="shared" si="46"/>
        <v>-1.1266818040994822E-2</v>
      </c>
      <c r="L766" s="38">
        <f t="shared" si="47"/>
        <v>3.2271009901205304E-3</v>
      </c>
    </row>
    <row r="767" spans="1:12">
      <c r="A767" s="35">
        <v>43460</v>
      </c>
      <c r="B767" s="37">
        <v>644.6</v>
      </c>
      <c r="C767" s="37">
        <v>35807.279999999999</v>
      </c>
      <c r="D767" s="38">
        <f t="shared" si="44"/>
        <v>1.9586631761275734E-2</v>
      </c>
      <c r="E767" s="38">
        <f t="shared" si="45"/>
        <v>7.496557282276526E-3</v>
      </c>
      <c r="H767" s="35">
        <v>45286</v>
      </c>
      <c r="I767" s="37">
        <v>1544.5</v>
      </c>
      <c r="J767" s="37">
        <v>71336.800000000003</v>
      </c>
      <c r="K767" s="38">
        <f t="shared" si="46"/>
        <v>1.4143598033610037E-2</v>
      </c>
      <c r="L767" s="38">
        <f t="shared" si="47"/>
        <v>9.7874033184580846E-3</v>
      </c>
    </row>
    <row r="768" spans="1:12">
      <c r="A768" s="35">
        <v>43461</v>
      </c>
      <c r="B768" s="37">
        <v>657.35</v>
      </c>
      <c r="C768" s="37">
        <v>36076.720000000001</v>
      </c>
      <c r="D768" s="38">
        <f t="shared" si="44"/>
        <v>3.8024259935684078E-4</v>
      </c>
      <c r="E768" s="38">
        <f t="shared" si="45"/>
        <v>-2.325869907311279E-4</v>
      </c>
      <c r="H768" s="35">
        <v>45287</v>
      </c>
      <c r="I768" s="37">
        <v>1566.5</v>
      </c>
      <c r="J768" s="37">
        <v>72038.429999999993</v>
      </c>
      <c r="K768" s="38">
        <f t="shared" si="46"/>
        <v>-2.2367799707698048E-3</v>
      </c>
      <c r="L768" s="38">
        <f t="shared" si="47"/>
        <v>5.1499326587064352E-3</v>
      </c>
    </row>
    <row r="769" spans="1:12">
      <c r="A769" s="35">
        <v>43462</v>
      </c>
      <c r="B769" s="37">
        <v>657.6</v>
      </c>
      <c r="C769" s="37">
        <v>36068.33</v>
      </c>
      <c r="D769" s="38">
        <f t="shared" si="44"/>
        <v>3.4156927208682806E-3</v>
      </c>
      <c r="E769" s="38">
        <f t="shared" si="45"/>
        <v>5.1502473398759973E-3</v>
      </c>
      <c r="H769" s="35">
        <v>45288</v>
      </c>
      <c r="I769" s="37">
        <v>1563</v>
      </c>
      <c r="J769" s="37">
        <v>72410.38</v>
      </c>
      <c r="K769" s="38">
        <f t="shared" si="46"/>
        <v>-1.2975696004825265E-2</v>
      </c>
      <c r="L769" s="38">
        <f t="shared" si="47"/>
        <v>-2.3521510645792549E-3</v>
      </c>
    </row>
    <row r="770" spans="1:12">
      <c r="A770" s="35">
        <v>43465</v>
      </c>
      <c r="B770" s="37">
        <v>659.85</v>
      </c>
      <c r="C770" s="37">
        <v>36254.57</v>
      </c>
      <c r="D770" s="38">
        <f t="shared" si="44"/>
        <v>7.2480498507697041E-3</v>
      </c>
      <c r="E770" s="38">
        <f t="shared" si="45"/>
        <v>-1.0064386427485472E-2</v>
      </c>
      <c r="H770" s="35">
        <v>45289</v>
      </c>
      <c r="I770" s="37">
        <v>1542.85</v>
      </c>
      <c r="J770" s="37">
        <v>72240.259999999995</v>
      </c>
      <c r="K770" s="38">
        <f t="shared" si="46"/>
        <v>5.4297021021655666E-3</v>
      </c>
      <c r="L770" s="38">
        <f t="shared" si="47"/>
        <v>4.3844049855309823E-4</v>
      </c>
    </row>
    <row r="771" spans="1:12">
      <c r="A771" s="35">
        <v>43466</v>
      </c>
      <c r="B771" s="37">
        <v>664.65</v>
      </c>
      <c r="C771" s="37">
        <v>35891.519999999997</v>
      </c>
      <c r="D771" s="38">
        <f t="shared" si="44"/>
        <v>6.9718037929883438E-3</v>
      </c>
      <c r="E771" s="38">
        <f t="shared" si="45"/>
        <v>-1.0582236783160092E-2</v>
      </c>
      <c r="H771" s="35">
        <v>45292</v>
      </c>
      <c r="I771" s="37">
        <v>1551.25</v>
      </c>
      <c r="J771" s="37">
        <v>72271.94</v>
      </c>
      <c r="K771" s="38">
        <f t="shared" si="46"/>
        <v>-1.0563250317942852E-2</v>
      </c>
      <c r="L771" s="38">
        <f t="shared" si="47"/>
        <v>-5.2642791656820056E-3</v>
      </c>
    </row>
    <row r="772" spans="1:12">
      <c r="A772" s="35">
        <v>43467</v>
      </c>
      <c r="B772" s="37">
        <v>669.3</v>
      </c>
      <c r="C772" s="37">
        <v>35513.71</v>
      </c>
      <c r="D772" s="38">
        <f t="shared" si="44"/>
        <v>-2.6180962704924994E-3</v>
      </c>
      <c r="E772" s="38">
        <f t="shared" si="45"/>
        <v>5.0946053537853477E-3</v>
      </c>
      <c r="H772" s="35">
        <v>45293</v>
      </c>
      <c r="I772" s="37">
        <v>1534.95</v>
      </c>
      <c r="J772" s="37">
        <v>71892.479999999996</v>
      </c>
      <c r="K772" s="38">
        <f t="shared" si="46"/>
        <v>-2.9587468081247036E-2</v>
      </c>
      <c r="L772" s="38">
        <f t="shared" si="47"/>
        <v>-7.4818281524389307E-3</v>
      </c>
    </row>
    <row r="773" spans="1:12">
      <c r="A773" s="35">
        <v>43468</v>
      </c>
      <c r="B773" s="37">
        <v>667.55</v>
      </c>
      <c r="C773" s="37">
        <v>35695.1</v>
      </c>
      <c r="D773" s="38">
        <f t="shared" ref="D773:D836" si="48">LN(B774/B773)</f>
        <v>-1.0238740351705326E-2</v>
      </c>
      <c r="E773" s="38">
        <f t="shared" ref="E773:E836" si="49">LN(C774/C773)</f>
        <v>4.3346056127998413E-3</v>
      </c>
      <c r="H773" s="35">
        <v>45294</v>
      </c>
      <c r="I773" s="37">
        <v>1490.2</v>
      </c>
      <c r="J773" s="37">
        <v>71356.600000000006</v>
      </c>
      <c r="K773" s="38">
        <f t="shared" ref="K773:K836" si="50">LN(I774/I773)</f>
        <v>1.4655205004542329E-2</v>
      </c>
      <c r="L773" s="38">
        <f t="shared" ref="L773:L836" si="51">LN(J774/J773)</f>
        <v>6.8569500970698284E-3</v>
      </c>
    </row>
    <row r="774" spans="1:12">
      <c r="A774" s="35">
        <v>43469</v>
      </c>
      <c r="B774" s="37">
        <v>660.75</v>
      </c>
      <c r="C774" s="37">
        <v>35850.160000000003</v>
      </c>
      <c r="D774" s="38">
        <f t="shared" si="48"/>
        <v>1.5617105449246415E-2</v>
      </c>
      <c r="E774" s="38">
        <f t="shared" si="49"/>
        <v>3.6410458053875625E-3</v>
      </c>
      <c r="H774" s="35">
        <v>45295</v>
      </c>
      <c r="I774" s="37">
        <v>1512.2</v>
      </c>
      <c r="J774" s="37">
        <v>71847.570000000007</v>
      </c>
      <c r="K774" s="38">
        <f t="shared" si="50"/>
        <v>1.3595822047892189E-2</v>
      </c>
      <c r="L774" s="38">
        <f t="shared" si="51"/>
        <v>2.4824560275436276E-3</v>
      </c>
    </row>
    <row r="775" spans="1:12">
      <c r="A775" s="35">
        <v>43472</v>
      </c>
      <c r="B775" s="37">
        <v>671.15</v>
      </c>
      <c r="C775" s="37">
        <v>35980.93</v>
      </c>
      <c r="D775" s="38">
        <f t="shared" si="48"/>
        <v>-1.9388522106501386E-3</v>
      </c>
      <c r="E775" s="38">
        <f t="shared" si="49"/>
        <v>6.4266092071714794E-3</v>
      </c>
      <c r="H775" s="35">
        <v>45296</v>
      </c>
      <c r="I775" s="37">
        <v>1532.9</v>
      </c>
      <c r="J775" s="37">
        <v>72026.149999999994</v>
      </c>
      <c r="K775" s="38">
        <f t="shared" si="50"/>
        <v>-6.5121227567203682E-3</v>
      </c>
      <c r="L775" s="38">
        <f t="shared" si="51"/>
        <v>-9.358745798090342E-3</v>
      </c>
    </row>
    <row r="776" spans="1:12">
      <c r="A776" s="35">
        <v>43473</v>
      </c>
      <c r="B776" s="37">
        <v>669.85</v>
      </c>
      <c r="C776" s="37">
        <v>36212.910000000003</v>
      </c>
      <c r="D776" s="38">
        <f t="shared" si="48"/>
        <v>8.9173512068419329E-3</v>
      </c>
      <c r="E776" s="38">
        <f t="shared" si="49"/>
        <v>-2.9427805562065811E-3</v>
      </c>
      <c r="H776" s="35">
        <v>45299</v>
      </c>
      <c r="I776" s="37">
        <v>1522.95</v>
      </c>
      <c r="J776" s="37">
        <v>71355.22</v>
      </c>
      <c r="K776" s="38">
        <f t="shared" si="50"/>
        <v>4.062782037416791E-3</v>
      </c>
      <c r="L776" s="38">
        <f t="shared" si="51"/>
        <v>4.3421171396303127E-4</v>
      </c>
    </row>
    <row r="777" spans="1:12">
      <c r="A777" s="35">
        <v>43474</v>
      </c>
      <c r="B777" s="37">
        <v>675.85</v>
      </c>
      <c r="C777" s="37">
        <v>36106.5</v>
      </c>
      <c r="D777" s="38">
        <f t="shared" si="48"/>
        <v>5.7539255827433744E-3</v>
      </c>
      <c r="E777" s="38">
        <f t="shared" si="49"/>
        <v>-2.6806700917757398E-3</v>
      </c>
      <c r="H777" s="35">
        <v>45300</v>
      </c>
      <c r="I777" s="37">
        <v>1529.15</v>
      </c>
      <c r="J777" s="37">
        <v>71386.210000000006</v>
      </c>
      <c r="K777" s="38">
        <f t="shared" si="50"/>
        <v>-6.2319802849620807E-3</v>
      </c>
      <c r="L777" s="38">
        <f t="shared" si="51"/>
        <v>3.7960414678877754E-3</v>
      </c>
    </row>
    <row r="778" spans="1:12">
      <c r="A778" s="35">
        <v>43475</v>
      </c>
      <c r="B778" s="37">
        <v>679.75</v>
      </c>
      <c r="C778" s="37">
        <v>36009.839999999997</v>
      </c>
      <c r="D778" s="38">
        <f t="shared" si="48"/>
        <v>5.7941414071683312E-3</v>
      </c>
      <c r="E778" s="38">
        <f t="shared" si="49"/>
        <v>-4.349369675315534E-3</v>
      </c>
      <c r="H778" s="35">
        <v>45301</v>
      </c>
      <c r="I778" s="37">
        <v>1519.65</v>
      </c>
      <c r="J778" s="37">
        <v>71657.710000000006</v>
      </c>
      <c r="K778" s="38">
        <f t="shared" si="50"/>
        <v>-1.6353838343009304E-2</v>
      </c>
      <c r="L778" s="38">
        <f t="shared" si="51"/>
        <v>8.8534656874309783E-4</v>
      </c>
    </row>
    <row r="779" spans="1:12">
      <c r="A779" s="35">
        <v>43476</v>
      </c>
      <c r="B779" s="37">
        <v>683.7</v>
      </c>
      <c r="C779" s="37">
        <v>35853.56</v>
      </c>
      <c r="D779" s="38">
        <f t="shared" si="48"/>
        <v>2.4845998586530804E-2</v>
      </c>
      <c r="E779" s="38">
        <f t="shared" si="49"/>
        <v>1.287970773438258E-2</v>
      </c>
      <c r="H779" s="35">
        <v>45302</v>
      </c>
      <c r="I779" s="37">
        <v>1495</v>
      </c>
      <c r="J779" s="37">
        <v>71721.179999999993</v>
      </c>
      <c r="K779" s="38">
        <f t="shared" si="50"/>
        <v>7.5473499024713675E-2</v>
      </c>
      <c r="L779" s="38">
        <f t="shared" si="51"/>
        <v>1.1744152899916342E-2</v>
      </c>
    </row>
    <row r="780" spans="1:12">
      <c r="A780" s="35">
        <v>43479</v>
      </c>
      <c r="B780" s="37">
        <v>700.9</v>
      </c>
      <c r="C780" s="37">
        <v>36318.33</v>
      </c>
      <c r="D780" s="38">
        <f t="shared" si="48"/>
        <v>3.5942080260425689E-2</v>
      </c>
      <c r="E780" s="38">
        <f t="shared" si="49"/>
        <v>8.1498223741667322E-5</v>
      </c>
      <c r="H780" s="35">
        <v>45303</v>
      </c>
      <c r="I780" s="37">
        <v>1612.2</v>
      </c>
      <c r="J780" s="37">
        <v>72568.45</v>
      </c>
      <c r="K780" s="38">
        <f t="shared" si="50"/>
        <v>2.4386969231422858E-2</v>
      </c>
      <c r="L780" s="38">
        <f t="shared" si="51"/>
        <v>1.041145515132442E-2</v>
      </c>
    </row>
    <row r="781" spans="1:12">
      <c r="A781" s="35">
        <v>43480</v>
      </c>
      <c r="B781" s="37">
        <v>726.55</v>
      </c>
      <c r="C781" s="37">
        <v>36321.29</v>
      </c>
      <c r="D781" s="38">
        <f t="shared" si="48"/>
        <v>1.3669818494242387E-2</v>
      </c>
      <c r="E781" s="38">
        <f t="shared" si="49"/>
        <v>1.4523623520841383E-3</v>
      </c>
      <c r="H781" s="35">
        <v>45306</v>
      </c>
      <c r="I781" s="37">
        <v>1652</v>
      </c>
      <c r="J781" s="37">
        <v>73327.94</v>
      </c>
      <c r="K781" s="38">
        <f t="shared" si="50"/>
        <v>-1.2824007969055144E-2</v>
      </c>
      <c r="L781" s="38">
        <f t="shared" si="51"/>
        <v>-2.7198497464726852E-3</v>
      </c>
    </row>
    <row r="782" spans="1:12">
      <c r="A782" s="35">
        <v>43481</v>
      </c>
      <c r="B782" s="37">
        <v>736.55</v>
      </c>
      <c r="C782" s="37">
        <v>36374.080000000002</v>
      </c>
      <c r="D782" s="38">
        <f t="shared" si="48"/>
        <v>-4.2858666237216292E-3</v>
      </c>
      <c r="E782" s="38">
        <f t="shared" si="49"/>
        <v>3.4441674821560043E-4</v>
      </c>
      <c r="H782" s="35">
        <v>45307</v>
      </c>
      <c r="I782" s="37">
        <v>1630.95</v>
      </c>
      <c r="J782" s="37">
        <v>73128.77</v>
      </c>
      <c r="K782" s="38">
        <f t="shared" si="50"/>
        <v>5.47259723753191E-3</v>
      </c>
      <c r="L782" s="38">
        <f t="shared" si="51"/>
        <v>-2.2513780764534256E-2</v>
      </c>
    </row>
    <row r="783" spans="1:12">
      <c r="A783" s="35">
        <v>43482</v>
      </c>
      <c r="B783" s="37">
        <v>733.4</v>
      </c>
      <c r="C783" s="37">
        <v>36386.61</v>
      </c>
      <c r="D783" s="38">
        <f t="shared" si="48"/>
        <v>-3.2777958874470512E-3</v>
      </c>
      <c r="E783" s="38">
        <f t="shared" si="49"/>
        <v>5.2723618982311688E-3</v>
      </c>
      <c r="H783" s="35">
        <v>45308</v>
      </c>
      <c r="I783" s="37">
        <v>1639.9</v>
      </c>
      <c r="J783" s="37">
        <v>71500.759999999995</v>
      </c>
      <c r="K783" s="38">
        <f t="shared" si="50"/>
        <v>1.6450879566917793E-3</v>
      </c>
      <c r="L783" s="38">
        <f t="shared" si="51"/>
        <v>-4.3998281895180121E-3</v>
      </c>
    </row>
    <row r="784" spans="1:12">
      <c r="A784" s="35">
        <v>43483</v>
      </c>
      <c r="B784" s="37">
        <v>731</v>
      </c>
      <c r="C784" s="37">
        <v>36578.959999999999</v>
      </c>
      <c r="D784" s="38">
        <f t="shared" si="48"/>
        <v>1.5946054592938508E-2</v>
      </c>
      <c r="E784" s="38">
        <f t="shared" si="49"/>
        <v>-3.6788148348462987E-3</v>
      </c>
      <c r="H784" s="35">
        <v>45309</v>
      </c>
      <c r="I784" s="37">
        <v>1642.6</v>
      </c>
      <c r="J784" s="37">
        <v>71186.86</v>
      </c>
      <c r="K784" s="38">
        <f t="shared" si="50"/>
        <v>9.9045197924411132E-3</v>
      </c>
      <c r="L784" s="38">
        <f t="shared" si="51"/>
        <v>6.9485782107878893E-3</v>
      </c>
    </row>
    <row r="785" spans="1:12">
      <c r="A785" s="35">
        <v>43486</v>
      </c>
      <c r="B785" s="37">
        <v>742.75</v>
      </c>
      <c r="C785" s="37">
        <v>36444.639999999999</v>
      </c>
      <c r="D785" s="38">
        <f t="shared" si="48"/>
        <v>2.1518399803491712E-3</v>
      </c>
      <c r="E785" s="38">
        <f t="shared" si="49"/>
        <v>-9.2669330299547468E-3</v>
      </c>
      <c r="H785" s="35">
        <v>45310</v>
      </c>
      <c r="I785" s="37">
        <v>1658.95</v>
      </c>
      <c r="J785" s="37">
        <v>71683.23</v>
      </c>
      <c r="K785" s="38">
        <f t="shared" si="50"/>
        <v>-6.1674470670087262E-3</v>
      </c>
      <c r="L785" s="38">
        <f t="shared" si="51"/>
        <v>-3.6277820422056044E-3</v>
      </c>
    </row>
    <row r="786" spans="1:12">
      <c r="A786" s="35">
        <v>43487</v>
      </c>
      <c r="B786" s="37">
        <v>744.35</v>
      </c>
      <c r="C786" s="37">
        <v>36108.47</v>
      </c>
      <c r="D786" s="38">
        <f t="shared" si="48"/>
        <v>-1.7482488898971107E-2</v>
      </c>
      <c r="E786" s="38">
        <f t="shared" si="49"/>
        <v>2.3962866965993898E-3</v>
      </c>
      <c r="H786" s="35">
        <v>45311</v>
      </c>
      <c r="I786" s="37">
        <v>1648.75</v>
      </c>
      <c r="J786" s="37">
        <v>71423.649999999994</v>
      </c>
      <c r="K786" s="38">
        <f t="shared" si="50"/>
        <v>-3.9806187568359559E-3</v>
      </c>
      <c r="L786" s="38">
        <f t="shared" si="51"/>
        <v>-1.4854195214640591E-2</v>
      </c>
    </row>
    <row r="787" spans="1:12">
      <c r="A787" s="35">
        <v>43488</v>
      </c>
      <c r="B787" s="37">
        <v>731.45</v>
      </c>
      <c r="C787" s="37">
        <v>36195.1</v>
      </c>
      <c r="D787" s="38">
        <f t="shared" si="48"/>
        <v>1.8439479358253689E-3</v>
      </c>
      <c r="E787" s="38">
        <f t="shared" si="49"/>
        <v>-4.6956191900262116E-3</v>
      </c>
      <c r="H787" s="35">
        <v>45314</v>
      </c>
      <c r="I787" s="37">
        <v>1642.2</v>
      </c>
      <c r="J787" s="37">
        <v>70370.55</v>
      </c>
      <c r="K787" s="38">
        <f t="shared" si="50"/>
        <v>1.947780695957094E-2</v>
      </c>
      <c r="L787" s="38">
        <f t="shared" si="51"/>
        <v>9.7541013153960143E-3</v>
      </c>
    </row>
    <row r="788" spans="1:12">
      <c r="A788" s="35">
        <v>43489</v>
      </c>
      <c r="B788" s="37">
        <v>732.8</v>
      </c>
      <c r="C788" s="37">
        <v>36025.54</v>
      </c>
      <c r="D788" s="38">
        <f t="shared" si="48"/>
        <v>-3.5543441383839398E-3</v>
      </c>
      <c r="E788" s="38">
        <f t="shared" si="49"/>
        <v>-1.0291063872768E-2</v>
      </c>
      <c r="H788" s="35">
        <v>45315</v>
      </c>
      <c r="I788" s="37">
        <v>1674.5</v>
      </c>
      <c r="J788" s="37">
        <v>71060.31</v>
      </c>
      <c r="K788" s="38">
        <f t="shared" si="50"/>
        <v>-2.2120596112390149E-3</v>
      </c>
      <c r="L788" s="38">
        <f t="shared" si="51"/>
        <v>-5.0739035743440986E-3</v>
      </c>
    </row>
    <row r="789" spans="1:12">
      <c r="A789" s="35">
        <v>43490</v>
      </c>
      <c r="B789" s="37">
        <v>730.2</v>
      </c>
      <c r="C789" s="37">
        <v>35656.699999999997</v>
      </c>
      <c r="D789" s="38">
        <f t="shared" si="48"/>
        <v>-2.7427334802034445E-3</v>
      </c>
      <c r="E789" s="38">
        <f t="shared" si="49"/>
        <v>-1.8021259852733433E-3</v>
      </c>
      <c r="H789" s="35">
        <v>45316</v>
      </c>
      <c r="I789" s="37">
        <v>1670.8</v>
      </c>
      <c r="J789" s="37">
        <v>70700.67</v>
      </c>
      <c r="K789" s="38">
        <f t="shared" si="50"/>
        <v>-8.9578859745816242E-3</v>
      </c>
      <c r="L789" s="38">
        <f t="shared" si="51"/>
        <v>1.7399212251775192E-2</v>
      </c>
    </row>
    <row r="790" spans="1:12">
      <c r="A790" s="35">
        <v>43493</v>
      </c>
      <c r="B790" s="37">
        <v>728.2</v>
      </c>
      <c r="C790" s="37">
        <v>35592.5</v>
      </c>
      <c r="D790" s="38">
        <f t="shared" si="48"/>
        <v>-1.167943521862128E-3</v>
      </c>
      <c r="E790" s="38">
        <f t="shared" si="49"/>
        <v>-3.5120375089265484E-5</v>
      </c>
      <c r="H790" s="35">
        <v>45320</v>
      </c>
      <c r="I790" s="37">
        <v>1655.9</v>
      </c>
      <c r="J790" s="37">
        <v>71941.570000000007</v>
      </c>
      <c r="K790" s="38">
        <f t="shared" si="50"/>
        <v>-3.0846487700119099E-3</v>
      </c>
      <c r="L790" s="38">
        <f t="shared" si="51"/>
        <v>-1.1205900930972618E-2</v>
      </c>
    </row>
    <row r="791" spans="1:12">
      <c r="A791" s="35">
        <v>43494</v>
      </c>
      <c r="B791" s="37">
        <v>727.35</v>
      </c>
      <c r="C791" s="37">
        <v>35591.25</v>
      </c>
      <c r="D791" s="38">
        <f t="shared" si="48"/>
        <v>-3.4430553225644513E-3</v>
      </c>
      <c r="E791" s="38">
        <f t="shared" si="49"/>
        <v>1.8524094866572756E-2</v>
      </c>
      <c r="H791" s="35">
        <v>45321</v>
      </c>
      <c r="I791" s="37">
        <v>1650.8</v>
      </c>
      <c r="J791" s="37">
        <v>71139.899999999994</v>
      </c>
      <c r="K791" s="38">
        <f t="shared" si="50"/>
        <v>6.8218441986375739E-3</v>
      </c>
      <c r="L791" s="38">
        <f t="shared" si="51"/>
        <v>8.5689010324606508E-3</v>
      </c>
    </row>
    <row r="792" spans="1:12">
      <c r="A792" s="35">
        <v>43495</v>
      </c>
      <c r="B792" s="37">
        <v>724.85</v>
      </c>
      <c r="C792" s="37">
        <v>36256.69</v>
      </c>
      <c r="D792" s="38">
        <f t="shared" si="48"/>
        <v>3.3574994027306015E-2</v>
      </c>
      <c r="E792" s="38">
        <f t="shared" si="49"/>
        <v>5.8504594168597174E-3</v>
      </c>
      <c r="H792" s="35">
        <v>45322</v>
      </c>
      <c r="I792" s="37">
        <v>1662.1</v>
      </c>
      <c r="J792" s="37">
        <v>71752.11</v>
      </c>
      <c r="K792" s="38">
        <f t="shared" si="50"/>
        <v>-3.4051049158148293E-3</v>
      </c>
      <c r="L792" s="38">
        <f t="shared" si="51"/>
        <v>-1.4897064005960515E-3</v>
      </c>
    </row>
    <row r="793" spans="1:12">
      <c r="A793" s="35">
        <v>43496</v>
      </c>
      <c r="B793" s="37">
        <v>749.6</v>
      </c>
      <c r="C793" s="37">
        <v>36469.43</v>
      </c>
      <c r="D793" s="38">
        <f t="shared" si="48"/>
        <v>9.2288939733671457E-3</v>
      </c>
      <c r="E793" s="38">
        <f t="shared" si="49"/>
        <v>3.102169062724207E-3</v>
      </c>
      <c r="H793" s="35">
        <v>45323</v>
      </c>
      <c r="I793" s="37">
        <v>1656.45</v>
      </c>
      <c r="J793" s="37">
        <v>71645.3</v>
      </c>
      <c r="K793" s="38">
        <f t="shared" si="50"/>
        <v>2.2327286314340354E-2</v>
      </c>
      <c r="L793" s="38">
        <f t="shared" si="51"/>
        <v>6.1271624357531551E-3</v>
      </c>
    </row>
    <row r="794" spans="1:12">
      <c r="A794" s="35">
        <v>43497</v>
      </c>
      <c r="B794" s="37">
        <v>756.55</v>
      </c>
      <c r="C794" s="37">
        <v>36582.74</v>
      </c>
      <c r="D794" s="38">
        <f t="shared" si="48"/>
        <v>-1.1903188814500493E-3</v>
      </c>
      <c r="E794" s="38">
        <f t="shared" si="49"/>
        <v>9.3088010678328255E-4</v>
      </c>
      <c r="H794" s="35">
        <v>45324</v>
      </c>
      <c r="I794" s="37">
        <v>1693.85</v>
      </c>
      <c r="J794" s="37">
        <v>72085.63</v>
      </c>
      <c r="K794" s="38">
        <f t="shared" si="50"/>
        <v>-4.2004439680550726E-3</v>
      </c>
      <c r="L794" s="38">
        <f t="shared" si="51"/>
        <v>-4.9258515066568243E-3</v>
      </c>
    </row>
    <row r="795" spans="1:12">
      <c r="A795" s="35">
        <v>43500</v>
      </c>
      <c r="B795" s="37">
        <v>755.65</v>
      </c>
      <c r="C795" s="37">
        <v>36616.81</v>
      </c>
      <c r="D795" s="38">
        <f t="shared" si="48"/>
        <v>-1.8544279769591354E-3</v>
      </c>
      <c r="E795" s="38">
        <f t="shared" si="49"/>
        <v>9.7408044131044921E-3</v>
      </c>
      <c r="H795" s="35">
        <v>45327</v>
      </c>
      <c r="I795" s="37">
        <v>1686.75</v>
      </c>
      <c r="J795" s="37">
        <v>71731.42</v>
      </c>
      <c r="K795" s="38">
        <f t="shared" si="50"/>
        <v>2.4884187973159434E-2</v>
      </c>
      <c r="L795" s="38">
        <f t="shared" si="51"/>
        <v>6.3185016564799839E-3</v>
      </c>
    </row>
    <row r="796" spans="1:12">
      <c r="A796" s="35">
        <v>43501</v>
      </c>
      <c r="B796" s="37">
        <v>754.25</v>
      </c>
      <c r="C796" s="37">
        <v>36975.230000000003</v>
      </c>
      <c r="D796" s="38">
        <f t="shared" si="48"/>
        <v>1.1075332406771735E-2</v>
      </c>
      <c r="E796" s="38">
        <f t="shared" si="49"/>
        <v>-1.1197311791396176E-4</v>
      </c>
      <c r="H796" s="35">
        <v>45328</v>
      </c>
      <c r="I796" s="37">
        <v>1729.25</v>
      </c>
      <c r="J796" s="37">
        <v>72186.09</v>
      </c>
      <c r="K796" s="38">
        <f t="shared" si="50"/>
        <v>-2.0772303583618503E-2</v>
      </c>
      <c r="L796" s="38">
        <f t="shared" si="51"/>
        <v>-4.7236319441204257E-4</v>
      </c>
    </row>
    <row r="797" spans="1:12">
      <c r="A797" s="35">
        <v>43502</v>
      </c>
      <c r="B797" s="37">
        <v>762.65</v>
      </c>
      <c r="C797" s="37">
        <v>36971.089999999997</v>
      </c>
      <c r="D797" s="38">
        <f t="shared" si="48"/>
        <v>9.1743125700930524E-4</v>
      </c>
      <c r="E797" s="38">
        <f t="shared" si="49"/>
        <v>-1.1551380750327927E-2</v>
      </c>
      <c r="H797" s="35">
        <v>45329</v>
      </c>
      <c r="I797" s="37">
        <v>1693.7</v>
      </c>
      <c r="J797" s="37">
        <v>72152</v>
      </c>
      <c r="K797" s="38">
        <f t="shared" si="50"/>
        <v>-2.9525525030693768E-4</v>
      </c>
      <c r="L797" s="38">
        <f t="shared" si="51"/>
        <v>-1.0079035498488948E-2</v>
      </c>
    </row>
    <row r="798" spans="1:12">
      <c r="A798" s="35">
        <v>43503</v>
      </c>
      <c r="B798" s="37">
        <v>763.35</v>
      </c>
      <c r="C798" s="37">
        <v>36546.480000000003</v>
      </c>
      <c r="D798" s="38">
        <f t="shared" si="48"/>
        <v>-4.5955963233372281E-3</v>
      </c>
      <c r="E798" s="38">
        <f t="shared" si="49"/>
        <v>-4.1526482695448987E-3</v>
      </c>
      <c r="H798" s="35">
        <v>45330</v>
      </c>
      <c r="I798" s="37">
        <v>1693.2</v>
      </c>
      <c r="J798" s="37">
        <v>71428.429999999993</v>
      </c>
      <c r="K798" s="38">
        <f t="shared" si="50"/>
        <v>-1.4006206039424086E-2</v>
      </c>
      <c r="L798" s="38">
        <f t="shared" si="51"/>
        <v>2.3361137909867192E-3</v>
      </c>
    </row>
    <row r="799" spans="1:12">
      <c r="A799" s="35">
        <v>43504</v>
      </c>
      <c r="B799" s="37">
        <v>759.85</v>
      </c>
      <c r="C799" s="37">
        <v>36395.03</v>
      </c>
      <c r="D799" s="38">
        <f t="shared" si="48"/>
        <v>2.3004380975413445E-3</v>
      </c>
      <c r="E799" s="38">
        <f t="shared" si="49"/>
        <v>-6.655144955078067E-3</v>
      </c>
      <c r="H799" s="35">
        <v>45331</v>
      </c>
      <c r="I799" s="37">
        <v>1669.65</v>
      </c>
      <c r="J799" s="37">
        <v>71595.490000000005</v>
      </c>
      <c r="K799" s="38">
        <f t="shared" si="50"/>
        <v>6.0607150841820862E-3</v>
      </c>
      <c r="L799" s="38">
        <f t="shared" si="51"/>
        <v>-7.3317410507249192E-3</v>
      </c>
    </row>
    <row r="800" spans="1:12">
      <c r="A800" s="35">
        <v>43507</v>
      </c>
      <c r="B800" s="37">
        <v>761.6</v>
      </c>
      <c r="C800" s="37">
        <v>36153.620000000003</v>
      </c>
      <c r="D800" s="38">
        <f t="shared" si="48"/>
        <v>-1.4815085785140699E-2</v>
      </c>
      <c r="E800" s="38">
        <f t="shared" si="49"/>
        <v>-3.311092042529037E-3</v>
      </c>
      <c r="H800" s="35">
        <v>45334</v>
      </c>
      <c r="I800" s="37">
        <v>1679.8</v>
      </c>
      <c r="J800" s="37">
        <v>71072.490000000005</v>
      </c>
      <c r="K800" s="38">
        <f t="shared" si="50"/>
        <v>2.8534081897365793E-3</v>
      </c>
      <c r="L800" s="38">
        <f t="shared" si="51"/>
        <v>6.7686979542527755E-3</v>
      </c>
    </row>
    <row r="801" spans="1:12">
      <c r="A801" s="35">
        <v>43508</v>
      </c>
      <c r="B801" s="37">
        <v>750.4</v>
      </c>
      <c r="C801" s="37">
        <v>36034.11</v>
      </c>
      <c r="D801" s="38">
        <f t="shared" si="48"/>
        <v>6.0451241984637695E-3</v>
      </c>
      <c r="E801" s="38">
        <f t="shared" si="49"/>
        <v>-4.39130939112258E-3</v>
      </c>
      <c r="H801" s="35">
        <v>45335</v>
      </c>
      <c r="I801" s="37">
        <v>1684.6</v>
      </c>
      <c r="J801" s="37">
        <v>71555.19</v>
      </c>
      <c r="K801" s="38">
        <f t="shared" si="50"/>
        <v>-1.110260315447523E-2</v>
      </c>
      <c r="L801" s="38">
        <f t="shared" si="51"/>
        <v>3.7333520279041344E-3</v>
      </c>
    </row>
    <row r="802" spans="1:12">
      <c r="A802" s="35">
        <v>43509</v>
      </c>
      <c r="B802" s="37">
        <v>754.95</v>
      </c>
      <c r="C802" s="37">
        <v>35876.22</v>
      </c>
      <c r="D802" s="38">
        <f t="shared" si="48"/>
        <v>-2.0271642492125218E-2</v>
      </c>
      <c r="E802" s="38">
        <f t="shared" si="49"/>
        <v>-1.876818308340621E-3</v>
      </c>
      <c r="H802" s="35">
        <v>45336</v>
      </c>
      <c r="I802" s="37">
        <v>1666</v>
      </c>
      <c r="J802" s="37">
        <v>71822.83</v>
      </c>
      <c r="K802" s="38">
        <f t="shared" si="50"/>
        <v>6.9386568609220416E-3</v>
      </c>
      <c r="L802" s="38">
        <f t="shared" si="51"/>
        <v>3.1632044594840075E-3</v>
      </c>
    </row>
    <row r="803" spans="1:12">
      <c r="A803" s="35">
        <v>43510</v>
      </c>
      <c r="B803" s="37">
        <v>739.8</v>
      </c>
      <c r="C803" s="37">
        <v>35808.949999999997</v>
      </c>
      <c r="D803" s="38">
        <f t="shared" si="48"/>
        <v>2.6323797725776887E-3</v>
      </c>
      <c r="E803" s="38">
        <f t="shared" si="49"/>
        <v>-8.7091103080145903E-3</v>
      </c>
      <c r="H803" s="35">
        <v>45337</v>
      </c>
      <c r="I803" s="37">
        <v>1677.6</v>
      </c>
      <c r="J803" s="37">
        <v>72050.38</v>
      </c>
      <c r="K803" s="38">
        <f t="shared" si="50"/>
        <v>1.4674819559615252E-2</v>
      </c>
      <c r="L803" s="38">
        <f t="shared" si="51"/>
        <v>5.2085909668204691E-3</v>
      </c>
    </row>
    <row r="804" spans="1:12">
      <c r="A804" s="35">
        <v>43511</v>
      </c>
      <c r="B804" s="37">
        <v>741.75</v>
      </c>
      <c r="C804" s="37">
        <v>35498.44</v>
      </c>
      <c r="D804" s="38">
        <f t="shared" si="48"/>
        <v>-2.2269469675104889E-3</v>
      </c>
      <c r="E804" s="38">
        <f t="shared" si="49"/>
        <v>-4.1165291391990462E-3</v>
      </c>
      <c r="H804" s="35">
        <v>45338</v>
      </c>
      <c r="I804" s="37">
        <v>1702.4</v>
      </c>
      <c r="J804" s="37">
        <v>72426.64</v>
      </c>
      <c r="K804" s="38">
        <f t="shared" si="50"/>
        <v>-1.7343508617134477E-3</v>
      </c>
      <c r="L804" s="38">
        <f t="shared" si="51"/>
        <v>3.8794328179443194E-3</v>
      </c>
    </row>
    <row r="805" spans="1:12">
      <c r="A805" s="35">
        <v>43514</v>
      </c>
      <c r="B805" s="37">
        <v>740.1</v>
      </c>
      <c r="C805" s="37">
        <v>35352.61</v>
      </c>
      <c r="D805" s="38">
        <f t="shared" si="48"/>
        <v>-2.0406782197161667E-2</v>
      </c>
      <c r="E805" s="38">
        <f t="shared" si="49"/>
        <v>1.1353135991400715E-2</v>
      </c>
      <c r="H805" s="35">
        <v>45341</v>
      </c>
      <c r="I805" s="37">
        <v>1699.45</v>
      </c>
      <c r="J805" s="37">
        <v>72708.160000000003</v>
      </c>
      <c r="K805" s="38">
        <f t="shared" si="50"/>
        <v>-9.0436838159560131E-3</v>
      </c>
      <c r="L805" s="38">
        <f t="shared" si="51"/>
        <v>4.7918132136997122E-3</v>
      </c>
    </row>
    <row r="806" spans="1:12">
      <c r="A806" s="35">
        <v>43515</v>
      </c>
      <c r="B806" s="37">
        <v>725.15</v>
      </c>
      <c r="C806" s="37">
        <v>35756.26</v>
      </c>
      <c r="D806" s="38">
        <f t="shared" si="48"/>
        <v>2.0339221476938608E-2</v>
      </c>
      <c r="E806" s="38">
        <f t="shared" si="49"/>
        <v>3.9659747291595259E-3</v>
      </c>
      <c r="H806" s="35">
        <v>45342</v>
      </c>
      <c r="I806" s="37">
        <v>1684.15</v>
      </c>
      <c r="J806" s="37">
        <v>73057.399999999994</v>
      </c>
      <c r="K806" s="38">
        <f t="shared" si="50"/>
        <v>-1.6825736743542447E-2</v>
      </c>
      <c r="L806" s="38">
        <f t="shared" si="51"/>
        <v>-5.9625182026963588E-3</v>
      </c>
    </row>
    <row r="807" spans="1:12">
      <c r="A807" s="35">
        <v>43516</v>
      </c>
      <c r="B807" s="37">
        <v>740.05</v>
      </c>
      <c r="C807" s="37">
        <v>35898.35</v>
      </c>
      <c r="D807" s="38">
        <f t="shared" si="48"/>
        <v>-9.0946737904334003E-3</v>
      </c>
      <c r="E807" s="38">
        <f t="shared" si="49"/>
        <v>-7.4878263625371099E-4</v>
      </c>
      <c r="H807" s="35">
        <v>45343</v>
      </c>
      <c r="I807" s="37">
        <v>1656.05</v>
      </c>
      <c r="J807" s="37">
        <v>72623.09</v>
      </c>
      <c r="K807" s="38">
        <f t="shared" si="50"/>
        <v>1.450734312396198E-2</v>
      </c>
      <c r="L807" s="38">
        <f t="shared" si="51"/>
        <v>7.3418510290321811E-3</v>
      </c>
    </row>
    <row r="808" spans="1:12">
      <c r="A808" s="35">
        <v>43517</v>
      </c>
      <c r="B808" s="37">
        <v>733.35</v>
      </c>
      <c r="C808" s="37">
        <v>35871.480000000003</v>
      </c>
      <c r="D808" s="38">
        <f t="shared" si="48"/>
        <v>0</v>
      </c>
      <c r="E808" s="38">
        <f t="shared" si="49"/>
        <v>9.4861130022851434E-3</v>
      </c>
      <c r="H808" s="35">
        <v>45344</v>
      </c>
      <c r="I808" s="37">
        <v>1680.25</v>
      </c>
      <c r="J808" s="37">
        <v>73158.240000000005</v>
      </c>
      <c r="K808" s="38">
        <f t="shared" si="50"/>
        <v>-1.9361090268664404E-3</v>
      </c>
      <c r="L808" s="38">
        <f t="shared" si="51"/>
        <v>-2.1107163773173055E-4</v>
      </c>
    </row>
    <row r="809" spans="1:12">
      <c r="A809" s="35">
        <v>43518</v>
      </c>
      <c r="B809" s="37">
        <v>733.35</v>
      </c>
      <c r="C809" s="37">
        <v>36213.379999999997</v>
      </c>
      <c r="D809" s="38">
        <f t="shared" si="48"/>
        <v>2.8962212452814769E-2</v>
      </c>
      <c r="E809" s="38">
        <f t="shared" si="49"/>
        <v>-6.6402699056154766E-3</v>
      </c>
      <c r="H809" s="35">
        <v>45345</v>
      </c>
      <c r="I809" s="37">
        <v>1677</v>
      </c>
      <c r="J809" s="37">
        <v>73142.8</v>
      </c>
      <c r="K809" s="38">
        <f t="shared" si="50"/>
        <v>-1.1002464354298233E-2</v>
      </c>
      <c r="L809" s="38">
        <f t="shared" si="51"/>
        <v>-4.8333256457077627E-3</v>
      </c>
    </row>
    <row r="810" spans="1:12">
      <c r="A810" s="35">
        <v>43521</v>
      </c>
      <c r="B810" s="37">
        <v>754.9</v>
      </c>
      <c r="C810" s="37">
        <v>35973.71</v>
      </c>
      <c r="D810" s="38">
        <f t="shared" si="48"/>
        <v>-1.7640441403066635E-2</v>
      </c>
      <c r="E810" s="38">
        <f t="shared" si="49"/>
        <v>-1.8998563571515105E-3</v>
      </c>
      <c r="H810" s="35">
        <v>45348</v>
      </c>
      <c r="I810" s="37">
        <v>1658.65</v>
      </c>
      <c r="J810" s="37">
        <v>72790.13</v>
      </c>
      <c r="K810" s="38">
        <f t="shared" si="50"/>
        <v>3.6709435218209969E-3</v>
      </c>
      <c r="L810" s="38">
        <f t="shared" si="51"/>
        <v>4.182605652659049E-3</v>
      </c>
    </row>
    <row r="811" spans="1:12">
      <c r="A811" s="35">
        <v>43522</v>
      </c>
      <c r="B811" s="37">
        <v>741.7</v>
      </c>
      <c r="C811" s="37">
        <v>35905.43</v>
      </c>
      <c r="D811" s="38">
        <f t="shared" si="48"/>
        <v>-9.4825961162806286E-3</v>
      </c>
      <c r="E811" s="38">
        <f t="shared" si="49"/>
        <v>-1.0586173730506763E-3</v>
      </c>
      <c r="H811" s="35">
        <v>45349</v>
      </c>
      <c r="I811" s="37">
        <v>1664.75</v>
      </c>
      <c r="J811" s="37">
        <v>73095.22</v>
      </c>
      <c r="K811" s="38">
        <f t="shared" si="50"/>
        <v>3.2085428668399405E-3</v>
      </c>
      <c r="L811" s="38">
        <f t="shared" si="51"/>
        <v>-1.0871351311725373E-2</v>
      </c>
    </row>
    <row r="812" spans="1:12">
      <c r="A812" s="35">
        <v>43523</v>
      </c>
      <c r="B812" s="37">
        <v>734.7</v>
      </c>
      <c r="C812" s="37">
        <v>35867.440000000002</v>
      </c>
      <c r="D812" s="38">
        <f t="shared" si="48"/>
        <v>-1.021346222989529E-3</v>
      </c>
      <c r="E812" s="38">
        <f t="shared" si="49"/>
        <v>5.459949266352928E-3</v>
      </c>
      <c r="H812" s="35">
        <v>45350</v>
      </c>
      <c r="I812" s="37">
        <v>1670.1</v>
      </c>
      <c r="J812" s="37">
        <v>72304.88</v>
      </c>
      <c r="K812" s="38">
        <f t="shared" si="50"/>
        <v>2.9595107023391168E-3</v>
      </c>
      <c r="L812" s="38">
        <f t="shared" si="51"/>
        <v>2.6990763539870006E-3</v>
      </c>
    </row>
    <row r="813" spans="1:12">
      <c r="A813" s="35">
        <v>43524</v>
      </c>
      <c r="B813" s="37">
        <v>733.95</v>
      </c>
      <c r="C813" s="37">
        <v>36063.81</v>
      </c>
      <c r="D813" s="38">
        <f t="shared" si="48"/>
        <v>9.7621275566263654E-3</v>
      </c>
      <c r="E813" s="38">
        <f t="shared" si="49"/>
        <v>1.0446904153190929E-2</v>
      </c>
      <c r="H813" s="35">
        <v>45351</v>
      </c>
      <c r="I813" s="37">
        <v>1675.05</v>
      </c>
      <c r="J813" s="37">
        <v>72500.3</v>
      </c>
      <c r="K813" s="38">
        <f t="shared" si="50"/>
        <v>-1.2011795724742626E-2</v>
      </c>
      <c r="L813" s="38">
        <f t="shared" si="51"/>
        <v>1.702724260158095E-2</v>
      </c>
    </row>
    <row r="814" spans="1:12">
      <c r="A814" s="35">
        <v>43525</v>
      </c>
      <c r="B814" s="37">
        <v>741.15</v>
      </c>
      <c r="C814" s="37">
        <v>36442.54</v>
      </c>
      <c r="D814" s="38">
        <f t="shared" si="48"/>
        <v>-1.1603183615154666E-2</v>
      </c>
      <c r="E814" s="38">
        <f t="shared" si="49"/>
        <v>5.2973195076782189E-3</v>
      </c>
      <c r="H814" s="35">
        <v>45352</v>
      </c>
      <c r="I814" s="37">
        <v>1655.05</v>
      </c>
      <c r="J814" s="37">
        <v>73745.350000000006</v>
      </c>
      <c r="K814" s="38">
        <f t="shared" si="50"/>
        <v>9.0627596165200998E-5</v>
      </c>
      <c r="L814" s="38">
        <f t="shared" si="51"/>
        <v>8.2411908304738852E-4</v>
      </c>
    </row>
    <row r="815" spans="1:12">
      <c r="A815" s="35">
        <v>43529</v>
      </c>
      <c r="B815" s="37">
        <v>732.6</v>
      </c>
      <c r="C815" s="37">
        <v>36636.1</v>
      </c>
      <c r="D815" s="38">
        <f t="shared" si="48"/>
        <v>-5.4614965857813279E-4</v>
      </c>
      <c r="E815" s="38">
        <f t="shared" si="49"/>
        <v>2.4350652531616506E-3</v>
      </c>
      <c r="H815" s="35">
        <v>45353</v>
      </c>
      <c r="I815" s="37">
        <v>1655.2</v>
      </c>
      <c r="J815" s="37">
        <v>73806.149999999994</v>
      </c>
      <c r="K815" s="38">
        <f t="shared" si="50"/>
        <v>-1.0537441303148426E-2</v>
      </c>
      <c r="L815" s="38">
        <f t="shared" si="51"/>
        <v>8.95729998531847E-4</v>
      </c>
    </row>
    <row r="816" spans="1:12">
      <c r="A816" s="35">
        <v>43530</v>
      </c>
      <c r="B816" s="37">
        <v>732.2</v>
      </c>
      <c r="C816" s="37">
        <v>36725.42</v>
      </c>
      <c r="D816" s="38">
        <f t="shared" si="48"/>
        <v>-1.2298756829891422E-2</v>
      </c>
      <c r="E816" s="38">
        <f t="shared" si="49"/>
        <v>-1.4711805680452988E-3</v>
      </c>
      <c r="H816" s="35">
        <v>45355</v>
      </c>
      <c r="I816" s="37">
        <v>1637.85</v>
      </c>
      <c r="J816" s="37">
        <v>73872.289999999994</v>
      </c>
      <c r="K816" s="38">
        <f t="shared" si="50"/>
        <v>-1.9513265373823072E-2</v>
      </c>
      <c r="L816" s="38">
        <f t="shared" si="51"/>
        <v>-2.6453525037101852E-3</v>
      </c>
    </row>
    <row r="817" spans="1:12">
      <c r="A817" s="35">
        <v>43531</v>
      </c>
      <c r="B817" s="37">
        <v>723.25</v>
      </c>
      <c r="C817" s="37">
        <v>36671.43</v>
      </c>
      <c r="D817" s="38">
        <f t="shared" si="48"/>
        <v>-1.4904858737023349E-2</v>
      </c>
      <c r="E817" s="38">
        <f t="shared" si="49"/>
        <v>1.0381029110384883E-2</v>
      </c>
      <c r="H817" s="35">
        <v>45356</v>
      </c>
      <c r="I817" s="37">
        <v>1606.2</v>
      </c>
      <c r="J817" s="37">
        <v>73677.13</v>
      </c>
      <c r="K817" s="38">
        <f t="shared" si="50"/>
        <v>6.8869513713707481E-3</v>
      </c>
      <c r="L817" s="38">
        <f t="shared" si="51"/>
        <v>5.5340066378143484E-3</v>
      </c>
    </row>
    <row r="818" spans="1:12">
      <c r="A818" s="35">
        <v>43532</v>
      </c>
      <c r="B818" s="37">
        <v>712.55</v>
      </c>
      <c r="C818" s="37">
        <v>37054.1</v>
      </c>
      <c r="D818" s="38">
        <f t="shared" si="48"/>
        <v>-1.2638676025868529E-3</v>
      </c>
      <c r="E818" s="38">
        <f t="shared" si="49"/>
        <v>1.2912407570881499E-2</v>
      </c>
      <c r="H818" s="35">
        <v>45357</v>
      </c>
      <c r="I818" s="37">
        <v>1617.3</v>
      </c>
      <c r="J818" s="37">
        <v>74085.990000000005</v>
      </c>
      <c r="K818" s="38">
        <f t="shared" si="50"/>
        <v>-2.1643348619689446E-4</v>
      </c>
      <c r="L818" s="38">
        <f t="shared" si="51"/>
        <v>4.507258854630576E-4</v>
      </c>
    </row>
    <row r="819" spans="1:12">
      <c r="A819" s="35">
        <v>43535</v>
      </c>
      <c r="B819" s="37">
        <v>711.65</v>
      </c>
      <c r="C819" s="37">
        <v>37535.660000000003</v>
      </c>
      <c r="D819" s="38">
        <f t="shared" si="48"/>
        <v>-6.697004339725969E-3</v>
      </c>
      <c r="E819" s="38">
        <f t="shared" si="49"/>
        <v>5.7515430276056422E-3</v>
      </c>
      <c r="H819" s="35">
        <v>45358</v>
      </c>
      <c r="I819" s="37">
        <v>1616.95</v>
      </c>
      <c r="J819" s="37">
        <v>74119.39</v>
      </c>
      <c r="K819" s="38">
        <f t="shared" si="50"/>
        <v>-1.0881838507237493E-2</v>
      </c>
      <c r="L819" s="38">
        <f t="shared" si="51"/>
        <v>-8.3558475447408301E-3</v>
      </c>
    </row>
    <row r="820" spans="1:12">
      <c r="A820" s="35">
        <v>43536</v>
      </c>
      <c r="B820" s="37">
        <v>706.9</v>
      </c>
      <c r="C820" s="37">
        <v>37752.17</v>
      </c>
      <c r="D820" s="38">
        <f t="shared" si="48"/>
        <v>3.1778565637081294E-3</v>
      </c>
      <c r="E820" s="38">
        <f t="shared" si="49"/>
        <v>7.2046243124177116E-5</v>
      </c>
      <c r="H820" s="35">
        <v>45362</v>
      </c>
      <c r="I820" s="37">
        <v>1599.45</v>
      </c>
      <c r="J820" s="37">
        <v>73502.64</v>
      </c>
      <c r="K820" s="38">
        <f t="shared" si="50"/>
        <v>7.939885717202215E-3</v>
      </c>
      <c r="L820" s="38">
        <f t="shared" si="51"/>
        <v>2.246645315525746E-3</v>
      </c>
    </row>
    <row r="821" spans="1:12">
      <c r="A821" s="35">
        <v>43537</v>
      </c>
      <c r="B821" s="37">
        <v>709.15</v>
      </c>
      <c r="C821" s="37">
        <v>37754.89</v>
      </c>
      <c r="D821" s="38">
        <f t="shared" si="48"/>
        <v>-1.1287479152565676E-3</v>
      </c>
      <c r="E821" s="38">
        <f t="shared" si="49"/>
        <v>7.1109512839684745E-3</v>
      </c>
      <c r="H821" s="35">
        <v>45363</v>
      </c>
      <c r="I821" s="37">
        <v>1612.2</v>
      </c>
      <c r="J821" s="37">
        <v>73667.960000000006</v>
      </c>
      <c r="K821" s="38">
        <f t="shared" si="50"/>
        <v>-3.101833208281748E-4</v>
      </c>
      <c r="L821" s="38">
        <f t="shared" si="51"/>
        <v>-1.2375640133173453E-2</v>
      </c>
    </row>
    <row r="822" spans="1:12">
      <c r="A822" s="35">
        <v>43538</v>
      </c>
      <c r="B822" s="37">
        <v>708.35</v>
      </c>
      <c r="C822" s="37">
        <v>38024.32</v>
      </c>
      <c r="D822" s="38">
        <f t="shared" si="48"/>
        <v>1.4714391043241503E-2</v>
      </c>
      <c r="E822" s="38">
        <f t="shared" si="49"/>
        <v>1.8589224210439411E-3</v>
      </c>
      <c r="H822" s="35">
        <v>45364</v>
      </c>
      <c r="I822" s="37">
        <v>1611.7</v>
      </c>
      <c r="J822" s="37">
        <v>72761.89</v>
      </c>
      <c r="K822" s="38">
        <f t="shared" si="50"/>
        <v>2.4969512553329458E-2</v>
      </c>
      <c r="L822" s="38">
        <f t="shared" si="51"/>
        <v>4.5988276376828629E-3</v>
      </c>
    </row>
    <row r="823" spans="1:12">
      <c r="A823" s="35">
        <v>43539</v>
      </c>
      <c r="B823" s="37">
        <v>718.85</v>
      </c>
      <c r="C823" s="37">
        <v>38095.07</v>
      </c>
      <c r="D823" s="38">
        <f t="shared" si="48"/>
        <v>-1.2739917515521004E-2</v>
      </c>
      <c r="E823" s="38">
        <f t="shared" si="49"/>
        <v>7.0208273005784201E-3</v>
      </c>
      <c r="H823" s="35">
        <v>45365</v>
      </c>
      <c r="I823" s="37">
        <v>1652.45</v>
      </c>
      <c r="J823" s="37">
        <v>73097.279999999999</v>
      </c>
      <c r="K823" s="38">
        <f t="shared" si="50"/>
        <v>-1.0677394700634949E-2</v>
      </c>
      <c r="L823" s="38">
        <f t="shared" si="51"/>
        <v>-6.228204419880156E-3</v>
      </c>
    </row>
    <row r="824" spans="1:12">
      <c r="A824" s="35">
        <v>43542</v>
      </c>
      <c r="B824" s="37">
        <v>709.75</v>
      </c>
      <c r="C824" s="37">
        <v>38363.47</v>
      </c>
      <c r="D824" s="38">
        <f t="shared" si="48"/>
        <v>1.6419582860845078E-2</v>
      </c>
      <c r="E824" s="38">
        <f t="shared" si="49"/>
        <v>6.0664323083251957E-4</v>
      </c>
      <c r="H824" s="35">
        <v>45366</v>
      </c>
      <c r="I824" s="37">
        <v>1634.9</v>
      </c>
      <c r="J824" s="37">
        <v>72643.429999999993</v>
      </c>
      <c r="K824" s="38">
        <f t="shared" si="50"/>
        <v>-2.014154336753254E-2</v>
      </c>
      <c r="L824" s="38">
        <f t="shared" si="51"/>
        <v>1.4442352614559091E-3</v>
      </c>
    </row>
    <row r="825" spans="1:12">
      <c r="A825" s="35">
        <v>43543</v>
      </c>
      <c r="B825" s="37">
        <v>721.5</v>
      </c>
      <c r="C825" s="37">
        <v>38386.75</v>
      </c>
      <c r="D825" s="38">
        <f t="shared" si="48"/>
        <v>2.3288723757508893E-2</v>
      </c>
      <c r="E825" s="38">
        <f t="shared" si="49"/>
        <v>-5.8037015548051867E-3</v>
      </c>
      <c r="H825" s="35">
        <v>45369</v>
      </c>
      <c r="I825" s="37">
        <v>1602.3</v>
      </c>
      <c r="J825" s="37">
        <v>72748.42</v>
      </c>
      <c r="K825" s="38">
        <f t="shared" si="50"/>
        <v>-2.5505056369819628E-2</v>
      </c>
      <c r="L825" s="38">
        <f t="shared" si="51"/>
        <v>-1.0173721478841552E-2</v>
      </c>
    </row>
    <row r="826" spans="1:12">
      <c r="A826" s="35">
        <v>43544</v>
      </c>
      <c r="B826" s="37">
        <v>738.5</v>
      </c>
      <c r="C826" s="37">
        <v>38164.61</v>
      </c>
      <c r="D826" s="38">
        <f t="shared" si="48"/>
        <v>4.9302770993393651E-3</v>
      </c>
      <c r="E826" s="38">
        <f t="shared" si="49"/>
        <v>-9.3638572763660652E-3</v>
      </c>
      <c r="H826" s="35">
        <v>45370</v>
      </c>
      <c r="I826" s="37">
        <v>1561.95</v>
      </c>
      <c r="J826" s="37">
        <v>72012.05</v>
      </c>
      <c r="K826" s="38">
        <f t="shared" si="50"/>
        <v>-4.7167628478954121E-3</v>
      </c>
      <c r="L826" s="38">
        <f t="shared" si="51"/>
        <v>1.2440175594695723E-3</v>
      </c>
    </row>
    <row r="827" spans="1:12">
      <c r="A827" s="35">
        <v>43546</v>
      </c>
      <c r="B827" s="37">
        <v>742.15</v>
      </c>
      <c r="C827" s="37">
        <v>37808.910000000003</v>
      </c>
      <c r="D827" s="38">
        <f t="shared" si="48"/>
        <v>-8.5930364001000001E-3</v>
      </c>
      <c r="E827" s="38">
        <f t="shared" si="49"/>
        <v>1.1164951561233535E-2</v>
      </c>
      <c r="H827" s="35">
        <v>45371</v>
      </c>
      <c r="I827" s="37">
        <v>1554.6</v>
      </c>
      <c r="J827" s="37">
        <v>72101.69</v>
      </c>
      <c r="K827" s="38">
        <f t="shared" si="50"/>
        <v>3.8587691005540105E-4</v>
      </c>
      <c r="L827" s="38">
        <f t="shared" si="51"/>
        <v>7.4546326341144494E-3</v>
      </c>
    </row>
    <row r="828" spans="1:12">
      <c r="A828" s="35">
        <v>43549</v>
      </c>
      <c r="B828" s="37">
        <v>735.8</v>
      </c>
      <c r="C828" s="37">
        <v>38233.410000000003</v>
      </c>
      <c r="D828" s="38">
        <f t="shared" si="48"/>
        <v>-1.237580323168859E-2</v>
      </c>
      <c r="E828" s="38">
        <f t="shared" si="49"/>
        <v>-2.6328386012068909E-3</v>
      </c>
      <c r="H828" s="35">
        <v>45372</v>
      </c>
      <c r="I828" s="37">
        <v>1555.2</v>
      </c>
      <c r="J828" s="37">
        <v>72641.19</v>
      </c>
      <c r="K828" s="38">
        <f t="shared" si="50"/>
        <v>-3.0256383457717771E-2</v>
      </c>
      <c r="L828" s="38">
        <f t="shared" si="51"/>
        <v>2.6224789323214251E-3</v>
      </c>
    </row>
    <row r="829" spans="1:12">
      <c r="A829" s="35">
        <v>43550</v>
      </c>
      <c r="B829" s="37">
        <v>726.75</v>
      </c>
      <c r="C829" s="37">
        <v>38132.879999999997</v>
      </c>
      <c r="D829" s="38">
        <f t="shared" si="48"/>
        <v>3.1597773233088852E-3</v>
      </c>
      <c r="E829" s="38">
        <f t="shared" si="49"/>
        <v>1.0768167107290642E-2</v>
      </c>
      <c r="H829" s="35">
        <v>45373</v>
      </c>
      <c r="I829" s="37">
        <v>1508.85</v>
      </c>
      <c r="J829" s="37">
        <v>72831.94</v>
      </c>
      <c r="K829" s="38">
        <f t="shared" si="50"/>
        <v>-1.0928706380386248E-2</v>
      </c>
      <c r="L829" s="38">
        <f t="shared" si="51"/>
        <v>-4.9777724931511095E-3</v>
      </c>
    </row>
    <row r="830" spans="1:12">
      <c r="A830" s="35">
        <v>43551</v>
      </c>
      <c r="B830" s="37">
        <v>729.05</v>
      </c>
      <c r="C830" s="37">
        <v>38545.72</v>
      </c>
      <c r="D830" s="38">
        <f t="shared" si="48"/>
        <v>1.2878785209140335E-2</v>
      </c>
      <c r="E830" s="38">
        <f t="shared" si="49"/>
        <v>3.2942857190166276E-3</v>
      </c>
      <c r="H830" s="35">
        <v>45377</v>
      </c>
      <c r="I830" s="37">
        <v>1492.45</v>
      </c>
      <c r="J830" s="37">
        <v>72470.3</v>
      </c>
      <c r="K830" s="38">
        <f t="shared" si="50"/>
        <v>-5.6105369662981458E-3</v>
      </c>
      <c r="L830" s="38">
        <f t="shared" si="51"/>
        <v>7.2320691689827495E-3</v>
      </c>
    </row>
    <row r="831" spans="1:12">
      <c r="A831" s="35">
        <v>43552</v>
      </c>
      <c r="B831" s="37">
        <v>738.5</v>
      </c>
      <c r="C831" s="37">
        <v>38672.910000000003</v>
      </c>
      <c r="D831" s="38">
        <f t="shared" si="48"/>
        <v>5.132372152066641E-3</v>
      </c>
      <c r="E831" s="38">
        <f t="shared" si="49"/>
        <v>5.1314978671380832E-3</v>
      </c>
      <c r="H831" s="35">
        <v>45378</v>
      </c>
      <c r="I831" s="37">
        <v>1484.1</v>
      </c>
      <c r="J831" s="37">
        <v>72996.31</v>
      </c>
      <c r="K831" s="38">
        <f t="shared" si="50"/>
        <v>9.8562600177596656E-3</v>
      </c>
      <c r="L831" s="38">
        <f t="shared" si="51"/>
        <v>8.9335807539530042E-3</v>
      </c>
    </row>
    <row r="832" spans="1:12">
      <c r="A832" s="35">
        <v>43553</v>
      </c>
      <c r="B832" s="37">
        <v>742.3</v>
      </c>
      <c r="C832" s="37">
        <v>38871.870000000003</v>
      </c>
      <c r="D832" s="38">
        <f t="shared" si="48"/>
        <v>1.7824831892628384E-2</v>
      </c>
      <c r="E832" s="38">
        <f t="shared" si="49"/>
        <v>4.7423034929908476E-3</v>
      </c>
      <c r="H832" s="35">
        <v>45379</v>
      </c>
      <c r="I832" s="37">
        <v>1498.8</v>
      </c>
      <c r="J832" s="37">
        <v>73651.350000000006</v>
      </c>
      <c r="K832" s="38">
        <f t="shared" si="50"/>
        <v>-2.0036071619650609E-3</v>
      </c>
      <c r="L832" s="38">
        <f t="shared" si="51"/>
        <v>4.9192228187454959E-3</v>
      </c>
    </row>
    <row r="833" spans="1:12">
      <c r="A833" s="35">
        <v>43556</v>
      </c>
      <c r="B833" s="37">
        <v>755.65</v>
      </c>
      <c r="C833" s="37">
        <v>39056.65</v>
      </c>
      <c r="D833" s="38">
        <f t="shared" si="48"/>
        <v>1.9170390931314435E-3</v>
      </c>
      <c r="E833" s="38">
        <f t="shared" si="49"/>
        <v>-4.6072535069271768E-3</v>
      </c>
      <c r="H833" s="35">
        <v>45383</v>
      </c>
      <c r="I833" s="37">
        <v>1495.8</v>
      </c>
      <c r="J833" s="37">
        <v>74014.55</v>
      </c>
      <c r="K833" s="38">
        <f t="shared" si="50"/>
        <v>-8.4592649459764632E-3</v>
      </c>
      <c r="L833" s="38">
        <f t="shared" si="51"/>
        <v>-1.4959596068453956E-3</v>
      </c>
    </row>
    <row r="834" spans="1:12">
      <c r="A834" s="35">
        <v>43557</v>
      </c>
      <c r="B834" s="37">
        <v>757.1</v>
      </c>
      <c r="C834" s="37">
        <v>38877.120000000003</v>
      </c>
      <c r="D834" s="38">
        <f t="shared" si="48"/>
        <v>-4.0366663025670759E-3</v>
      </c>
      <c r="E834" s="38">
        <f t="shared" si="49"/>
        <v>-4.961212746845689E-3</v>
      </c>
      <c r="H834" s="35">
        <v>45384</v>
      </c>
      <c r="I834" s="37">
        <v>1483.2</v>
      </c>
      <c r="J834" s="37">
        <v>73903.91</v>
      </c>
      <c r="K834" s="38">
        <f t="shared" si="50"/>
        <v>-1.6531996545162291E-3</v>
      </c>
      <c r="L834" s="38">
        <f t="shared" si="51"/>
        <v>-3.6662425883849758E-4</v>
      </c>
    </row>
    <row r="835" spans="1:12">
      <c r="A835" s="35">
        <v>43558</v>
      </c>
      <c r="B835" s="37">
        <v>754.05</v>
      </c>
      <c r="C835" s="37">
        <v>38684.720000000001</v>
      </c>
      <c r="D835" s="38">
        <f t="shared" si="48"/>
        <v>-7.7215320738855337E-3</v>
      </c>
      <c r="E835" s="38">
        <f t="shared" si="49"/>
        <v>4.5781377614725911E-3</v>
      </c>
      <c r="H835" s="35">
        <v>45385</v>
      </c>
      <c r="I835" s="37">
        <v>1480.75</v>
      </c>
      <c r="J835" s="37">
        <v>73876.820000000007</v>
      </c>
      <c r="K835" s="38">
        <f t="shared" si="50"/>
        <v>3.9429171341184973E-3</v>
      </c>
      <c r="L835" s="38">
        <f t="shared" si="51"/>
        <v>4.7373411951451422E-3</v>
      </c>
    </row>
    <row r="836" spans="1:12">
      <c r="A836" s="35">
        <v>43559</v>
      </c>
      <c r="B836" s="37">
        <v>748.25</v>
      </c>
      <c r="C836" s="37">
        <v>38862.230000000003</v>
      </c>
      <c r="D836" s="38">
        <f t="shared" si="48"/>
        <v>1.0634862612242871E-2</v>
      </c>
      <c r="E836" s="38">
        <f t="shared" si="49"/>
        <v>-4.1695327567729135E-3</v>
      </c>
      <c r="H836" s="35">
        <v>45386</v>
      </c>
      <c r="I836" s="37">
        <v>1486.6</v>
      </c>
      <c r="J836" s="37">
        <v>74227.63</v>
      </c>
      <c r="K836" s="38">
        <f t="shared" si="50"/>
        <v>-4.7874404509287115E-3</v>
      </c>
      <c r="L836" s="38">
        <f t="shared" si="51"/>
        <v>2.7735150372240749E-4</v>
      </c>
    </row>
    <row r="837" spans="1:12">
      <c r="A837" s="35">
        <v>43560</v>
      </c>
      <c r="B837" s="37">
        <v>756.25</v>
      </c>
      <c r="C837" s="37">
        <v>38700.53</v>
      </c>
      <c r="D837" s="38">
        <f t="shared" ref="D837:D900" si="52">LN(B838/B837)</f>
        <v>1.4310340046163496E-2</v>
      </c>
      <c r="E837" s="38">
        <f t="shared" ref="E837:E900" si="53">LN(C838/C837)</f>
        <v>6.1486738943946073E-3</v>
      </c>
      <c r="H837" s="35">
        <v>45387</v>
      </c>
      <c r="I837" s="37">
        <v>1479.5</v>
      </c>
      <c r="J837" s="37">
        <v>74248.22</v>
      </c>
      <c r="K837" s="38">
        <f t="shared" ref="K837:K900" si="54">LN(I838/I837)</f>
        <v>-1.6573374783436057E-3</v>
      </c>
      <c r="L837" s="38">
        <f t="shared" ref="L837:L900" si="55">LN(J838/J837)</f>
        <v>6.6350684573204151E-3</v>
      </c>
    </row>
    <row r="838" spans="1:12">
      <c r="A838" s="35">
        <v>43563</v>
      </c>
      <c r="B838" s="37">
        <v>767.15</v>
      </c>
      <c r="C838" s="37">
        <v>38939.22</v>
      </c>
      <c r="D838" s="38">
        <f t="shared" si="52"/>
        <v>-9.5613040116005535E-3</v>
      </c>
      <c r="E838" s="38">
        <f t="shared" si="53"/>
        <v>-9.1292981758997731E-3</v>
      </c>
      <c r="H838" s="35">
        <v>45390</v>
      </c>
      <c r="I838" s="37">
        <v>1477.05</v>
      </c>
      <c r="J838" s="37">
        <v>74742.5</v>
      </c>
      <c r="K838" s="38">
        <f t="shared" si="54"/>
        <v>1.1878662429848065E-2</v>
      </c>
      <c r="L838" s="38">
        <f t="shared" si="55"/>
        <v>-7.8701061841889269E-4</v>
      </c>
    </row>
    <row r="839" spans="1:12">
      <c r="A839" s="35">
        <v>43564</v>
      </c>
      <c r="B839" s="37">
        <v>759.85</v>
      </c>
      <c r="C839" s="37">
        <v>38585.35</v>
      </c>
      <c r="D839" s="38">
        <f t="shared" si="52"/>
        <v>-7.5297581653528973E-3</v>
      </c>
      <c r="E839" s="38">
        <f t="shared" si="53"/>
        <v>5.6119544909559221E-4</v>
      </c>
      <c r="H839" s="35">
        <v>45391</v>
      </c>
      <c r="I839" s="37">
        <v>1494.7</v>
      </c>
      <c r="J839" s="37">
        <v>74683.7</v>
      </c>
      <c r="K839" s="38">
        <f t="shared" si="54"/>
        <v>7.9963110154739701E-3</v>
      </c>
      <c r="L839" s="38">
        <f t="shared" si="55"/>
        <v>4.7347887055635305E-3</v>
      </c>
    </row>
    <row r="840" spans="1:12">
      <c r="A840" s="35">
        <v>43565</v>
      </c>
      <c r="B840" s="37">
        <v>754.15</v>
      </c>
      <c r="C840" s="37">
        <v>38607.01</v>
      </c>
      <c r="D840" s="38">
        <f t="shared" si="52"/>
        <v>-1.4693378619357361E-2</v>
      </c>
      <c r="E840" s="38">
        <f t="shared" si="53"/>
        <v>4.1383405326608363E-3</v>
      </c>
      <c r="H840" s="35">
        <v>45392</v>
      </c>
      <c r="I840" s="37">
        <v>1506.7</v>
      </c>
      <c r="J840" s="37">
        <v>75038.149999999994</v>
      </c>
      <c r="K840" s="38">
        <f t="shared" si="54"/>
        <v>-1.447338710359565E-2</v>
      </c>
      <c r="L840" s="38">
        <f t="shared" si="55"/>
        <v>-1.0627562420871458E-2</v>
      </c>
    </row>
    <row r="841" spans="1:12">
      <c r="A841" s="35">
        <v>43566</v>
      </c>
      <c r="B841" s="37">
        <v>743.15</v>
      </c>
      <c r="C841" s="37">
        <v>38767.11</v>
      </c>
      <c r="D841" s="38">
        <f t="shared" si="52"/>
        <v>6.304514510431675E-3</v>
      </c>
      <c r="E841" s="38">
        <f t="shared" si="53"/>
        <v>3.5721611582945592E-3</v>
      </c>
      <c r="H841" s="35">
        <v>45394</v>
      </c>
      <c r="I841" s="37">
        <v>1485.05</v>
      </c>
      <c r="J841" s="37">
        <v>74244.899999999994</v>
      </c>
      <c r="K841" s="38">
        <f t="shared" si="54"/>
        <v>-1.1343172734755269E-2</v>
      </c>
      <c r="L841" s="38">
        <f t="shared" si="55"/>
        <v>-1.144815011429739E-2</v>
      </c>
    </row>
    <row r="842" spans="1:12">
      <c r="A842" s="35">
        <v>43567</v>
      </c>
      <c r="B842" s="37">
        <v>747.85</v>
      </c>
      <c r="C842" s="37">
        <v>38905.839999999997</v>
      </c>
      <c r="D842" s="38">
        <f t="shared" si="52"/>
        <v>-2.8757492033156137E-2</v>
      </c>
      <c r="E842" s="38">
        <f t="shared" si="53"/>
        <v>9.4601114712509655E-3</v>
      </c>
      <c r="H842" s="35">
        <v>45397</v>
      </c>
      <c r="I842" s="37">
        <v>1468.3</v>
      </c>
      <c r="J842" s="37">
        <v>73399.78</v>
      </c>
      <c r="K842" s="38">
        <f t="shared" si="54"/>
        <v>-3.7152431946258606E-2</v>
      </c>
      <c r="L842" s="38">
        <f t="shared" si="55"/>
        <v>-6.2333018062683872E-3</v>
      </c>
    </row>
    <row r="843" spans="1:12">
      <c r="A843" s="35">
        <v>43570</v>
      </c>
      <c r="B843" s="37">
        <v>726.65</v>
      </c>
      <c r="C843" s="37">
        <v>39275.64</v>
      </c>
      <c r="D843" s="38">
        <f t="shared" si="52"/>
        <v>-3.8607424721268666E-3</v>
      </c>
      <c r="E843" s="38">
        <f t="shared" si="53"/>
        <v>-3.4523636130062169E-3</v>
      </c>
      <c r="H843" s="35">
        <v>45398</v>
      </c>
      <c r="I843" s="37">
        <v>1414.75</v>
      </c>
      <c r="J843" s="37">
        <v>72943.679999999993</v>
      </c>
      <c r="K843" s="38">
        <f t="shared" si="54"/>
        <v>4.0912835257795139E-3</v>
      </c>
      <c r="L843" s="38">
        <f t="shared" si="55"/>
        <v>-6.2529482750531265E-3</v>
      </c>
    </row>
    <row r="844" spans="1:12">
      <c r="A844" s="35">
        <v>43571</v>
      </c>
      <c r="B844" s="37">
        <v>723.85</v>
      </c>
      <c r="C844" s="37">
        <v>39140.28</v>
      </c>
      <c r="D844" s="38">
        <f t="shared" si="52"/>
        <v>-1.034551841349597E-2</v>
      </c>
      <c r="E844" s="38">
        <f t="shared" si="53"/>
        <v>-1.27300574188241E-2</v>
      </c>
      <c r="H844" s="35">
        <v>45400</v>
      </c>
      <c r="I844" s="37">
        <v>1420.55</v>
      </c>
      <c r="J844" s="37">
        <v>72488.990000000005</v>
      </c>
      <c r="K844" s="38">
        <f t="shared" si="54"/>
        <v>-6.3203077472978753E-3</v>
      </c>
      <c r="L844" s="38">
        <f t="shared" si="55"/>
        <v>8.2340214289239912E-3</v>
      </c>
    </row>
    <row r="845" spans="1:12">
      <c r="A845" s="35">
        <v>43573</v>
      </c>
      <c r="B845" s="37">
        <v>716.4</v>
      </c>
      <c r="C845" s="37">
        <v>38645.18</v>
      </c>
      <c r="D845" s="38">
        <f t="shared" si="52"/>
        <v>5.8455281274361883E-3</v>
      </c>
      <c r="E845" s="38">
        <f t="shared" si="53"/>
        <v>-2.08004057895974E-3</v>
      </c>
      <c r="H845" s="35">
        <v>45401</v>
      </c>
      <c r="I845" s="37">
        <v>1411.6</v>
      </c>
      <c r="J845" s="37">
        <v>73088.33</v>
      </c>
      <c r="K845" s="38">
        <f t="shared" si="54"/>
        <v>1.4697356787779725E-2</v>
      </c>
      <c r="L845" s="38">
        <f t="shared" si="55"/>
        <v>7.636695773842391E-3</v>
      </c>
    </row>
    <row r="846" spans="1:12">
      <c r="A846" s="35">
        <v>43577</v>
      </c>
      <c r="B846" s="37">
        <v>720.6</v>
      </c>
      <c r="C846" s="37">
        <v>38564.879999999997</v>
      </c>
      <c r="D846" s="38">
        <f t="shared" si="52"/>
        <v>1.0010784696676994E-2</v>
      </c>
      <c r="E846" s="38">
        <f t="shared" si="53"/>
        <v>1.2620697704121818E-2</v>
      </c>
      <c r="H846" s="35">
        <v>45404</v>
      </c>
      <c r="I846" s="37">
        <v>1432.5</v>
      </c>
      <c r="J846" s="37">
        <v>73648.62</v>
      </c>
      <c r="K846" s="38">
        <f t="shared" si="54"/>
        <v>6.4018032289635115E-3</v>
      </c>
      <c r="L846" s="38">
        <f t="shared" si="55"/>
        <v>1.2189673235658521E-3</v>
      </c>
    </row>
    <row r="847" spans="1:12">
      <c r="A847" s="35">
        <v>43578</v>
      </c>
      <c r="B847" s="37">
        <v>727.85</v>
      </c>
      <c r="C847" s="37">
        <v>39054.68</v>
      </c>
      <c r="D847" s="38">
        <f t="shared" si="52"/>
        <v>1.1678466348252913E-2</v>
      </c>
      <c r="E847" s="38">
        <f t="shared" si="53"/>
        <v>-8.3260171663569298E-3</v>
      </c>
      <c r="H847" s="35">
        <v>45405</v>
      </c>
      <c r="I847" s="37">
        <v>1441.7</v>
      </c>
      <c r="J847" s="37">
        <v>73738.45</v>
      </c>
      <c r="K847" s="38">
        <f t="shared" si="54"/>
        <v>-6.8556583871372707E-3</v>
      </c>
      <c r="L847" s="38">
        <f t="shared" si="55"/>
        <v>1.5514458257306575E-3</v>
      </c>
    </row>
    <row r="848" spans="1:12">
      <c r="A848" s="35">
        <v>43579</v>
      </c>
      <c r="B848" s="37">
        <v>736.4</v>
      </c>
      <c r="C848" s="37">
        <v>38730.86</v>
      </c>
      <c r="D848" s="38">
        <f t="shared" si="52"/>
        <v>-1.0442711694220581E-2</v>
      </c>
      <c r="E848" s="38">
        <f t="shared" si="53"/>
        <v>8.6498695636661738E-3</v>
      </c>
      <c r="H848" s="35">
        <v>45406</v>
      </c>
      <c r="I848" s="37">
        <v>1431.85</v>
      </c>
      <c r="J848" s="37">
        <v>73852.94</v>
      </c>
      <c r="K848" s="38">
        <f t="shared" si="54"/>
        <v>4.5640702866350377E-3</v>
      </c>
      <c r="L848" s="38">
        <f t="shared" si="55"/>
        <v>6.5658132725325584E-3</v>
      </c>
    </row>
    <row r="849" spans="1:12">
      <c r="A849" s="35">
        <v>43580</v>
      </c>
      <c r="B849" s="37">
        <v>728.75</v>
      </c>
      <c r="C849" s="37">
        <v>39067.33</v>
      </c>
      <c r="D849" s="38">
        <f t="shared" si="52"/>
        <v>1.1392830530540961E-2</v>
      </c>
      <c r="E849" s="38">
        <f t="shared" si="53"/>
        <v>-9.162744076043394E-4</v>
      </c>
      <c r="H849" s="35">
        <v>45407</v>
      </c>
      <c r="I849" s="37">
        <v>1438.4</v>
      </c>
      <c r="J849" s="37">
        <v>74339.44</v>
      </c>
      <c r="K849" s="38">
        <f t="shared" si="54"/>
        <v>-5.7520508596146241E-3</v>
      </c>
      <c r="L849" s="38">
        <f t="shared" si="55"/>
        <v>-8.2296898048214578E-3</v>
      </c>
    </row>
    <row r="850" spans="1:12">
      <c r="A850" s="35">
        <v>43581</v>
      </c>
      <c r="B850" s="37">
        <v>737.1</v>
      </c>
      <c r="C850" s="37">
        <v>39031.550000000003</v>
      </c>
      <c r="D850" s="38">
        <f t="shared" si="52"/>
        <v>1.7282969446125306E-2</v>
      </c>
      <c r="E850" s="38">
        <f t="shared" si="53"/>
        <v>-1.2849145589798022E-3</v>
      </c>
      <c r="H850" s="35">
        <v>45408</v>
      </c>
      <c r="I850" s="37">
        <v>1430.15</v>
      </c>
      <c r="J850" s="37">
        <v>73730.16</v>
      </c>
      <c r="K850" s="38">
        <f t="shared" si="54"/>
        <v>3.3855153359801556E-3</v>
      </c>
      <c r="L850" s="38">
        <f t="shared" si="55"/>
        <v>1.2683604913330964E-2</v>
      </c>
    </row>
    <row r="851" spans="1:12">
      <c r="A851" s="35">
        <v>43585</v>
      </c>
      <c r="B851" s="37">
        <v>749.95</v>
      </c>
      <c r="C851" s="37">
        <v>38981.43</v>
      </c>
      <c r="D851" s="38">
        <f t="shared" si="52"/>
        <v>-2.7167504064781394E-2</v>
      </c>
      <c r="E851" s="38">
        <f t="shared" si="53"/>
        <v>-4.6622804784088155E-4</v>
      </c>
      <c r="H851" s="35">
        <v>45411</v>
      </c>
      <c r="I851" s="37">
        <v>1435</v>
      </c>
      <c r="J851" s="37">
        <v>74671.28</v>
      </c>
      <c r="K851" s="38">
        <f t="shared" si="54"/>
        <v>-9.7336295959057351E-3</v>
      </c>
      <c r="L851" s="38">
        <f t="shared" si="55"/>
        <v>-2.5275892638248012E-3</v>
      </c>
    </row>
    <row r="852" spans="1:12">
      <c r="A852" s="35">
        <v>43587</v>
      </c>
      <c r="B852" s="37">
        <v>729.85</v>
      </c>
      <c r="C852" s="37">
        <v>38963.26</v>
      </c>
      <c r="D852" s="38">
        <f t="shared" si="52"/>
        <v>-8.3930046893820453E-3</v>
      </c>
      <c r="E852" s="38">
        <f t="shared" si="53"/>
        <v>-9.3580661162636254E-3</v>
      </c>
      <c r="H852" s="35">
        <v>45412</v>
      </c>
      <c r="I852" s="37">
        <v>1421.1</v>
      </c>
      <c r="J852" s="37">
        <v>74482.78</v>
      </c>
      <c r="K852" s="38">
        <f t="shared" si="54"/>
        <v>-4.4077012067618654E-3</v>
      </c>
      <c r="L852" s="38">
        <f t="shared" si="55"/>
        <v>1.7214660063075305E-3</v>
      </c>
    </row>
    <row r="853" spans="1:12">
      <c r="A853" s="35">
        <v>43588</v>
      </c>
      <c r="B853" s="37">
        <v>723.75</v>
      </c>
      <c r="C853" s="37">
        <v>38600.339999999997</v>
      </c>
      <c r="D853" s="38">
        <f t="shared" si="52"/>
        <v>-8.1853953135020332E-3</v>
      </c>
      <c r="E853" s="38">
        <f t="shared" si="53"/>
        <v>-8.4215575404395938E-3</v>
      </c>
      <c r="H853" s="35">
        <v>45414</v>
      </c>
      <c r="I853" s="37">
        <v>1414.85</v>
      </c>
      <c r="J853" s="37">
        <v>74611.11</v>
      </c>
      <c r="K853" s="38">
        <f t="shared" si="54"/>
        <v>1.1302229861339626E-3</v>
      </c>
      <c r="L853" s="38">
        <f t="shared" si="55"/>
        <v>-9.8723093239108713E-3</v>
      </c>
    </row>
    <row r="854" spans="1:12">
      <c r="A854" s="35">
        <v>43591</v>
      </c>
      <c r="B854" s="37">
        <v>717.85</v>
      </c>
      <c r="C854" s="37">
        <v>38276.629999999997</v>
      </c>
      <c r="D854" s="38">
        <f t="shared" si="52"/>
        <v>7.9090186102987268E-3</v>
      </c>
      <c r="E854" s="38">
        <f t="shared" si="53"/>
        <v>-1.2818032048802587E-2</v>
      </c>
      <c r="H854" s="35">
        <v>45415</v>
      </c>
      <c r="I854" s="37">
        <v>1416.45</v>
      </c>
      <c r="J854" s="37">
        <v>73878.149999999994</v>
      </c>
      <c r="K854" s="38">
        <f t="shared" si="54"/>
        <v>6.5793183063400859E-3</v>
      </c>
      <c r="L854" s="38">
        <f t="shared" si="55"/>
        <v>2.3535989498904987E-4</v>
      </c>
    </row>
    <row r="855" spans="1:12">
      <c r="A855" s="35">
        <v>43592</v>
      </c>
      <c r="B855" s="37">
        <v>723.55</v>
      </c>
      <c r="C855" s="37">
        <v>37789.129999999997</v>
      </c>
      <c r="D855" s="38">
        <f t="shared" si="52"/>
        <v>-7.5608170677297637E-3</v>
      </c>
      <c r="E855" s="38">
        <f t="shared" si="53"/>
        <v>-6.1108614482303179E-3</v>
      </c>
      <c r="H855" s="35">
        <v>45418</v>
      </c>
      <c r="I855" s="37">
        <v>1425.8</v>
      </c>
      <c r="J855" s="37">
        <v>73895.539999999994</v>
      </c>
      <c r="K855" s="38">
        <f t="shared" si="54"/>
        <v>1.0430751633247717E-2</v>
      </c>
      <c r="L855" s="38">
        <f t="shared" si="55"/>
        <v>-5.2058565928025892E-3</v>
      </c>
    </row>
    <row r="856" spans="1:12">
      <c r="A856" s="35">
        <v>43593</v>
      </c>
      <c r="B856" s="37">
        <v>718.1</v>
      </c>
      <c r="C856" s="37">
        <v>37558.910000000003</v>
      </c>
      <c r="D856" s="38">
        <f t="shared" si="52"/>
        <v>4.0996478918075285E-3</v>
      </c>
      <c r="E856" s="38">
        <f t="shared" si="53"/>
        <v>-2.5571213810198722E-3</v>
      </c>
      <c r="H856" s="35">
        <v>45419</v>
      </c>
      <c r="I856" s="37">
        <v>1440.75</v>
      </c>
      <c r="J856" s="37">
        <v>73511.850000000006</v>
      </c>
      <c r="K856" s="38">
        <f t="shared" si="54"/>
        <v>-9.3442331168821623E-3</v>
      </c>
      <c r="L856" s="38">
        <f t="shared" si="55"/>
        <v>-6.18594989974703E-4</v>
      </c>
    </row>
    <row r="857" spans="1:12">
      <c r="A857" s="35">
        <v>43594</v>
      </c>
      <c r="B857" s="37">
        <v>721.05</v>
      </c>
      <c r="C857" s="37">
        <v>37462.99</v>
      </c>
      <c r="D857" s="38">
        <f t="shared" si="52"/>
        <v>-6.9584860833678619E-3</v>
      </c>
      <c r="E857" s="38">
        <f t="shared" si="53"/>
        <v>-9.9840126615333737E-3</v>
      </c>
      <c r="H857" s="35">
        <v>45420</v>
      </c>
      <c r="I857" s="37">
        <v>1427.35</v>
      </c>
      <c r="J857" s="37">
        <v>73466.39</v>
      </c>
      <c r="K857" s="38">
        <f t="shared" si="54"/>
        <v>7.9551028361988987E-3</v>
      </c>
      <c r="L857" s="38">
        <f t="shared" si="55"/>
        <v>-1.4564128305212818E-2</v>
      </c>
    </row>
    <row r="858" spans="1:12">
      <c r="A858" s="35">
        <v>43595</v>
      </c>
      <c r="B858" s="37">
        <v>716.05</v>
      </c>
      <c r="C858" s="37">
        <v>37090.82</v>
      </c>
      <c r="D858" s="38">
        <f t="shared" si="52"/>
        <v>5.5706571186801583E-3</v>
      </c>
      <c r="E858" s="38">
        <f t="shared" si="53"/>
        <v>6.1204864937271239E-3</v>
      </c>
      <c r="H858" s="35">
        <v>45421</v>
      </c>
      <c r="I858" s="37">
        <v>1438.75</v>
      </c>
      <c r="J858" s="37">
        <v>72404.17</v>
      </c>
      <c r="K858" s="38">
        <f t="shared" si="54"/>
        <v>-9.4976097152242051E-3</v>
      </c>
      <c r="L858" s="38">
        <f t="shared" si="55"/>
        <v>3.5886498881368295E-3</v>
      </c>
    </row>
    <row r="859" spans="1:12">
      <c r="A859" s="35">
        <v>43598</v>
      </c>
      <c r="B859" s="37">
        <v>720.05</v>
      </c>
      <c r="C859" s="37">
        <v>37318.53</v>
      </c>
      <c r="D859" s="38">
        <f t="shared" si="52"/>
        <v>-8.6477978081624021E-3</v>
      </c>
      <c r="E859" s="38">
        <f t="shared" si="53"/>
        <v>-5.4720187656921897E-3</v>
      </c>
      <c r="H859" s="35">
        <v>45422</v>
      </c>
      <c r="I859" s="37">
        <v>1425.15</v>
      </c>
      <c r="J859" s="37">
        <v>72664.47</v>
      </c>
      <c r="K859" s="38">
        <f t="shared" si="54"/>
        <v>-1.3340824896770098E-3</v>
      </c>
      <c r="L859" s="38">
        <f t="shared" si="55"/>
        <v>1.5354725150772163E-3</v>
      </c>
    </row>
    <row r="860" spans="1:12">
      <c r="A860" s="35">
        <v>43599</v>
      </c>
      <c r="B860" s="37">
        <v>713.85</v>
      </c>
      <c r="C860" s="37">
        <v>37114.879999999997</v>
      </c>
      <c r="D860" s="38">
        <f t="shared" si="52"/>
        <v>3.7053910329974305E-3</v>
      </c>
      <c r="E860" s="38">
        <f t="shared" si="53"/>
        <v>7.4783903020160941E-3</v>
      </c>
      <c r="H860" s="35">
        <v>45425</v>
      </c>
      <c r="I860" s="37">
        <v>1423.25</v>
      </c>
      <c r="J860" s="37">
        <v>72776.13</v>
      </c>
      <c r="K860" s="38">
        <f t="shared" si="54"/>
        <v>1.1235561731098346E-3</v>
      </c>
      <c r="L860" s="38">
        <f t="shared" si="55"/>
        <v>4.5034122414071096E-3</v>
      </c>
    </row>
    <row r="861" spans="1:12">
      <c r="A861" s="35">
        <v>43600</v>
      </c>
      <c r="B861" s="37">
        <v>716.5</v>
      </c>
      <c r="C861" s="37">
        <v>37393.480000000003</v>
      </c>
      <c r="D861" s="38">
        <f t="shared" si="52"/>
        <v>2.4403223794507479E-2</v>
      </c>
      <c r="E861" s="38">
        <f t="shared" si="53"/>
        <v>1.4266298376232327E-2</v>
      </c>
      <c r="H861" s="35">
        <v>45426</v>
      </c>
      <c r="I861" s="37">
        <v>1424.85</v>
      </c>
      <c r="J861" s="37">
        <v>73104.61</v>
      </c>
      <c r="K861" s="38">
        <f t="shared" si="54"/>
        <v>-2.8816438270702098E-3</v>
      </c>
      <c r="L861" s="38">
        <f t="shared" si="55"/>
        <v>-1.6096749326381943E-3</v>
      </c>
    </row>
    <row r="862" spans="1:12">
      <c r="A862" s="35">
        <v>43601</v>
      </c>
      <c r="B862" s="37">
        <v>734.2</v>
      </c>
      <c r="C862" s="37">
        <v>37930.769999999997</v>
      </c>
      <c r="D862" s="38">
        <f t="shared" si="52"/>
        <v>-1.4266359933091975E-2</v>
      </c>
      <c r="E862" s="38">
        <f t="shared" si="53"/>
        <v>3.6801169117951282E-2</v>
      </c>
      <c r="H862" s="35">
        <v>45427</v>
      </c>
      <c r="I862" s="37">
        <v>1420.75</v>
      </c>
      <c r="J862" s="37">
        <v>72987.03</v>
      </c>
      <c r="K862" s="38">
        <f t="shared" si="54"/>
        <v>2.237665790006238E-2</v>
      </c>
      <c r="L862" s="38">
        <f t="shared" si="55"/>
        <v>9.2286579195106754E-3</v>
      </c>
    </row>
    <row r="863" spans="1:12">
      <c r="A863" s="35">
        <v>43602</v>
      </c>
      <c r="B863" s="37">
        <v>723.8</v>
      </c>
      <c r="C863" s="37">
        <v>39352.67</v>
      </c>
      <c r="D863" s="38">
        <f t="shared" si="52"/>
        <v>-1.9361090268663291E-3</v>
      </c>
      <c r="E863" s="38">
        <f t="shared" si="53"/>
        <v>-9.7768379818465451E-3</v>
      </c>
      <c r="H863" s="35">
        <v>45428</v>
      </c>
      <c r="I863" s="37">
        <v>1452.9</v>
      </c>
      <c r="J863" s="37">
        <v>73663.72</v>
      </c>
      <c r="K863" s="38">
        <f t="shared" si="54"/>
        <v>-6.1098931852080251E-3</v>
      </c>
      <c r="L863" s="38">
        <f t="shared" si="55"/>
        <v>3.4328359051977943E-3</v>
      </c>
    </row>
    <row r="864" spans="1:12">
      <c r="A864" s="35">
        <v>43605</v>
      </c>
      <c r="B864" s="37">
        <v>722.4</v>
      </c>
      <c r="C864" s="37">
        <v>38969.800000000003</v>
      </c>
      <c r="D864" s="38">
        <f t="shared" si="52"/>
        <v>-1.8441427902722792E-2</v>
      </c>
      <c r="E864" s="38">
        <f t="shared" si="53"/>
        <v>3.596571039220434E-3</v>
      </c>
      <c r="H864" s="35">
        <v>45429</v>
      </c>
      <c r="I864" s="37">
        <v>1444.05</v>
      </c>
      <c r="J864" s="37">
        <v>73917.03</v>
      </c>
      <c r="K864" s="38">
        <f t="shared" si="54"/>
        <v>-2.0777062198154873E-4</v>
      </c>
      <c r="L864" s="38">
        <f t="shared" si="55"/>
        <v>1.2021122981345092E-3</v>
      </c>
    </row>
    <row r="865" spans="1:12">
      <c r="A865" s="35">
        <v>43606</v>
      </c>
      <c r="B865" s="37">
        <v>709.2</v>
      </c>
      <c r="C865" s="37">
        <v>39110.21</v>
      </c>
      <c r="D865" s="38">
        <f t="shared" si="52"/>
        <v>0</v>
      </c>
      <c r="E865" s="38">
        <f t="shared" si="53"/>
        <v>-7.6697979728098395E-3</v>
      </c>
      <c r="H865" s="35">
        <v>45430</v>
      </c>
      <c r="I865" s="37">
        <v>1443.75</v>
      </c>
      <c r="J865" s="37">
        <v>74005.94</v>
      </c>
      <c r="K865" s="38">
        <f t="shared" si="54"/>
        <v>-6.6366928216291879E-3</v>
      </c>
      <c r="L865" s="38">
        <f t="shared" si="55"/>
        <v>-7.1141212488853682E-4</v>
      </c>
    </row>
    <row r="866" spans="1:12">
      <c r="A866" s="35">
        <v>43607</v>
      </c>
      <c r="B866" s="37">
        <v>709.2</v>
      </c>
      <c r="C866" s="37">
        <v>38811.39</v>
      </c>
      <c r="D866" s="38">
        <f t="shared" si="52"/>
        <v>-1.1273117363146849E-2</v>
      </c>
      <c r="E866" s="38">
        <f t="shared" si="53"/>
        <v>1.5932886282206956E-2</v>
      </c>
      <c r="H866" s="35">
        <v>45433</v>
      </c>
      <c r="I866" s="37">
        <v>1434.2</v>
      </c>
      <c r="J866" s="37">
        <v>73953.31</v>
      </c>
      <c r="K866" s="38">
        <f t="shared" si="54"/>
        <v>1.4158119392189306E-2</v>
      </c>
      <c r="L866" s="38">
        <f t="shared" si="55"/>
        <v>3.613989267127258E-3</v>
      </c>
    </row>
    <row r="867" spans="1:12">
      <c r="A867" s="35">
        <v>43608</v>
      </c>
      <c r="B867" s="37">
        <v>701.25</v>
      </c>
      <c r="C867" s="37">
        <v>39434.720000000001</v>
      </c>
      <c r="D867" s="38">
        <f t="shared" si="52"/>
        <v>1.1625565116416299E-2</v>
      </c>
      <c r="E867" s="38">
        <f t="shared" si="53"/>
        <v>6.283545752877504E-3</v>
      </c>
      <c r="H867" s="35">
        <v>45434</v>
      </c>
      <c r="I867" s="37">
        <v>1454.65</v>
      </c>
      <c r="J867" s="37">
        <v>74221.06</v>
      </c>
      <c r="K867" s="38">
        <f t="shared" si="54"/>
        <v>1.2467924654833686E-2</v>
      </c>
      <c r="L867" s="38">
        <f t="shared" si="55"/>
        <v>1.599856629568484E-2</v>
      </c>
    </row>
    <row r="868" spans="1:12">
      <c r="A868" s="35">
        <v>43609</v>
      </c>
      <c r="B868" s="37">
        <v>709.45</v>
      </c>
      <c r="C868" s="37">
        <v>39683.29</v>
      </c>
      <c r="D868" s="38">
        <f t="shared" si="52"/>
        <v>-4.9346164337135017E-4</v>
      </c>
      <c r="E868" s="38">
        <f t="shared" si="53"/>
        <v>1.6728563384364875E-3</v>
      </c>
      <c r="H868" s="35">
        <v>45435</v>
      </c>
      <c r="I868" s="37">
        <v>1472.9</v>
      </c>
      <c r="J868" s="37">
        <v>75418.039999999994</v>
      </c>
      <c r="K868" s="38">
        <f t="shared" si="54"/>
        <v>-5.3780040443297764E-3</v>
      </c>
      <c r="L868" s="38">
        <f t="shared" si="55"/>
        <v>-1.0143976180821501E-4</v>
      </c>
    </row>
    <row r="869" spans="1:12">
      <c r="A869" s="35">
        <v>43612</v>
      </c>
      <c r="B869" s="37">
        <v>709.1</v>
      </c>
      <c r="C869" s="37">
        <v>39749.730000000003</v>
      </c>
      <c r="D869" s="38">
        <f t="shared" si="52"/>
        <v>2.4448370762228347E-2</v>
      </c>
      <c r="E869" s="38">
        <f t="shared" si="53"/>
        <v>-6.2504793298812054E-3</v>
      </c>
      <c r="H869" s="35">
        <v>45436</v>
      </c>
      <c r="I869" s="37">
        <v>1465</v>
      </c>
      <c r="J869" s="37">
        <v>75410.39</v>
      </c>
      <c r="K869" s="38">
        <f t="shared" si="54"/>
        <v>4.4950017794516553E-3</v>
      </c>
      <c r="L869" s="38">
        <f t="shared" si="55"/>
        <v>-2.6379154811806042E-4</v>
      </c>
    </row>
    <row r="870" spans="1:12">
      <c r="A870" s="35">
        <v>43613</v>
      </c>
      <c r="B870" s="37">
        <v>726.65</v>
      </c>
      <c r="C870" s="37">
        <v>39502.050000000003</v>
      </c>
      <c r="D870" s="38">
        <f t="shared" si="52"/>
        <v>9.6286114729166332E-4</v>
      </c>
      <c r="E870" s="38">
        <f t="shared" si="53"/>
        <v>8.317286881751389E-3</v>
      </c>
      <c r="H870" s="35">
        <v>45439</v>
      </c>
      <c r="I870" s="37">
        <v>1471.6</v>
      </c>
      <c r="J870" s="37">
        <v>75390.5</v>
      </c>
      <c r="K870" s="38">
        <f t="shared" si="54"/>
        <v>-3.676224441133029E-3</v>
      </c>
      <c r="L870" s="38">
        <f t="shared" si="55"/>
        <v>-2.9230707787360069E-3</v>
      </c>
    </row>
    <row r="871" spans="1:12">
      <c r="A871" s="35">
        <v>43614</v>
      </c>
      <c r="B871" s="37">
        <v>727.35</v>
      </c>
      <c r="C871" s="37">
        <v>39831.97</v>
      </c>
      <c r="D871" s="38">
        <f t="shared" si="52"/>
        <v>8.1471028802827285E-3</v>
      </c>
      <c r="E871" s="38">
        <f t="shared" si="53"/>
        <v>-2.9610498166988382E-3</v>
      </c>
      <c r="H871" s="35">
        <v>45440</v>
      </c>
      <c r="I871" s="37">
        <v>1466.2</v>
      </c>
      <c r="J871" s="37">
        <v>75170.45</v>
      </c>
      <c r="K871" s="38">
        <f t="shared" si="54"/>
        <v>-1.0007623450571049E-2</v>
      </c>
      <c r="L871" s="38">
        <f t="shared" si="55"/>
        <v>-8.9201507998092743E-3</v>
      </c>
    </row>
    <row r="872" spans="1:12">
      <c r="A872" s="35">
        <v>43615</v>
      </c>
      <c r="B872" s="37">
        <v>733.3</v>
      </c>
      <c r="C872" s="37">
        <v>39714.199999999997</v>
      </c>
      <c r="D872" s="38">
        <f t="shared" si="52"/>
        <v>4.8294485595182677E-3</v>
      </c>
      <c r="E872" s="38">
        <f t="shared" si="53"/>
        <v>1.3838865689420254E-2</v>
      </c>
      <c r="H872" s="35">
        <v>45441</v>
      </c>
      <c r="I872" s="37">
        <v>1451.6</v>
      </c>
      <c r="J872" s="37">
        <v>74502.899999999994</v>
      </c>
      <c r="K872" s="38">
        <f t="shared" si="54"/>
        <v>-1.7968405302266944E-2</v>
      </c>
      <c r="L872" s="38">
        <f t="shared" si="55"/>
        <v>-8.3200997516235144E-3</v>
      </c>
    </row>
    <row r="873" spans="1:12">
      <c r="A873" s="35">
        <v>43616</v>
      </c>
      <c r="B873" s="37">
        <v>736.85</v>
      </c>
      <c r="C873" s="37">
        <v>40267.620000000003</v>
      </c>
      <c r="D873" s="38">
        <f t="shared" si="52"/>
        <v>1.0529965672604625E-2</v>
      </c>
      <c r="E873" s="38">
        <f t="shared" si="53"/>
        <v>-4.5818958194084394E-3</v>
      </c>
      <c r="H873" s="35">
        <v>45442</v>
      </c>
      <c r="I873" s="37">
        <v>1425.75</v>
      </c>
      <c r="J873" s="37">
        <v>73885.600000000006</v>
      </c>
      <c r="K873" s="38">
        <f t="shared" si="54"/>
        <v>-1.3771404083917922E-2</v>
      </c>
      <c r="L873" s="38">
        <f t="shared" si="55"/>
        <v>1.0241675881868873E-3</v>
      </c>
    </row>
    <row r="874" spans="1:12">
      <c r="A874" s="35">
        <v>43619</v>
      </c>
      <c r="B874" s="37">
        <v>744.65</v>
      </c>
      <c r="C874" s="37">
        <v>40083.54</v>
      </c>
      <c r="D874" s="38">
        <f t="shared" si="52"/>
        <v>-1.345205670564479E-2</v>
      </c>
      <c r="E874" s="38">
        <f t="shared" si="53"/>
        <v>-1.3912982174045196E-2</v>
      </c>
      <c r="H874" s="35">
        <v>45443</v>
      </c>
      <c r="I874" s="37">
        <v>1406.25</v>
      </c>
      <c r="J874" s="37">
        <v>73961.31</v>
      </c>
      <c r="K874" s="38">
        <f t="shared" si="54"/>
        <v>-2.4891986686851681E-4</v>
      </c>
      <c r="L874" s="38">
        <f t="shared" si="55"/>
        <v>3.334043432102108E-2</v>
      </c>
    </row>
    <row r="875" spans="1:12">
      <c r="A875" s="35">
        <v>43620</v>
      </c>
      <c r="B875" s="37">
        <v>734.7</v>
      </c>
      <c r="C875" s="37">
        <v>39529.72</v>
      </c>
      <c r="D875" s="38">
        <f t="shared" si="52"/>
        <v>4.4138190015531121E-3</v>
      </c>
      <c r="E875" s="38">
        <f t="shared" si="53"/>
        <v>2.177758770732023E-3</v>
      </c>
      <c r="H875" s="35">
        <v>45446</v>
      </c>
      <c r="I875" s="37">
        <v>1405.9</v>
      </c>
      <c r="J875" s="37">
        <v>76468.78</v>
      </c>
      <c r="K875" s="38">
        <f t="shared" si="54"/>
        <v>-8.2134518800504944E-3</v>
      </c>
      <c r="L875" s="38">
        <f t="shared" si="55"/>
        <v>-5.9119119546984893E-2</v>
      </c>
    </row>
    <row r="876" spans="1:12">
      <c r="A876" s="35">
        <v>43622</v>
      </c>
      <c r="B876" s="37">
        <v>737.95</v>
      </c>
      <c r="C876" s="37">
        <v>39615.9</v>
      </c>
      <c r="D876" s="38">
        <f t="shared" si="52"/>
        <v>1.8953501917115356E-3</v>
      </c>
      <c r="E876" s="38">
        <f t="shared" si="53"/>
        <v>4.2473390818443891E-3</v>
      </c>
      <c r="H876" s="35">
        <v>45447</v>
      </c>
      <c r="I876" s="37">
        <v>1394.4</v>
      </c>
      <c r="J876" s="37">
        <v>72079.05</v>
      </c>
      <c r="K876" s="38">
        <f t="shared" si="54"/>
        <v>2.5385038942826992E-2</v>
      </c>
      <c r="L876" s="38">
        <f t="shared" si="55"/>
        <v>3.1453770252930835E-2</v>
      </c>
    </row>
    <row r="877" spans="1:12">
      <c r="A877" s="35">
        <v>43623</v>
      </c>
      <c r="B877" s="37">
        <v>739.35</v>
      </c>
      <c r="C877" s="37">
        <v>39784.519999999997</v>
      </c>
      <c r="D877" s="38">
        <f t="shared" si="52"/>
        <v>1.9090301442656925E-2</v>
      </c>
      <c r="E877" s="38">
        <f t="shared" si="53"/>
        <v>4.1622946308286666E-3</v>
      </c>
      <c r="H877" s="35">
        <v>45448</v>
      </c>
      <c r="I877" s="37">
        <v>1430.25</v>
      </c>
      <c r="J877" s="37">
        <v>74382.240000000005</v>
      </c>
      <c r="K877" s="38">
        <f t="shared" si="54"/>
        <v>2.9112382377103653E-2</v>
      </c>
      <c r="L877" s="38">
        <f t="shared" si="55"/>
        <v>9.2638833756304214E-3</v>
      </c>
    </row>
    <row r="878" spans="1:12">
      <c r="A878" s="35">
        <v>43626</v>
      </c>
      <c r="B878" s="37">
        <v>753.6</v>
      </c>
      <c r="C878" s="37">
        <v>39950.46</v>
      </c>
      <c r="D878" s="38">
        <f t="shared" si="52"/>
        <v>1.6573307515918444E-3</v>
      </c>
      <c r="E878" s="38">
        <f t="shared" si="53"/>
        <v>-4.8590393576515315E-3</v>
      </c>
      <c r="H878" s="35">
        <v>45449</v>
      </c>
      <c r="I878" s="37">
        <v>1472.5</v>
      </c>
      <c r="J878" s="37">
        <v>75074.509999999995</v>
      </c>
      <c r="K878" s="38">
        <f t="shared" si="54"/>
        <v>4.0493247789478992E-2</v>
      </c>
      <c r="L878" s="38">
        <f t="shared" si="55"/>
        <v>2.1334046528090411E-2</v>
      </c>
    </row>
    <row r="879" spans="1:12">
      <c r="A879" s="35">
        <v>43627</v>
      </c>
      <c r="B879" s="37">
        <v>754.85</v>
      </c>
      <c r="C879" s="37">
        <v>39756.81</v>
      </c>
      <c r="D879" s="38">
        <f t="shared" si="52"/>
        <v>-1.1930012019403869E-3</v>
      </c>
      <c r="E879" s="38">
        <f t="shared" si="53"/>
        <v>-3.8868819733863647E-4</v>
      </c>
      <c r="H879" s="35">
        <v>45450</v>
      </c>
      <c r="I879" s="37">
        <v>1533.35</v>
      </c>
      <c r="J879" s="37">
        <v>76693.36</v>
      </c>
      <c r="K879" s="38">
        <f t="shared" si="54"/>
        <v>-2.2223136784710124E-2</v>
      </c>
      <c r="L879" s="38">
        <f t="shared" si="55"/>
        <v>-2.6540743480785644E-3</v>
      </c>
    </row>
    <row r="880" spans="1:12">
      <c r="A880" s="35">
        <v>43628</v>
      </c>
      <c r="B880" s="37">
        <v>753.95</v>
      </c>
      <c r="C880" s="37">
        <v>39741.360000000001</v>
      </c>
      <c r="D880" s="38">
        <f t="shared" si="52"/>
        <v>-1.5033858136553819E-2</v>
      </c>
      <c r="E880" s="38">
        <f t="shared" si="53"/>
        <v>-7.3059415858017776E-3</v>
      </c>
      <c r="H880" s="35">
        <v>45453</v>
      </c>
      <c r="I880" s="37">
        <v>1499.65</v>
      </c>
      <c r="J880" s="37">
        <v>76490.080000000002</v>
      </c>
      <c r="K880" s="38">
        <f t="shared" si="54"/>
        <v>-2.7042834275520858E-3</v>
      </c>
      <c r="L880" s="38">
        <f t="shared" si="55"/>
        <v>-4.3793043072124632E-4</v>
      </c>
    </row>
    <row r="881" spans="1:12">
      <c r="A881" s="35">
        <v>43629</v>
      </c>
      <c r="B881" s="37">
        <v>742.7</v>
      </c>
      <c r="C881" s="37">
        <v>39452.07</v>
      </c>
      <c r="D881" s="38">
        <f t="shared" si="52"/>
        <v>-3.1016139759084626E-3</v>
      </c>
      <c r="E881" s="38">
        <f t="shared" si="53"/>
        <v>-1.2530761622046123E-2</v>
      </c>
      <c r="H881" s="35">
        <v>45454</v>
      </c>
      <c r="I881" s="37">
        <v>1495.6</v>
      </c>
      <c r="J881" s="37">
        <v>76456.59</v>
      </c>
      <c r="K881" s="38">
        <f t="shared" si="54"/>
        <v>-7.1126918661585849E-3</v>
      </c>
      <c r="L881" s="38">
        <f t="shared" si="55"/>
        <v>1.9597145126185205E-3</v>
      </c>
    </row>
    <row r="882" spans="1:12">
      <c r="A882" s="35">
        <v>43630</v>
      </c>
      <c r="B882" s="37">
        <v>740.4</v>
      </c>
      <c r="C882" s="37">
        <v>38960.79</v>
      </c>
      <c r="D882" s="38">
        <f t="shared" si="52"/>
        <v>0</v>
      </c>
      <c r="E882" s="38">
        <f t="shared" si="53"/>
        <v>2.1933901246752878E-3</v>
      </c>
      <c r="H882" s="35">
        <v>45455</v>
      </c>
      <c r="I882" s="37">
        <v>1485</v>
      </c>
      <c r="J882" s="37">
        <v>76606.570000000007</v>
      </c>
      <c r="K882" s="38">
        <f t="shared" si="54"/>
        <v>6.2096364675634803E-3</v>
      </c>
      <c r="L882" s="38">
        <f t="shared" si="55"/>
        <v>2.6637138627876827E-3</v>
      </c>
    </row>
    <row r="883" spans="1:12">
      <c r="A883" s="35">
        <v>43633</v>
      </c>
      <c r="B883" s="37">
        <v>740.4</v>
      </c>
      <c r="C883" s="37">
        <v>39046.339999999997</v>
      </c>
      <c r="D883" s="38">
        <f t="shared" si="52"/>
        <v>1.374891715897145E-2</v>
      </c>
      <c r="E883" s="38">
        <f t="shared" si="53"/>
        <v>1.699099221085718E-3</v>
      </c>
      <c r="H883" s="35">
        <v>45456</v>
      </c>
      <c r="I883" s="37">
        <v>1494.25</v>
      </c>
      <c r="J883" s="37">
        <v>76810.899999999994</v>
      </c>
      <c r="K883" s="38">
        <f t="shared" si="54"/>
        <v>-3.8219169494077242E-3</v>
      </c>
      <c r="L883" s="38">
        <f t="shared" si="55"/>
        <v>2.3649641750085686E-3</v>
      </c>
    </row>
    <row r="884" spans="1:12">
      <c r="A884" s="35">
        <v>43634</v>
      </c>
      <c r="B884" s="37">
        <v>750.65</v>
      </c>
      <c r="C884" s="37">
        <v>39112.74</v>
      </c>
      <c r="D884" s="38">
        <f t="shared" si="52"/>
        <v>1.5973381100152012E-3</v>
      </c>
      <c r="E884" s="38">
        <f t="shared" si="53"/>
        <v>1.2422033907572533E-2</v>
      </c>
      <c r="H884" s="35">
        <v>45457</v>
      </c>
      <c r="I884" s="37">
        <v>1488.55</v>
      </c>
      <c r="J884" s="37">
        <v>76992.77</v>
      </c>
      <c r="K884" s="38">
        <f t="shared" si="54"/>
        <v>6.2282547971656893E-3</v>
      </c>
      <c r="L884" s="38">
        <f t="shared" si="55"/>
        <v>3.9971818794499268E-3</v>
      </c>
    </row>
    <row r="885" spans="1:12">
      <c r="A885" s="35">
        <v>43635</v>
      </c>
      <c r="B885" s="37">
        <v>751.85</v>
      </c>
      <c r="C885" s="37">
        <v>39601.629999999997</v>
      </c>
      <c r="D885" s="38">
        <f t="shared" si="52"/>
        <v>3.5847090962302011E-3</v>
      </c>
      <c r="E885" s="38">
        <f t="shared" si="53"/>
        <v>-1.0334103337208026E-2</v>
      </c>
      <c r="H885" s="35">
        <v>45461</v>
      </c>
      <c r="I885" s="37">
        <v>1497.85</v>
      </c>
      <c r="J885" s="37">
        <v>77301.14</v>
      </c>
      <c r="K885" s="38">
        <f t="shared" si="54"/>
        <v>8.9725445764683078E-3</v>
      </c>
      <c r="L885" s="38">
        <f t="shared" si="55"/>
        <v>4.7142136610986901E-4</v>
      </c>
    </row>
    <row r="886" spans="1:12">
      <c r="A886" s="35">
        <v>43636</v>
      </c>
      <c r="B886" s="37">
        <v>754.55</v>
      </c>
      <c r="C886" s="37">
        <v>39194.49</v>
      </c>
      <c r="D886" s="38">
        <f t="shared" si="52"/>
        <v>-5.1154404856026984E-3</v>
      </c>
      <c r="E886" s="38">
        <f t="shared" si="53"/>
        <v>-1.8266687664019799E-3</v>
      </c>
      <c r="H886" s="35">
        <v>45462</v>
      </c>
      <c r="I886" s="37">
        <v>1511.35</v>
      </c>
      <c r="J886" s="37">
        <v>77337.59</v>
      </c>
      <c r="K886" s="38">
        <f t="shared" si="54"/>
        <v>2.6101480135267826E-3</v>
      </c>
      <c r="L886" s="38">
        <f t="shared" si="55"/>
        <v>1.8259038411154722E-3</v>
      </c>
    </row>
    <row r="887" spans="1:12">
      <c r="A887" s="35">
        <v>43637</v>
      </c>
      <c r="B887" s="37">
        <v>750.7</v>
      </c>
      <c r="C887" s="37">
        <v>39122.959999999999</v>
      </c>
      <c r="D887" s="38">
        <f t="shared" si="52"/>
        <v>-6.8168412075752969E-3</v>
      </c>
      <c r="E887" s="38">
        <f t="shared" si="53"/>
        <v>7.9427184318651804E-3</v>
      </c>
      <c r="H887" s="35">
        <v>45463</v>
      </c>
      <c r="I887" s="37">
        <v>1515.3</v>
      </c>
      <c r="J887" s="37">
        <v>77478.929999999993</v>
      </c>
      <c r="K887" s="38">
        <f t="shared" si="54"/>
        <v>1.0764790528391889E-2</v>
      </c>
      <c r="L887" s="38">
        <f t="shared" si="55"/>
        <v>-3.4783412770819618E-3</v>
      </c>
    </row>
    <row r="888" spans="1:12">
      <c r="A888" s="35">
        <v>43640</v>
      </c>
      <c r="B888" s="37">
        <v>745.6</v>
      </c>
      <c r="C888" s="37">
        <v>39434.94</v>
      </c>
      <c r="D888" s="38">
        <f t="shared" si="52"/>
        <v>3.2805572888597052E-3</v>
      </c>
      <c r="E888" s="38">
        <f t="shared" si="53"/>
        <v>3.9768729000322902E-3</v>
      </c>
      <c r="H888" s="35">
        <v>45464</v>
      </c>
      <c r="I888" s="37">
        <v>1531.7</v>
      </c>
      <c r="J888" s="37">
        <v>77209.899999999994</v>
      </c>
      <c r="K888" s="38">
        <f t="shared" si="54"/>
        <v>-2.9094971406320312E-3</v>
      </c>
      <c r="L888" s="38">
        <f t="shared" si="55"/>
        <v>1.6975632442061386E-3</v>
      </c>
    </row>
    <row r="889" spans="1:12">
      <c r="A889" s="35">
        <v>43641</v>
      </c>
      <c r="B889" s="37">
        <v>748.05</v>
      </c>
      <c r="C889" s="37">
        <v>39592.080000000002</v>
      </c>
      <c r="D889" s="38">
        <f t="shared" si="52"/>
        <v>-1.1292719321996419E-2</v>
      </c>
      <c r="E889" s="38">
        <f t="shared" si="53"/>
        <v>-1.4322071587099608E-4</v>
      </c>
      <c r="H889" s="35">
        <v>45467</v>
      </c>
      <c r="I889" s="37">
        <v>1527.25</v>
      </c>
      <c r="J889" s="37">
        <v>77341.08</v>
      </c>
      <c r="K889" s="38">
        <f t="shared" si="54"/>
        <v>9.1574836227976981E-3</v>
      </c>
      <c r="L889" s="38">
        <f t="shared" si="55"/>
        <v>9.1694948447498901E-3</v>
      </c>
    </row>
    <row r="890" spans="1:12">
      <c r="A890" s="35">
        <v>43642</v>
      </c>
      <c r="B890" s="37">
        <v>739.65</v>
      </c>
      <c r="C890" s="37">
        <v>39586.410000000003</v>
      </c>
      <c r="D890" s="38">
        <f t="shared" si="52"/>
        <v>-1.196886100294303E-2</v>
      </c>
      <c r="E890" s="38">
        <f t="shared" si="53"/>
        <v>-4.8561111015088228E-3</v>
      </c>
      <c r="H890" s="35">
        <v>45468</v>
      </c>
      <c r="I890" s="37">
        <v>1541.3</v>
      </c>
      <c r="J890" s="37">
        <v>78053.52</v>
      </c>
      <c r="K890" s="38">
        <f t="shared" si="54"/>
        <v>3.2439621756806995E-5</v>
      </c>
      <c r="L890" s="38">
        <f t="shared" si="55"/>
        <v>7.9211647767451973E-3</v>
      </c>
    </row>
    <row r="891" spans="1:12">
      <c r="A891" s="35">
        <v>43643</v>
      </c>
      <c r="B891" s="37">
        <v>730.85</v>
      </c>
      <c r="C891" s="37">
        <v>39394.639999999999</v>
      </c>
      <c r="D891" s="38">
        <f t="shared" si="52"/>
        <v>1.5039652821191376E-3</v>
      </c>
      <c r="E891" s="38">
        <f t="shared" si="53"/>
        <v>7.3813130446827493E-3</v>
      </c>
      <c r="H891" s="35">
        <v>45469</v>
      </c>
      <c r="I891" s="37">
        <v>1541.35</v>
      </c>
      <c r="J891" s="37">
        <v>78674.25</v>
      </c>
      <c r="K891" s="38">
        <f t="shared" si="54"/>
        <v>2.0643781730030685E-2</v>
      </c>
      <c r="L891" s="38">
        <f t="shared" si="55"/>
        <v>7.2054422553910194E-3</v>
      </c>
    </row>
    <row r="892" spans="1:12">
      <c r="A892" s="35">
        <v>43644</v>
      </c>
      <c r="B892" s="37">
        <v>731.95</v>
      </c>
      <c r="C892" s="37">
        <v>39686.5</v>
      </c>
      <c r="D892" s="38">
        <f t="shared" si="52"/>
        <v>-1.0935685595328368E-3</v>
      </c>
      <c r="E892" s="38">
        <f t="shared" si="53"/>
        <v>3.2698174536094087E-3</v>
      </c>
      <c r="H892" s="35">
        <v>45470</v>
      </c>
      <c r="I892" s="37">
        <v>1573.5</v>
      </c>
      <c r="J892" s="37">
        <v>79243.179999999993</v>
      </c>
      <c r="K892" s="38">
        <f t="shared" si="54"/>
        <v>-4.1713827621736666E-3</v>
      </c>
      <c r="L892" s="38">
        <f t="shared" si="55"/>
        <v>-2.6592818075892306E-3</v>
      </c>
    </row>
    <row r="893" spans="1:12">
      <c r="A893" s="35">
        <v>43647</v>
      </c>
      <c r="B893" s="37">
        <v>731.15</v>
      </c>
      <c r="C893" s="37">
        <v>39816.480000000003</v>
      </c>
      <c r="D893" s="38">
        <f t="shared" si="52"/>
        <v>1.1896404873617105E-2</v>
      </c>
      <c r="E893" s="38">
        <f t="shared" si="53"/>
        <v>5.7171029931433071E-4</v>
      </c>
      <c r="H893" s="35">
        <v>45471</v>
      </c>
      <c r="I893" s="37">
        <v>1566.95</v>
      </c>
      <c r="J893" s="37">
        <v>79032.73</v>
      </c>
      <c r="K893" s="38">
        <f t="shared" si="54"/>
        <v>1.4445716405229323E-2</v>
      </c>
      <c r="L893" s="38">
        <f t="shared" si="55"/>
        <v>5.5954094824314602E-3</v>
      </c>
    </row>
    <row r="894" spans="1:12">
      <c r="A894" s="35">
        <v>43648</v>
      </c>
      <c r="B894" s="37">
        <v>739.9</v>
      </c>
      <c r="C894" s="37">
        <v>39839.25</v>
      </c>
      <c r="D894" s="38">
        <f t="shared" si="52"/>
        <v>-1.1417821471326266E-2</v>
      </c>
      <c r="E894" s="38">
        <f t="shared" si="53"/>
        <v>1.7257012700892277E-3</v>
      </c>
      <c r="H894" s="35">
        <v>45474</v>
      </c>
      <c r="I894" s="37">
        <v>1589.75</v>
      </c>
      <c r="J894" s="37">
        <v>79476.19</v>
      </c>
      <c r="K894" s="38">
        <f t="shared" si="54"/>
        <v>1.946647158815893E-2</v>
      </c>
      <c r="L894" s="38">
        <f t="shared" si="55"/>
        <v>-4.3720760707731583E-4</v>
      </c>
    </row>
    <row r="895" spans="1:12">
      <c r="A895" s="35">
        <v>43649</v>
      </c>
      <c r="B895" s="37">
        <v>731.5</v>
      </c>
      <c r="C895" s="37">
        <v>39908.06</v>
      </c>
      <c r="D895" s="38">
        <f t="shared" si="52"/>
        <v>3.2755590908381525E-3</v>
      </c>
      <c r="E895" s="38">
        <f t="shared" si="53"/>
        <v>-9.9387067024630672E-3</v>
      </c>
      <c r="H895" s="35">
        <v>45475</v>
      </c>
      <c r="I895" s="37">
        <v>1621</v>
      </c>
      <c r="J895" s="37">
        <v>79441.45</v>
      </c>
      <c r="K895" s="38">
        <f t="shared" si="54"/>
        <v>4.0632943918586205E-3</v>
      </c>
      <c r="L895" s="38">
        <f t="shared" si="55"/>
        <v>6.8413487201609757E-3</v>
      </c>
    </row>
    <row r="896" spans="1:12">
      <c r="A896" s="35">
        <v>43650</v>
      </c>
      <c r="B896" s="37">
        <v>733.9</v>
      </c>
      <c r="C896" s="37">
        <v>39513.39</v>
      </c>
      <c r="D896" s="38">
        <f t="shared" si="52"/>
        <v>-2.1555081691618135E-2</v>
      </c>
      <c r="E896" s="38">
        <f t="shared" si="53"/>
        <v>-2.0268618431218254E-2</v>
      </c>
      <c r="H896" s="35">
        <v>45476</v>
      </c>
      <c r="I896" s="37">
        <v>1627.6</v>
      </c>
      <c r="J896" s="37">
        <v>79986.8</v>
      </c>
      <c r="K896" s="38">
        <f t="shared" si="54"/>
        <v>1.3153466515810123E-2</v>
      </c>
      <c r="L896" s="38">
        <f t="shared" si="55"/>
        <v>7.8569595085707525E-4</v>
      </c>
    </row>
    <row r="897" spans="1:12">
      <c r="A897" s="35">
        <v>43651</v>
      </c>
      <c r="B897" s="37">
        <v>718.25</v>
      </c>
      <c r="C897" s="37">
        <v>38720.57</v>
      </c>
      <c r="D897" s="38">
        <f t="shared" si="52"/>
        <v>-1.1144390649833146E-3</v>
      </c>
      <c r="E897" s="38">
        <f t="shared" si="53"/>
        <v>2.6468214604891539E-4</v>
      </c>
      <c r="H897" s="35">
        <v>45477</v>
      </c>
      <c r="I897" s="37">
        <v>1649.15</v>
      </c>
      <c r="J897" s="37">
        <v>80049.67</v>
      </c>
      <c r="K897" s="38">
        <f t="shared" si="54"/>
        <v>-1.1831269297651952E-3</v>
      </c>
      <c r="L897" s="38">
        <f t="shared" si="55"/>
        <v>-6.6318324001005298E-4</v>
      </c>
    </row>
    <row r="898" spans="1:12">
      <c r="A898" s="35">
        <v>43654</v>
      </c>
      <c r="B898" s="37">
        <v>717.45</v>
      </c>
      <c r="C898" s="37">
        <v>38730.82</v>
      </c>
      <c r="D898" s="38">
        <f t="shared" si="52"/>
        <v>-2.8614319694983078E-3</v>
      </c>
      <c r="E898" s="38">
        <f t="shared" si="53"/>
        <v>-4.4969622100508953E-3</v>
      </c>
      <c r="H898" s="35">
        <v>45478</v>
      </c>
      <c r="I898" s="37">
        <v>1647.2</v>
      </c>
      <c r="J898" s="37">
        <v>79996.600000000006</v>
      </c>
      <c r="K898" s="38">
        <f t="shared" si="54"/>
        <v>8.7342078736768105E-3</v>
      </c>
      <c r="L898" s="38">
        <f t="shared" si="55"/>
        <v>-4.528717736360783E-4</v>
      </c>
    </row>
    <row r="899" spans="1:12">
      <c r="A899" s="35">
        <v>43655</v>
      </c>
      <c r="B899" s="37">
        <v>715.4</v>
      </c>
      <c r="C899" s="37">
        <v>38557.040000000001</v>
      </c>
      <c r="D899" s="38">
        <f t="shared" si="52"/>
        <v>2.0945340339091883E-3</v>
      </c>
      <c r="E899" s="38">
        <f t="shared" si="53"/>
        <v>6.8769845651983916E-3</v>
      </c>
      <c r="H899" s="35">
        <v>45481</v>
      </c>
      <c r="I899" s="37">
        <v>1661.65</v>
      </c>
      <c r="J899" s="37">
        <v>79960.38</v>
      </c>
      <c r="K899" s="38">
        <f t="shared" si="54"/>
        <v>-2.651482465755649E-3</v>
      </c>
      <c r="L899" s="38">
        <f t="shared" si="55"/>
        <v>4.8812406813047386E-3</v>
      </c>
    </row>
    <row r="900" spans="1:12">
      <c r="A900" s="35">
        <v>43656</v>
      </c>
      <c r="B900" s="37">
        <v>716.9</v>
      </c>
      <c r="C900" s="37">
        <v>38823.11</v>
      </c>
      <c r="D900" s="38">
        <f t="shared" si="52"/>
        <v>5.4947103990863732E-3</v>
      </c>
      <c r="E900" s="38">
        <f t="shared" si="53"/>
        <v>-2.2403500684450269E-3</v>
      </c>
      <c r="H900" s="35">
        <v>45482</v>
      </c>
      <c r="I900" s="37">
        <v>1657.25</v>
      </c>
      <c r="J900" s="37">
        <v>80351.64</v>
      </c>
      <c r="K900" s="38">
        <f t="shared" si="54"/>
        <v>-5.7792260581151821E-3</v>
      </c>
      <c r="L900" s="38">
        <f t="shared" si="55"/>
        <v>-5.3266854344766979E-3</v>
      </c>
    </row>
    <row r="901" spans="1:12">
      <c r="A901" s="35">
        <v>43657</v>
      </c>
      <c r="B901" s="37">
        <v>720.85</v>
      </c>
      <c r="C901" s="37">
        <v>38736.230000000003</v>
      </c>
      <c r="D901" s="38">
        <f t="shared" ref="D901:D964" si="56">LN(B902/B901)</f>
        <v>8.6329483980984428E-3</v>
      </c>
      <c r="E901" s="38">
        <f t="shared" ref="E901:E964" si="57">LN(C902/C901)</f>
        <v>4.1343334050334066E-3</v>
      </c>
      <c r="H901" s="35">
        <v>45483</v>
      </c>
      <c r="I901" s="37">
        <v>1647.7</v>
      </c>
      <c r="J901" s="37">
        <v>79924.77</v>
      </c>
      <c r="K901" s="38">
        <f t="shared" ref="K901:K964" si="58">LN(I902/I901)</f>
        <v>3.2416903340537094E-3</v>
      </c>
      <c r="L901" s="38">
        <f t="shared" ref="L901:L964" si="59">LN(J902/J901)</f>
        <v>-3.432566403901553E-4</v>
      </c>
    </row>
    <row r="902" spans="1:12">
      <c r="A902" s="35">
        <v>43658</v>
      </c>
      <c r="B902" s="37">
        <v>727.1</v>
      </c>
      <c r="C902" s="37">
        <v>38896.71</v>
      </c>
      <c r="D902" s="38">
        <f t="shared" si="56"/>
        <v>6.9524523102678745E-2</v>
      </c>
      <c r="E902" s="38">
        <f t="shared" si="57"/>
        <v>6.0063427300327101E-3</v>
      </c>
      <c r="H902" s="35">
        <v>45484</v>
      </c>
      <c r="I902" s="37">
        <v>1653.05</v>
      </c>
      <c r="J902" s="37">
        <v>79897.34</v>
      </c>
      <c r="K902" s="38">
        <f t="shared" si="58"/>
        <v>3.5040211304247941E-2</v>
      </c>
      <c r="L902" s="38">
        <f t="shared" si="59"/>
        <v>7.754843413153285E-3</v>
      </c>
    </row>
    <row r="903" spans="1:12">
      <c r="A903" s="35">
        <v>43661</v>
      </c>
      <c r="B903" s="37">
        <v>779.45</v>
      </c>
      <c r="C903" s="37">
        <v>39131.040000000001</v>
      </c>
      <c r="D903" s="38">
        <f t="shared" si="56"/>
        <v>7.0314787276365377E-3</v>
      </c>
      <c r="E903" s="38">
        <f t="shared" si="57"/>
        <v>2.1596328748402101E-3</v>
      </c>
      <c r="H903" s="35">
        <v>45485</v>
      </c>
      <c r="I903" s="37">
        <v>1712</v>
      </c>
      <c r="J903" s="37">
        <v>80519.34</v>
      </c>
      <c r="K903" s="38">
        <f t="shared" si="58"/>
        <v>-2.8076761541984134E-3</v>
      </c>
      <c r="L903" s="38">
        <f t="shared" si="59"/>
        <v>1.8056365268662034E-3</v>
      </c>
    </row>
    <row r="904" spans="1:12">
      <c r="A904" s="35">
        <v>43662</v>
      </c>
      <c r="B904" s="37">
        <v>784.95</v>
      </c>
      <c r="C904" s="37">
        <v>39215.64</v>
      </c>
      <c r="D904" s="38">
        <f t="shared" si="56"/>
        <v>1.1841202152759779E-2</v>
      </c>
      <c r="E904" s="38">
        <f t="shared" si="57"/>
        <v>-8.1466939543323319E-3</v>
      </c>
      <c r="H904" s="35">
        <v>45488</v>
      </c>
      <c r="I904" s="37">
        <v>1707.2</v>
      </c>
      <c r="J904" s="37">
        <v>80664.86</v>
      </c>
      <c r="K904" s="38">
        <f t="shared" si="58"/>
        <v>1.0836109526718155E-2</v>
      </c>
      <c r="L904" s="38">
        <f t="shared" si="59"/>
        <v>6.4059425143991476E-4</v>
      </c>
    </row>
    <row r="905" spans="1:12">
      <c r="A905" s="35">
        <v>43663</v>
      </c>
      <c r="B905" s="37">
        <v>794.3</v>
      </c>
      <c r="C905" s="37">
        <v>38897.46</v>
      </c>
      <c r="D905" s="38">
        <f t="shared" si="56"/>
        <v>-1.4488647846221288E-3</v>
      </c>
      <c r="E905" s="38">
        <f t="shared" si="57"/>
        <v>-1.451320472347126E-2</v>
      </c>
      <c r="H905" s="35">
        <v>45489</v>
      </c>
      <c r="I905" s="37">
        <v>1725.8</v>
      </c>
      <c r="J905" s="37">
        <v>80716.55</v>
      </c>
      <c r="K905" s="38">
        <f t="shared" si="58"/>
        <v>1.9140026752426934E-2</v>
      </c>
      <c r="L905" s="38">
        <f t="shared" si="59"/>
        <v>7.7368022763193494E-3</v>
      </c>
    </row>
    <row r="906" spans="1:12">
      <c r="A906" s="35">
        <v>43664</v>
      </c>
      <c r="B906" s="37">
        <v>793.15</v>
      </c>
      <c r="C906" s="37">
        <v>38337.01</v>
      </c>
      <c r="D906" s="38">
        <f t="shared" si="56"/>
        <v>-9.5646018142080784E-3</v>
      </c>
      <c r="E906" s="38">
        <f t="shared" si="57"/>
        <v>-8.0107132563520273E-3</v>
      </c>
      <c r="H906" s="35">
        <v>45491</v>
      </c>
      <c r="I906" s="37">
        <v>1759.15</v>
      </c>
      <c r="J906" s="37">
        <v>81343.460000000006</v>
      </c>
      <c r="K906" s="38">
        <f t="shared" si="58"/>
        <v>1.8975794606301194E-2</v>
      </c>
      <c r="L906" s="38">
        <f t="shared" si="59"/>
        <v>-9.1240969151737475E-3</v>
      </c>
    </row>
    <row r="907" spans="1:12">
      <c r="A907" s="35">
        <v>43665</v>
      </c>
      <c r="B907" s="37">
        <v>785.6</v>
      </c>
      <c r="C907" s="37">
        <v>38031.129999999997</v>
      </c>
      <c r="D907" s="38">
        <f t="shared" si="56"/>
        <v>-5.7297470929337921E-4</v>
      </c>
      <c r="E907" s="38">
        <f t="shared" si="57"/>
        <v>-1.2731888676822463E-3</v>
      </c>
      <c r="H907" s="35">
        <v>45492</v>
      </c>
      <c r="I907" s="37">
        <v>1792.85</v>
      </c>
      <c r="J907" s="37">
        <v>80604.649999999994</v>
      </c>
      <c r="K907" s="38">
        <f t="shared" si="58"/>
        <v>9.8241340719022689E-3</v>
      </c>
      <c r="L907" s="38">
        <f t="shared" si="59"/>
        <v>-1.2733175561117206E-3</v>
      </c>
    </row>
    <row r="908" spans="1:12">
      <c r="A908" s="35">
        <v>43668</v>
      </c>
      <c r="B908" s="37">
        <v>785.15</v>
      </c>
      <c r="C908" s="37">
        <v>37982.74</v>
      </c>
      <c r="D908" s="38">
        <f t="shared" si="56"/>
        <v>6.0315728394105071E-3</v>
      </c>
      <c r="E908" s="38">
        <f t="shared" si="57"/>
        <v>-3.562955245515401E-3</v>
      </c>
      <c r="H908" s="35">
        <v>45495</v>
      </c>
      <c r="I908" s="37">
        <v>1810.55</v>
      </c>
      <c r="J908" s="37">
        <v>80502.080000000002</v>
      </c>
      <c r="K908" s="38">
        <f t="shared" si="58"/>
        <v>1.4475921049172591E-2</v>
      </c>
      <c r="L908" s="38">
        <f t="shared" si="59"/>
        <v>-9.0771760011523533E-4</v>
      </c>
    </row>
    <row r="909" spans="1:12">
      <c r="A909" s="35">
        <v>43669</v>
      </c>
      <c r="B909" s="37">
        <v>789.9</v>
      </c>
      <c r="C909" s="37">
        <v>37847.65</v>
      </c>
      <c r="D909" s="38">
        <f t="shared" si="56"/>
        <v>-4.8859515328505678E-3</v>
      </c>
      <c r="E909" s="38">
        <f t="shared" si="57"/>
        <v>-4.4054709419585262E-4</v>
      </c>
      <c r="H909" s="35">
        <v>45496</v>
      </c>
      <c r="I909" s="37">
        <v>1836.95</v>
      </c>
      <c r="J909" s="37">
        <v>80429.039999999994</v>
      </c>
      <c r="K909" s="38">
        <f t="shared" si="58"/>
        <v>-3.6813370727321422E-3</v>
      </c>
      <c r="L909" s="38">
        <f t="shared" si="59"/>
        <v>-3.4893998411098682E-3</v>
      </c>
    </row>
    <row r="910" spans="1:12">
      <c r="A910" s="35">
        <v>43670</v>
      </c>
      <c r="B910" s="37">
        <v>786.05</v>
      </c>
      <c r="C910" s="37">
        <v>37830.980000000003</v>
      </c>
      <c r="D910" s="38">
        <f t="shared" si="56"/>
        <v>1.1384602120883078E-2</v>
      </c>
      <c r="E910" s="38">
        <f t="shared" si="57"/>
        <v>1.3685755731531592E-3</v>
      </c>
      <c r="H910" s="35">
        <v>45497</v>
      </c>
      <c r="I910" s="37">
        <v>1830.2</v>
      </c>
      <c r="J910" s="37">
        <v>80148.88</v>
      </c>
      <c r="K910" s="38">
        <f t="shared" si="58"/>
        <v>-2.6535010303591422E-3</v>
      </c>
      <c r="L910" s="38">
        <f t="shared" si="59"/>
        <v>-1.3618941970148515E-3</v>
      </c>
    </row>
    <row r="911" spans="1:12">
      <c r="A911" s="35">
        <v>43671</v>
      </c>
      <c r="B911" s="37">
        <v>795.05</v>
      </c>
      <c r="C911" s="37">
        <v>37882.79</v>
      </c>
      <c r="D911" s="38">
        <f t="shared" si="56"/>
        <v>-9.7956355679843995E-3</v>
      </c>
      <c r="E911" s="38">
        <f t="shared" si="57"/>
        <v>-5.1984286270239533E-3</v>
      </c>
      <c r="H911" s="35">
        <v>45498</v>
      </c>
      <c r="I911" s="37">
        <v>1825.35</v>
      </c>
      <c r="J911" s="37">
        <v>80039.8</v>
      </c>
      <c r="K911" s="38">
        <f t="shared" si="58"/>
        <v>2.8834912616265567E-2</v>
      </c>
      <c r="L911" s="38">
        <f t="shared" si="59"/>
        <v>1.6024384651266189E-2</v>
      </c>
    </row>
    <row r="912" spans="1:12">
      <c r="A912" s="35">
        <v>43672</v>
      </c>
      <c r="B912" s="37">
        <v>787.3</v>
      </c>
      <c r="C912" s="37">
        <v>37686.370000000003</v>
      </c>
      <c r="D912" s="38">
        <f t="shared" si="56"/>
        <v>5.3836783293649574E-3</v>
      </c>
      <c r="E912" s="38">
        <f t="shared" si="57"/>
        <v>-7.7015857157154595E-3</v>
      </c>
      <c r="H912" s="35">
        <v>45499</v>
      </c>
      <c r="I912" s="37">
        <v>1878.75</v>
      </c>
      <c r="J912" s="37">
        <v>81332.72</v>
      </c>
      <c r="K912" s="38">
        <f t="shared" si="58"/>
        <v>-3.4390404590772744E-3</v>
      </c>
      <c r="L912" s="38">
        <f t="shared" si="59"/>
        <v>2.8422404323491236E-4</v>
      </c>
    </row>
    <row r="913" spans="1:12">
      <c r="A913" s="35">
        <v>43675</v>
      </c>
      <c r="B913" s="37">
        <v>791.55</v>
      </c>
      <c r="C913" s="37">
        <v>37397.24</v>
      </c>
      <c r="D913" s="38">
        <f t="shared" si="56"/>
        <v>1.5779344959916202E-3</v>
      </c>
      <c r="E913" s="38">
        <f t="shared" si="57"/>
        <v>2.2404346218758194E-3</v>
      </c>
      <c r="H913" s="35">
        <v>45502</v>
      </c>
      <c r="I913" s="37">
        <v>1872.3</v>
      </c>
      <c r="J913" s="37">
        <v>81355.839999999997</v>
      </c>
      <c r="K913" s="38">
        <f t="shared" si="58"/>
        <v>2.5071359784018935E-3</v>
      </c>
      <c r="L913" s="38">
        <f t="shared" si="59"/>
        <v>1.2230115366701842E-3</v>
      </c>
    </row>
    <row r="914" spans="1:12">
      <c r="A914" s="35">
        <v>43676</v>
      </c>
      <c r="B914" s="37">
        <v>792.8</v>
      </c>
      <c r="C914" s="37">
        <v>37481.120000000003</v>
      </c>
      <c r="D914" s="38">
        <f t="shared" si="56"/>
        <v>1.5124782313575191E-3</v>
      </c>
      <c r="E914" s="38">
        <f t="shared" si="57"/>
        <v>-1.2424414287395135E-2</v>
      </c>
      <c r="H914" s="35">
        <v>45503</v>
      </c>
      <c r="I914" s="37">
        <v>1877</v>
      </c>
      <c r="J914" s="37">
        <v>81455.399999999994</v>
      </c>
      <c r="K914" s="38">
        <f t="shared" si="58"/>
        <v>-4.7796515606507665E-3</v>
      </c>
      <c r="L914" s="38">
        <f t="shared" si="59"/>
        <v>3.5042402514255315E-3</v>
      </c>
    </row>
    <row r="915" spans="1:12">
      <c r="A915" s="35">
        <v>43677</v>
      </c>
      <c r="B915" s="37">
        <v>794</v>
      </c>
      <c r="C915" s="37">
        <v>37018.32</v>
      </c>
      <c r="D915" s="38">
        <f t="shared" si="56"/>
        <v>-3.1927474349316545E-2</v>
      </c>
      <c r="E915" s="38">
        <f t="shared" si="57"/>
        <v>2.6950289416251428E-3</v>
      </c>
      <c r="H915" s="35">
        <v>45504</v>
      </c>
      <c r="I915" s="37">
        <v>1868.05</v>
      </c>
      <c r="J915" s="37">
        <v>81741.34</v>
      </c>
      <c r="K915" s="38">
        <f t="shared" si="58"/>
        <v>-8.4669958971807183E-3</v>
      </c>
      <c r="L915" s="38">
        <f t="shared" si="59"/>
        <v>1.542826004564158E-3</v>
      </c>
    </row>
    <row r="916" spans="1:12">
      <c r="A916" s="35">
        <v>43678</v>
      </c>
      <c r="B916" s="37">
        <v>769.05</v>
      </c>
      <c r="C916" s="37">
        <v>37118.22</v>
      </c>
      <c r="D916" s="38">
        <f t="shared" si="56"/>
        <v>8.2230383390095047E-3</v>
      </c>
      <c r="E916" s="38">
        <f t="shared" si="57"/>
        <v>-1.1335558804034428E-2</v>
      </c>
      <c r="H916" s="35">
        <v>45505</v>
      </c>
      <c r="I916" s="37">
        <v>1852.3</v>
      </c>
      <c r="J916" s="37">
        <v>81867.55</v>
      </c>
      <c r="K916" s="38">
        <f t="shared" si="58"/>
        <v>-1.6822673994959039E-2</v>
      </c>
      <c r="L916" s="38">
        <f t="shared" si="59"/>
        <v>-1.0876407115093309E-2</v>
      </c>
    </row>
    <row r="917" spans="1:12">
      <c r="A917" s="35">
        <v>43679</v>
      </c>
      <c r="B917" s="37">
        <v>775.4</v>
      </c>
      <c r="C917" s="37">
        <v>36699.839999999997</v>
      </c>
      <c r="D917" s="38">
        <f t="shared" si="56"/>
        <v>1.7395230363280328E-3</v>
      </c>
      <c r="E917" s="38">
        <f t="shared" si="57"/>
        <v>7.5196457738438364E-3</v>
      </c>
      <c r="H917" s="35">
        <v>45506</v>
      </c>
      <c r="I917" s="37">
        <v>1821.4</v>
      </c>
      <c r="J917" s="37">
        <v>80981.95</v>
      </c>
      <c r="K917" s="38">
        <f t="shared" si="58"/>
        <v>-3.9189968045594104E-2</v>
      </c>
      <c r="L917" s="38">
        <f t="shared" si="59"/>
        <v>-2.7828654672190808E-2</v>
      </c>
    </row>
    <row r="918" spans="1:12">
      <c r="A918" s="35">
        <v>43682</v>
      </c>
      <c r="B918" s="37">
        <v>776.75</v>
      </c>
      <c r="C918" s="37">
        <v>36976.85</v>
      </c>
      <c r="D918" s="38">
        <f t="shared" si="56"/>
        <v>-2.7072338308559382E-3</v>
      </c>
      <c r="E918" s="38">
        <f t="shared" si="57"/>
        <v>-7.7741751860368078E-3</v>
      </c>
      <c r="H918" s="35">
        <v>45509</v>
      </c>
      <c r="I918" s="37">
        <v>1751.4</v>
      </c>
      <c r="J918" s="37">
        <v>78759.399999999994</v>
      </c>
      <c r="K918" s="38">
        <f t="shared" si="58"/>
        <v>-4.2832056165164315E-4</v>
      </c>
      <c r="L918" s="38">
        <f t="shared" si="59"/>
        <v>-2.1141080524547415E-3</v>
      </c>
    </row>
    <row r="919" spans="1:12">
      <c r="A919" s="35">
        <v>43683</v>
      </c>
      <c r="B919" s="37">
        <v>774.65</v>
      </c>
      <c r="C919" s="37">
        <v>36690.5</v>
      </c>
      <c r="D919" s="38">
        <f t="shared" si="56"/>
        <v>1.9344860301516397E-3</v>
      </c>
      <c r="E919" s="38">
        <f t="shared" si="57"/>
        <v>1.7208703859815801E-2</v>
      </c>
      <c r="H919" s="35">
        <v>45510</v>
      </c>
      <c r="I919" s="37">
        <v>1750.65</v>
      </c>
      <c r="J919" s="37">
        <v>78593.070000000007</v>
      </c>
      <c r="K919" s="38">
        <f t="shared" si="58"/>
        <v>2.3345167008403282E-2</v>
      </c>
      <c r="L919" s="38">
        <f t="shared" si="59"/>
        <v>1.1071023133415431E-2</v>
      </c>
    </row>
    <row r="920" spans="1:12">
      <c r="A920" s="35">
        <v>43684</v>
      </c>
      <c r="B920" s="37">
        <v>776.15</v>
      </c>
      <c r="C920" s="37">
        <v>37327.360000000001</v>
      </c>
      <c r="D920" s="38">
        <f t="shared" si="56"/>
        <v>1.6547255054537042E-2</v>
      </c>
      <c r="E920" s="38">
        <f t="shared" si="57"/>
        <v>6.7962477750234196E-3</v>
      </c>
      <c r="H920" s="35">
        <v>45511</v>
      </c>
      <c r="I920" s="37">
        <v>1792</v>
      </c>
      <c r="J920" s="37">
        <v>79468.009999999995</v>
      </c>
      <c r="K920" s="38">
        <f t="shared" si="58"/>
        <v>-2.8815217162322999E-2</v>
      </c>
      <c r="L920" s="38">
        <f t="shared" si="59"/>
        <v>-7.3479896016784389E-3</v>
      </c>
    </row>
    <row r="921" spans="1:12">
      <c r="A921" s="35">
        <v>43685</v>
      </c>
      <c r="B921" s="37">
        <v>789.1</v>
      </c>
      <c r="C921" s="37">
        <v>37581.910000000003</v>
      </c>
      <c r="D921" s="38">
        <f t="shared" si="56"/>
        <v>1.3297453281233809E-3</v>
      </c>
      <c r="E921" s="38">
        <f t="shared" si="57"/>
        <v>-1.6736355616185007E-2</v>
      </c>
      <c r="H921" s="35">
        <v>45512</v>
      </c>
      <c r="I921" s="37">
        <v>1741.1</v>
      </c>
      <c r="J921" s="37">
        <v>78886.22</v>
      </c>
      <c r="K921" s="38">
        <f t="shared" si="58"/>
        <v>1.6942559912425371E-2</v>
      </c>
      <c r="L921" s="38">
        <f t="shared" si="59"/>
        <v>1.0337174980048292E-2</v>
      </c>
    </row>
    <row r="922" spans="1:12">
      <c r="A922" s="35">
        <v>43686</v>
      </c>
      <c r="B922" s="37">
        <v>790.15</v>
      </c>
      <c r="C922" s="37">
        <v>36958.160000000003</v>
      </c>
      <c r="D922" s="38">
        <f t="shared" si="56"/>
        <v>-3.352413020159168E-2</v>
      </c>
      <c r="E922" s="38">
        <f t="shared" si="57"/>
        <v>9.515932180527811E-3</v>
      </c>
      <c r="H922" s="35">
        <v>45513</v>
      </c>
      <c r="I922" s="37">
        <v>1770.85</v>
      </c>
      <c r="J922" s="37">
        <v>79705.91</v>
      </c>
      <c r="K922" s="38">
        <f t="shared" si="58"/>
        <v>1.4964969335037317E-2</v>
      </c>
      <c r="L922" s="38">
        <f t="shared" si="59"/>
        <v>-7.1525917889850082E-4</v>
      </c>
    </row>
    <row r="923" spans="1:12">
      <c r="A923" s="35">
        <v>43690</v>
      </c>
      <c r="B923" s="37">
        <v>764.1</v>
      </c>
      <c r="C923" s="37">
        <v>37311.53</v>
      </c>
      <c r="D923" s="38">
        <f t="shared" si="56"/>
        <v>1.4035318116383365E-2</v>
      </c>
      <c r="E923" s="38">
        <f t="shared" si="57"/>
        <v>1.0393527161745436E-3</v>
      </c>
      <c r="H923" s="35">
        <v>45516</v>
      </c>
      <c r="I923" s="37">
        <v>1797.55</v>
      </c>
      <c r="J923" s="37">
        <v>79648.92</v>
      </c>
      <c r="K923" s="38">
        <f t="shared" si="58"/>
        <v>-4.1732163583675441E-4</v>
      </c>
      <c r="L923" s="38">
        <f t="shared" si="59"/>
        <v>-8.7373617029684915E-3</v>
      </c>
    </row>
    <row r="924" spans="1:12">
      <c r="A924" s="35">
        <v>43691</v>
      </c>
      <c r="B924" s="37">
        <v>774.9</v>
      </c>
      <c r="C924" s="37">
        <v>37350.33</v>
      </c>
      <c r="D924" s="38">
        <f t="shared" si="56"/>
        <v>-4.5177321753255012E-4</v>
      </c>
      <c r="E924" s="38">
        <f t="shared" si="57"/>
        <v>1.3955328632467262E-3</v>
      </c>
      <c r="H924" s="35">
        <v>45517</v>
      </c>
      <c r="I924" s="37">
        <v>1796.8</v>
      </c>
      <c r="J924" s="37">
        <v>78956.03</v>
      </c>
      <c r="K924" s="38">
        <f t="shared" si="58"/>
        <v>1.4284181038551896E-2</v>
      </c>
      <c r="L924" s="38">
        <f t="shared" si="59"/>
        <v>1.8960930548628816E-3</v>
      </c>
    </row>
    <row r="925" spans="1:12">
      <c r="A925" s="35">
        <v>43693</v>
      </c>
      <c r="B925" s="37">
        <v>774.55</v>
      </c>
      <c r="C925" s="37">
        <v>37402.49</v>
      </c>
      <c r="D925" s="38">
        <f t="shared" si="56"/>
        <v>4.1872061692749809E-3</v>
      </c>
      <c r="E925" s="38">
        <f t="shared" si="57"/>
        <v>-1.9932965699550839E-3</v>
      </c>
      <c r="H925" s="35">
        <v>45518</v>
      </c>
      <c r="I925" s="37">
        <v>1822.65</v>
      </c>
      <c r="J925" s="37">
        <v>79105.88</v>
      </c>
      <c r="K925" s="38">
        <f t="shared" si="58"/>
        <v>1.9935478242722893E-2</v>
      </c>
      <c r="L925" s="38">
        <f t="shared" si="59"/>
        <v>1.6685071900488589E-2</v>
      </c>
    </row>
    <row r="926" spans="1:12">
      <c r="A926" s="35">
        <v>43696</v>
      </c>
      <c r="B926" s="37">
        <v>777.8</v>
      </c>
      <c r="C926" s="37">
        <v>37328.01</v>
      </c>
      <c r="D926" s="38">
        <f t="shared" si="56"/>
        <v>1.9227688556706288E-2</v>
      </c>
      <c r="E926" s="38">
        <f t="shared" si="57"/>
        <v>-7.1957785570383294E-3</v>
      </c>
      <c r="H926" s="35">
        <v>45520</v>
      </c>
      <c r="I926" s="37">
        <v>1859.35</v>
      </c>
      <c r="J926" s="37">
        <v>80436.84</v>
      </c>
      <c r="K926" s="38">
        <f t="shared" si="58"/>
        <v>2.5513986097465183E-3</v>
      </c>
      <c r="L926" s="38">
        <f t="shared" si="59"/>
        <v>-1.5118593959777287E-4</v>
      </c>
    </row>
    <row r="927" spans="1:12">
      <c r="A927" s="35">
        <v>43697</v>
      </c>
      <c r="B927" s="37">
        <v>792.9</v>
      </c>
      <c r="C927" s="37">
        <v>37060.370000000003</v>
      </c>
      <c r="D927" s="38">
        <f t="shared" si="56"/>
        <v>8.3519591270978608E-3</v>
      </c>
      <c r="E927" s="38">
        <f t="shared" si="57"/>
        <v>-1.5977863018426235E-2</v>
      </c>
      <c r="H927" s="35">
        <v>45523</v>
      </c>
      <c r="I927" s="37">
        <v>1864.1</v>
      </c>
      <c r="J927" s="37">
        <v>80424.679999999993</v>
      </c>
      <c r="K927" s="38">
        <f t="shared" si="58"/>
        <v>5.0299763585422898E-3</v>
      </c>
      <c r="L927" s="38">
        <f t="shared" si="59"/>
        <v>4.6912666853485361E-3</v>
      </c>
    </row>
    <row r="928" spans="1:12">
      <c r="A928" s="35">
        <v>43698</v>
      </c>
      <c r="B928" s="37">
        <v>799.55</v>
      </c>
      <c r="C928" s="37">
        <v>36472.93</v>
      </c>
      <c r="D928" s="38">
        <f t="shared" si="56"/>
        <v>-4.5755195936474412E-3</v>
      </c>
      <c r="E928" s="38">
        <f t="shared" si="57"/>
        <v>6.2380205914545645E-3</v>
      </c>
      <c r="H928" s="35">
        <v>45524</v>
      </c>
      <c r="I928" s="37">
        <v>1873.5</v>
      </c>
      <c r="J928" s="37">
        <v>80802.86</v>
      </c>
      <c r="K928" s="38">
        <f t="shared" si="58"/>
        <v>-6.6742310426561296E-4</v>
      </c>
      <c r="L928" s="38">
        <f t="shared" si="59"/>
        <v>1.2669739573223069E-3</v>
      </c>
    </row>
    <row r="929" spans="1:12">
      <c r="A929" s="35">
        <v>43699</v>
      </c>
      <c r="B929" s="37">
        <v>795.9</v>
      </c>
      <c r="C929" s="37">
        <v>36701.160000000003</v>
      </c>
      <c r="D929" s="38">
        <f t="shared" si="56"/>
        <v>7.5103620011794225E-3</v>
      </c>
      <c r="E929" s="38">
        <f t="shared" si="57"/>
        <v>2.1375758491518231E-2</v>
      </c>
      <c r="H929" s="35">
        <v>45525</v>
      </c>
      <c r="I929" s="37">
        <v>1872.25</v>
      </c>
      <c r="J929" s="37">
        <v>80905.3</v>
      </c>
      <c r="K929" s="38">
        <f t="shared" si="58"/>
        <v>4.1042645961645759E-3</v>
      </c>
      <c r="L929" s="38">
        <f t="shared" si="59"/>
        <v>1.8262709303396981E-3</v>
      </c>
    </row>
    <row r="930" spans="1:12">
      <c r="A930" s="35">
        <v>43700</v>
      </c>
      <c r="B930" s="37">
        <v>801.9</v>
      </c>
      <c r="C930" s="37">
        <v>37494.120000000003</v>
      </c>
      <c r="D930" s="38">
        <f t="shared" si="56"/>
        <v>1.2462613776552233E-3</v>
      </c>
      <c r="E930" s="38">
        <f t="shared" si="57"/>
        <v>3.9169341673957235E-3</v>
      </c>
      <c r="H930" s="35">
        <v>45526</v>
      </c>
      <c r="I930" s="37">
        <v>1879.95</v>
      </c>
      <c r="J930" s="37">
        <v>81053.19</v>
      </c>
      <c r="K930" s="38">
        <f t="shared" si="58"/>
        <v>-9.4060496279494248E-3</v>
      </c>
      <c r="L930" s="38">
        <f t="shared" si="59"/>
        <v>4.0730384417977863E-4</v>
      </c>
    </row>
    <row r="931" spans="1:12">
      <c r="A931" s="35">
        <v>43703</v>
      </c>
      <c r="B931" s="37">
        <v>802.9</v>
      </c>
      <c r="C931" s="37">
        <v>37641.269999999997</v>
      </c>
      <c r="D931" s="38">
        <f t="shared" si="56"/>
        <v>-2.2546455408229905E-2</v>
      </c>
      <c r="E931" s="38">
        <f t="shared" si="57"/>
        <v>-5.0452139168380697E-3</v>
      </c>
      <c r="H931" s="35">
        <v>45527</v>
      </c>
      <c r="I931" s="37">
        <v>1862.35</v>
      </c>
      <c r="J931" s="37">
        <v>81086.210000000006</v>
      </c>
      <c r="K931" s="38">
        <f t="shared" si="58"/>
        <v>7.2760666612700035E-3</v>
      </c>
      <c r="L931" s="38">
        <f t="shared" si="59"/>
        <v>7.5179585113725068E-3</v>
      </c>
    </row>
    <row r="932" spans="1:12">
      <c r="A932" s="35">
        <v>43704</v>
      </c>
      <c r="B932" s="37">
        <v>785</v>
      </c>
      <c r="C932" s="37">
        <v>37451.839999999997</v>
      </c>
      <c r="D932" s="38">
        <f t="shared" si="56"/>
        <v>2.1549570590470496E-2</v>
      </c>
      <c r="E932" s="38">
        <f t="shared" si="57"/>
        <v>-1.0276688497222243E-2</v>
      </c>
      <c r="H932" s="35">
        <v>45530</v>
      </c>
      <c r="I932" s="37">
        <v>1875.95</v>
      </c>
      <c r="J932" s="37">
        <v>81698.11</v>
      </c>
      <c r="K932" s="38">
        <f t="shared" si="58"/>
        <v>1.2817632647811827E-2</v>
      </c>
      <c r="L932" s="38">
        <f t="shared" si="59"/>
        <v>1.6706457243665033E-4</v>
      </c>
    </row>
    <row r="933" spans="1:12">
      <c r="A933" s="35">
        <v>43705</v>
      </c>
      <c r="B933" s="37">
        <v>802.1</v>
      </c>
      <c r="C933" s="37">
        <v>37068.93</v>
      </c>
      <c r="D933" s="38">
        <f t="shared" si="56"/>
        <v>5.9044890144824939E-3</v>
      </c>
      <c r="E933" s="38">
        <f t="shared" si="57"/>
        <v>7.0928765143567609E-3</v>
      </c>
      <c r="H933" s="35">
        <v>45531</v>
      </c>
      <c r="I933" s="37">
        <v>1900.15</v>
      </c>
      <c r="J933" s="37">
        <v>81711.759999999995</v>
      </c>
      <c r="K933" s="38">
        <f t="shared" si="58"/>
        <v>2.0342686468221884E-2</v>
      </c>
      <c r="L933" s="38">
        <f t="shared" si="59"/>
        <v>9.0276715254021382E-4</v>
      </c>
    </row>
    <row r="934" spans="1:12">
      <c r="A934" s="35">
        <v>43706</v>
      </c>
      <c r="B934" s="37">
        <v>806.85</v>
      </c>
      <c r="C934" s="37">
        <v>37332.79</v>
      </c>
      <c r="D934" s="38">
        <f t="shared" si="56"/>
        <v>9.5594178269509077E-3</v>
      </c>
      <c r="E934" s="38">
        <f t="shared" si="57"/>
        <v>-2.0837690345235835E-2</v>
      </c>
      <c r="H934" s="35">
        <v>45532</v>
      </c>
      <c r="I934" s="37">
        <v>1939.2</v>
      </c>
      <c r="J934" s="37">
        <v>81785.56</v>
      </c>
      <c r="K934" s="38">
        <f t="shared" si="58"/>
        <v>-3.5127631947437336E-3</v>
      </c>
      <c r="L934" s="38">
        <f t="shared" si="59"/>
        <v>4.2587867931997495E-3</v>
      </c>
    </row>
    <row r="935" spans="1:12">
      <c r="A935" s="35">
        <v>43707</v>
      </c>
      <c r="B935" s="37">
        <v>814.6</v>
      </c>
      <c r="C935" s="37">
        <v>36562.910000000003</v>
      </c>
      <c r="D935" s="38">
        <f t="shared" si="56"/>
        <v>-3.6834674122669539E-4</v>
      </c>
      <c r="E935" s="38">
        <f t="shared" si="57"/>
        <v>4.4163037844462258E-3</v>
      </c>
      <c r="H935" s="35">
        <v>45533</v>
      </c>
      <c r="I935" s="37">
        <v>1932.4</v>
      </c>
      <c r="J935" s="37">
        <v>82134.61</v>
      </c>
      <c r="K935" s="38">
        <f t="shared" si="58"/>
        <v>5.6248051904060339E-3</v>
      </c>
      <c r="L935" s="38">
        <f t="shared" si="59"/>
        <v>2.8104512847209589E-3</v>
      </c>
    </row>
    <row r="936" spans="1:12">
      <c r="A936" s="35">
        <v>43711</v>
      </c>
      <c r="B936" s="37">
        <v>814.3</v>
      </c>
      <c r="C936" s="37">
        <v>36724.74</v>
      </c>
      <c r="D936" s="38">
        <f t="shared" si="56"/>
        <v>8.2551604647607985E-3</v>
      </c>
      <c r="E936" s="38">
        <f t="shared" si="57"/>
        <v>-2.1894766707579107E-3</v>
      </c>
      <c r="H936" s="35">
        <v>45534</v>
      </c>
      <c r="I936" s="37">
        <v>1943.3</v>
      </c>
      <c r="J936" s="37">
        <v>82365.77</v>
      </c>
      <c r="K936" s="38">
        <f t="shared" si="58"/>
        <v>1.0646566244497556E-2</v>
      </c>
      <c r="L936" s="38">
        <f t="shared" si="59"/>
        <v>2.3534257605377367E-3</v>
      </c>
    </row>
    <row r="937" spans="1:12">
      <c r="A937" s="35">
        <v>43712</v>
      </c>
      <c r="B937" s="37">
        <v>821.05</v>
      </c>
      <c r="C937" s="37">
        <v>36644.42</v>
      </c>
      <c r="D937" s="38">
        <f t="shared" si="56"/>
        <v>1.5889172824998622E-2</v>
      </c>
      <c r="E937" s="38">
        <f t="shared" si="57"/>
        <v>9.1639228055569351E-3</v>
      </c>
      <c r="H937" s="35">
        <v>45537</v>
      </c>
      <c r="I937" s="37">
        <v>1964.1</v>
      </c>
      <c r="J937" s="37">
        <v>82559.839999999997</v>
      </c>
      <c r="K937" s="38">
        <f t="shared" si="58"/>
        <v>-1.2243064587972181E-2</v>
      </c>
      <c r="L937" s="38">
        <f t="shared" si="59"/>
        <v>-5.3296097139361041E-5</v>
      </c>
    </row>
    <row r="938" spans="1:12">
      <c r="A938" s="35">
        <v>43713</v>
      </c>
      <c r="B938" s="37">
        <v>834.2</v>
      </c>
      <c r="C938" s="37">
        <v>36981.769999999997</v>
      </c>
      <c r="D938" s="38">
        <f t="shared" si="56"/>
        <v>7.1072655611059792E-3</v>
      </c>
      <c r="E938" s="38">
        <f t="shared" si="57"/>
        <v>4.4161986924170201E-3</v>
      </c>
      <c r="H938" s="35">
        <v>45538</v>
      </c>
      <c r="I938" s="37">
        <v>1940.2</v>
      </c>
      <c r="J938" s="37">
        <v>82555.44</v>
      </c>
      <c r="K938" s="38">
        <f t="shared" si="58"/>
        <v>-9.3987357671602295E-3</v>
      </c>
      <c r="L938" s="38">
        <f t="shared" si="59"/>
        <v>-2.4595532521498467E-3</v>
      </c>
    </row>
    <row r="939" spans="1:12">
      <c r="A939" s="35">
        <v>43714</v>
      </c>
      <c r="B939" s="37">
        <v>840.15</v>
      </c>
      <c r="C939" s="37">
        <v>37145.449999999997</v>
      </c>
      <c r="D939" s="38">
        <f t="shared" si="56"/>
        <v>-1.3119066762326367E-2</v>
      </c>
      <c r="E939" s="38">
        <f t="shared" si="57"/>
        <v>3.3694276429306206E-3</v>
      </c>
      <c r="H939" s="35">
        <v>45539</v>
      </c>
      <c r="I939" s="37">
        <v>1922.05</v>
      </c>
      <c r="J939" s="37">
        <v>82352.639999999999</v>
      </c>
      <c r="K939" s="38">
        <f t="shared" si="58"/>
        <v>5.6808754483079552E-3</v>
      </c>
      <c r="L939" s="38">
        <f t="shared" si="59"/>
        <v>-1.8411005128862446E-3</v>
      </c>
    </row>
    <row r="940" spans="1:12">
      <c r="A940" s="35">
        <v>43717</v>
      </c>
      <c r="B940" s="37">
        <v>829.2</v>
      </c>
      <c r="C940" s="37">
        <v>37270.82</v>
      </c>
      <c r="D940" s="38">
        <f t="shared" si="56"/>
        <v>-1.103509651925904E-2</v>
      </c>
      <c r="E940" s="38">
        <f t="shared" si="57"/>
        <v>-4.4783880181188899E-3</v>
      </c>
      <c r="H940" s="35">
        <v>45540</v>
      </c>
      <c r="I940" s="37">
        <v>1933</v>
      </c>
      <c r="J940" s="37">
        <v>82201.16</v>
      </c>
      <c r="K940" s="38">
        <f t="shared" si="58"/>
        <v>-1.6062089160045714E-2</v>
      </c>
      <c r="L940" s="38">
        <f t="shared" si="59"/>
        <v>-1.2452092707068351E-2</v>
      </c>
    </row>
    <row r="941" spans="1:12">
      <c r="A941" s="35">
        <v>43719</v>
      </c>
      <c r="B941" s="37">
        <v>820.1</v>
      </c>
      <c r="C941" s="37">
        <v>37104.28</v>
      </c>
      <c r="D941" s="38">
        <f t="shared" si="56"/>
        <v>-4.5830994701921077E-3</v>
      </c>
      <c r="E941" s="38">
        <f t="shared" si="57"/>
        <v>7.5369601239927446E-3</v>
      </c>
      <c r="H941" s="35">
        <v>45541</v>
      </c>
      <c r="I941" s="37">
        <v>1902.2</v>
      </c>
      <c r="J941" s="37">
        <v>81183.929999999993</v>
      </c>
      <c r="K941" s="38">
        <f t="shared" si="58"/>
        <v>-3.9505964099685988E-3</v>
      </c>
      <c r="L941" s="38">
        <f t="shared" si="59"/>
        <v>4.6159844930972636E-3</v>
      </c>
    </row>
    <row r="942" spans="1:12">
      <c r="A942" s="35">
        <v>43720</v>
      </c>
      <c r="B942" s="37">
        <v>816.35</v>
      </c>
      <c r="C942" s="37">
        <v>37384.99</v>
      </c>
      <c r="D942" s="38">
        <f t="shared" si="56"/>
        <v>1.555789508793423E-2</v>
      </c>
      <c r="E942" s="38">
        <f t="shared" si="57"/>
        <v>-7.024212763693762E-3</v>
      </c>
      <c r="H942" s="35">
        <v>45544</v>
      </c>
      <c r="I942" s="37">
        <v>1894.7</v>
      </c>
      <c r="J942" s="37">
        <v>81559.539999999994</v>
      </c>
      <c r="K942" s="38">
        <f t="shared" si="58"/>
        <v>9.5599005202913635E-3</v>
      </c>
      <c r="L942" s="38">
        <f t="shared" si="59"/>
        <v>4.4256025667943769E-3</v>
      </c>
    </row>
    <row r="943" spans="1:12">
      <c r="A943" s="35">
        <v>43721</v>
      </c>
      <c r="B943" s="37">
        <v>829.15</v>
      </c>
      <c r="C943" s="37">
        <v>37123.31</v>
      </c>
      <c r="D943" s="38">
        <f t="shared" si="56"/>
        <v>-2.0523971951554132E-3</v>
      </c>
      <c r="E943" s="38">
        <f t="shared" si="57"/>
        <v>-1.7451030055473746E-2</v>
      </c>
      <c r="H943" s="35">
        <v>45545</v>
      </c>
      <c r="I943" s="37">
        <v>1912.9</v>
      </c>
      <c r="J943" s="37">
        <v>81921.289999999994</v>
      </c>
      <c r="K943" s="38">
        <f t="shared" si="58"/>
        <v>-1.0984126428011686E-3</v>
      </c>
      <c r="L943" s="38">
        <f t="shared" si="59"/>
        <v>-4.8717565807204263E-3</v>
      </c>
    </row>
    <row r="944" spans="1:12">
      <c r="A944" s="35">
        <v>43724</v>
      </c>
      <c r="B944" s="37">
        <v>827.45</v>
      </c>
      <c r="C944" s="37">
        <v>36481.089999999997</v>
      </c>
      <c r="D944" s="38">
        <f t="shared" si="56"/>
        <v>4.3412790521667266E-3</v>
      </c>
      <c r="E944" s="38">
        <f t="shared" si="57"/>
        <v>2.266823723831946E-3</v>
      </c>
      <c r="H944" s="35">
        <v>45546</v>
      </c>
      <c r="I944" s="37">
        <v>1910.8</v>
      </c>
      <c r="J944" s="37">
        <v>81523.16</v>
      </c>
      <c r="K944" s="38">
        <f t="shared" si="58"/>
        <v>2.0486841115576273E-2</v>
      </c>
      <c r="L944" s="38">
        <f t="shared" si="59"/>
        <v>1.750407807615928E-2</v>
      </c>
    </row>
    <row r="945" spans="1:12">
      <c r="A945" s="35">
        <v>43725</v>
      </c>
      <c r="B945" s="37">
        <v>831.05</v>
      </c>
      <c r="C945" s="37">
        <v>36563.879999999997</v>
      </c>
      <c r="D945" s="38">
        <f t="shared" si="56"/>
        <v>-1.4449999503912746E-3</v>
      </c>
      <c r="E945" s="38">
        <f t="shared" si="57"/>
        <v>-1.2948905319227768E-2</v>
      </c>
      <c r="H945" s="35">
        <v>45547</v>
      </c>
      <c r="I945" s="37">
        <v>1950.35</v>
      </c>
      <c r="J945" s="37">
        <v>82962.710000000006</v>
      </c>
      <c r="K945" s="38">
        <f t="shared" si="58"/>
        <v>-3.1068285296029733E-3</v>
      </c>
      <c r="L945" s="38">
        <f t="shared" si="59"/>
        <v>-8.6546186327279655E-4</v>
      </c>
    </row>
    <row r="946" spans="1:12">
      <c r="A946" s="35">
        <v>43726</v>
      </c>
      <c r="B946" s="37">
        <v>829.85</v>
      </c>
      <c r="C946" s="37">
        <v>36093.47</v>
      </c>
      <c r="D946" s="38">
        <f t="shared" si="56"/>
        <v>-1.0721852114299626E-2</v>
      </c>
      <c r="E946" s="38">
        <f t="shared" si="57"/>
        <v>5.1858860025930348E-2</v>
      </c>
      <c r="H946" s="35">
        <v>45548</v>
      </c>
      <c r="I946" s="37">
        <v>1944.3</v>
      </c>
      <c r="J946" s="37">
        <v>82890.94</v>
      </c>
      <c r="K946" s="38">
        <f t="shared" si="58"/>
        <v>2.7991441088274414E-3</v>
      </c>
      <c r="L946" s="38">
        <f t="shared" si="59"/>
        <v>1.1796500662765818E-3</v>
      </c>
    </row>
    <row r="947" spans="1:12">
      <c r="A947" s="35">
        <v>43727</v>
      </c>
      <c r="B947" s="37">
        <v>821</v>
      </c>
      <c r="C947" s="37">
        <v>38014.620000000003</v>
      </c>
      <c r="D947" s="38">
        <f t="shared" si="56"/>
        <v>-1.9556616146493153E-2</v>
      </c>
      <c r="E947" s="38">
        <f t="shared" si="57"/>
        <v>2.7896624688027213E-2</v>
      </c>
      <c r="H947" s="35">
        <v>45551</v>
      </c>
      <c r="I947" s="37">
        <v>1949.75</v>
      </c>
      <c r="J947" s="37">
        <v>82988.78</v>
      </c>
      <c r="K947" s="38">
        <f t="shared" si="58"/>
        <v>1.4862651362433786E-3</v>
      </c>
      <c r="L947" s="38">
        <f t="shared" si="59"/>
        <v>1.0944886225479813E-3</v>
      </c>
    </row>
    <row r="948" spans="1:12">
      <c r="A948" s="35">
        <v>43728</v>
      </c>
      <c r="B948" s="37">
        <v>805.1</v>
      </c>
      <c r="C948" s="37">
        <v>39090.03</v>
      </c>
      <c r="D948" s="38">
        <f t="shared" si="56"/>
        <v>-5.095994906812891E-2</v>
      </c>
      <c r="E948" s="38">
        <f t="shared" si="57"/>
        <v>1.8187127170872416E-4</v>
      </c>
      <c r="H948" s="35">
        <v>45552</v>
      </c>
      <c r="I948" s="37">
        <v>1952.65</v>
      </c>
      <c r="J948" s="37">
        <v>83079.66</v>
      </c>
      <c r="K948" s="38">
        <f t="shared" si="58"/>
        <v>-3.1367981414286303E-2</v>
      </c>
      <c r="L948" s="38">
        <f t="shared" si="59"/>
        <v>-1.5832283052404094E-3</v>
      </c>
    </row>
    <row r="949" spans="1:12">
      <c r="A949" s="35">
        <v>43731</v>
      </c>
      <c r="B949" s="37">
        <v>765.1</v>
      </c>
      <c r="C949" s="37">
        <v>39097.14</v>
      </c>
      <c r="D949" s="38">
        <f t="shared" si="56"/>
        <v>3.7139887318849402E-2</v>
      </c>
      <c r="E949" s="38">
        <f t="shared" si="57"/>
        <v>-1.2964931805562926E-2</v>
      </c>
      <c r="H949" s="35">
        <v>45553</v>
      </c>
      <c r="I949" s="37">
        <v>1892.35</v>
      </c>
      <c r="J949" s="37">
        <v>82948.23</v>
      </c>
      <c r="K949" s="38">
        <f t="shared" si="58"/>
        <v>9.5074614318664769E-4</v>
      </c>
      <c r="L949" s="38">
        <f t="shared" si="59"/>
        <v>2.8479605759217188E-3</v>
      </c>
    </row>
    <row r="950" spans="1:12">
      <c r="A950" s="35">
        <v>43732</v>
      </c>
      <c r="B950" s="37">
        <v>794.05</v>
      </c>
      <c r="C950" s="37">
        <v>38593.519999999997</v>
      </c>
      <c r="D950" s="38">
        <f t="shared" si="56"/>
        <v>-2.3325463688391658E-3</v>
      </c>
      <c r="E950" s="38">
        <f t="shared" si="57"/>
        <v>1.0214147865342483E-2</v>
      </c>
      <c r="H950" s="35">
        <v>45554</v>
      </c>
      <c r="I950" s="37">
        <v>1894.15</v>
      </c>
      <c r="J950" s="37">
        <v>83184.800000000003</v>
      </c>
      <c r="K950" s="38">
        <f t="shared" si="58"/>
        <v>6.2890806592761821E-3</v>
      </c>
      <c r="L950" s="38">
        <f t="shared" si="59"/>
        <v>1.6211136793689622E-2</v>
      </c>
    </row>
    <row r="951" spans="1:12">
      <c r="A951" s="35">
        <v>43733</v>
      </c>
      <c r="B951" s="37">
        <v>792.2</v>
      </c>
      <c r="C951" s="37">
        <v>38989.74</v>
      </c>
      <c r="D951" s="38">
        <f t="shared" si="56"/>
        <v>-1.2895208067565875E-2</v>
      </c>
      <c r="E951" s="38">
        <f t="shared" si="57"/>
        <v>-4.2967560580718205E-3</v>
      </c>
      <c r="H951" s="35">
        <v>45555</v>
      </c>
      <c r="I951" s="37">
        <v>1906.1</v>
      </c>
      <c r="J951" s="37">
        <v>84544.31</v>
      </c>
      <c r="K951" s="38">
        <f t="shared" si="58"/>
        <v>-4.7855788000130137E-3</v>
      </c>
      <c r="L951" s="38">
        <f t="shared" si="59"/>
        <v>4.5352456156945468E-3</v>
      </c>
    </row>
    <row r="952" spans="1:12">
      <c r="A952" s="35">
        <v>43734</v>
      </c>
      <c r="B952" s="37">
        <v>782.05</v>
      </c>
      <c r="C952" s="37">
        <v>38822.57</v>
      </c>
      <c r="D952" s="38">
        <f t="shared" si="56"/>
        <v>3.8353362781573275E-4</v>
      </c>
      <c r="E952" s="38">
        <f t="shared" si="57"/>
        <v>-4.0067210741730405E-3</v>
      </c>
      <c r="H952" s="35">
        <v>45558</v>
      </c>
      <c r="I952" s="37">
        <v>1897</v>
      </c>
      <c r="J952" s="37">
        <v>84928.61</v>
      </c>
      <c r="K952" s="38">
        <f t="shared" si="58"/>
        <v>4.2162960464381963E-4</v>
      </c>
      <c r="L952" s="38">
        <f t="shared" si="59"/>
        <v>-1.7157056882647357E-4</v>
      </c>
    </row>
    <row r="953" spans="1:12">
      <c r="A953" s="35">
        <v>43735</v>
      </c>
      <c r="B953" s="37">
        <v>782.35</v>
      </c>
      <c r="C953" s="37">
        <v>38667.33</v>
      </c>
      <c r="D953" s="38">
        <f t="shared" si="56"/>
        <v>2.8912668053432795E-2</v>
      </c>
      <c r="E953" s="38">
        <f t="shared" si="57"/>
        <v>-9.4039179885154773E-3</v>
      </c>
      <c r="H953" s="35">
        <v>45559</v>
      </c>
      <c r="I953" s="37">
        <v>1897.8</v>
      </c>
      <c r="J953" s="37">
        <v>84914.04</v>
      </c>
      <c r="K953" s="38">
        <f t="shared" si="58"/>
        <v>-9.4891672469097634E-4</v>
      </c>
      <c r="L953" s="38">
        <f t="shared" si="59"/>
        <v>3.0082821230221052E-3</v>
      </c>
    </row>
    <row r="954" spans="1:12">
      <c r="A954" s="35">
        <v>43738</v>
      </c>
      <c r="B954" s="37">
        <v>805.3</v>
      </c>
      <c r="C954" s="37">
        <v>38305.410000000003</v>
      </c>
      <c r="D954" s="38">
        <f t="shared" si="56"/>
        <v>-1.4698328847931616E-2</v>
      </c>
      <c r="E954" s="38">
        <f t="shared" si="57"/>
        <v>-5.1965586365083785E-3</v>
      </c>
      <c r="H954" s="35">
        <v>45560</v>
      </c>
      <c r="I954" s="37">
        <v>1896</v>
      </c>
      <c r="J954" s="37">
        <v>85169.87</v>
      </c>
      <c r="K954" s="38">
        <f t="shared" si="58"/>
        <v>1.7653185450515222E-3</v>
      </c>
      <c r="L954" s="38">
        <f t="shared" si="59"/>
        <v>7.7921641353108518E-3</v>
      </c>
    </row>
    <row r="955" spans="1:12">
      <c r="A955" s="35">
        <v>43739</v>
      </c>
      <c r="B955" s="37">
        <v>793.55</v>
      </c>
      <c r="C955" s="37">
        <v>38106.870000000003</v>
      </c>
      <c r="D955" s="38">
        <f t="shared" si="56"/>
        <v>-1.0196092257891712E-2</v>
      </c>
      <c r="E955" s="38">
        <f t="shared" si="57"/>
        <v>-1.1442694664506365E-2</v>
      </c>
      <c r="H955" s="35">
        <v>45561</v>
      </c>
      <c r="I955" s="37">
        <v>1899.35</v>
      </c>
      <c r="J955" s="37">
        <v>85836.12</v>
      </c>
      <c r="K955" s="38">
        <f t="shared" si="58"/>
        <v>4.1244755110119661E-3</v>
      </c>
      <c r="L955" s="38">
        <f t="shared" si="59"/>
        <v>-3.0835230052884441E-3</v>
      </c>
    </row>
    <row r="956" spans="1:12">
      <c r="A956" s="35">
        <v>43741</v>
      </c>
      <c r="B956" s="37">
        <v>785.5</v>
      </c>
      <c r="C956" s="37">
        <v>37673.31</v>
      </c>
      <c r="D956" s="38">
        <f t="shared" si="56"/>
        <v>9.8179727676290848E-3</v>
      </c>
      <c r="E956" s="38">
        <f t="shared" si="57"/>
        <v>-3.7585166249392257E-3</v>
      </c>
      <c r="H956" s="35">
        <v>45562</v>
      </c>
      <c r="I956" s="37">
        <v>1907.2</v>
      </c>
      <c r="J956" s="37">
        <v>85571.85</v>
      </c>
      <c r="K956" s="38">
        <f t="shared" si="58"/>
        <v>-1.6494347304860608E-2</v>
      </c>
      <c r="L956" s="38">
        <f t="shared" si="59"/>
        <v>-1.4977118645560743E-2</v>
      </c>
    </row>
    <row r="957" spans="1:12">
      <c r="A957" s="35">
        <v>43742</v>
      </c>
      <c r="B957" s="37">
        <v>793.25</v>
      </c>
      <c r="C957" s="37">
        <v>37531.980000000003</v>
      </c>
      <c r="D957" s="38">
        <f t="shared" si="56"/>
        <v>-4.6752675506528812E-3</v>
      </c>
      <c r="E957" s="38">
        <f t="shared" si="57"/>
        <v>1.7064754274026234E-2</v>
      </c>
      <c r="H957" s="35">
        <v>45565</v>
      </c>
      <c r="I957" s="37">
        <v>1876</v>
      </c>
      <c r="J957" s="37">
        <v>84299.78</v>
      </c>
      <c r="K957" s="38">
        <f t="shared" si="58"/>
        <v>1.4893864194645376E-2</v>
      </c>
      <c r="L957" s="38">
        <f t="shared" si="59"/>
        <v>-3.9735161934602927E-4</v>
      </c>
    </row>
    <row r="958" spans="1:12">
      <c r="A958" s="35">
        <v>43745</v>
      </c>
      <c r="B958" s="37">
        <v>789.55</v>
      </c>
      <c r="C958" s="37">
        <v>38177.949999999997</v>
      </c>
      <c r="D958" s="38">
        <f t="shared" si="56"/>
        <v>-7.0541425622442904E-3</v>
      </c>
      <c r="E958" s="38">
        <f t="shared" si="57"/>
        <v>-7.8242958988619191E-3</v>
      </c>
      <c r="H958" s="35">
        <v>45566</v>
      </c>
      <c r="I958" s="37">
        <v>1904.15</v>
      </c>
      <c r="J958" s="37">
        <v>84266.29</v>
      </c>
      <c r="K958" s="38">
        <f t="shared" si="58"/>
        <v>-5.8200177449511427E-3</v>
      </c>
      <c r="L958" s="38">
        <f t="shared" si="59"/>
        <v>-2.1218762450238689E-2</v>
      </c>
    </row>
    <row r="959" spans="1:12">
      <c r="A959" s="35">
        <v>43747</v>
      </c>
      <c r="B959" s="37">
        <v>784</v>
      </c>
      <c r="C959" s="37">
        <v>37880.400000000001</v>
      </c>
      <c r="D959" s="38">
        <f t="shared" si="56"/>
        <v>-1.4040464365394001E-3</v>
      </c>
      <c r="E959" s="38">
        <f t="shared" si="57"/>
        <v>6.4909628922097959E-3</v>
      </c>
      <c r="H959" s="35">
        <v>45568</v>
      </c>
      <c r="I959" s="37">
        <v>1893.1</v>
      </c>
      <c r="J959" s="37">
        <v>82497.100000000006</v>
      </c>
      <c r="K959" s="38">
        <f t="shared" si="58"/>
        <v>1.3249744531574429E-2</v>
      </c>
      <c r="L959" s="38">
        <f t="shared" si="59"/>
        <v>-9.8505202045339156E-3</v>
      </c>
    </row>
    <row r="960" spans="1:12">
      <c r="A960" s="35">
        <v>43748</v>
      </c>
      <c r="B960" s="37">
        <v>782.9</v>
      </c>
      <c r="C960" s="37">
        <v>38127.08</v>
      </c>
      <c r="D960" s="38">
        <f t="shared" si="56"/>
        <v>4.1041666392666251E-2</v>
      </c>
      <c r="E960" s="38">
        <f t="shared" si="57"/>
        <v>2.2894488826012893E-3</v>
      </c>
      <c r="H960" s="35">
        <v>45569</v>
      </c>
      <c r="I960" s="37">
        <v>1918.35</v>
      </c>
      <c r="J960" s="37">
        <v>81688.45</v>
      </c>
      <c r="K960" s="38">
        <f t="shared" si="58"/>
        <v>7.9956813398371733E-3</v>
      </c>
      <c r="L960" s="38">
        <f t="shared" si="59"/>
        <v>-7.8463728214358489E-3</v>
      </c>
    </row>
    <row r="961" spans="1:12">
      <c r="A961" s="35">
        <v>43749</v>
      </c>
      <c r="B961" s="37">
        <v>815.7</v>
      </c>
      <c r="C961" s="37">
        <v>38214.47</v>
      </c>
      <c r="D961" s="38">
        <f t="shared" si="56"/>
        <v>-3.7535239670393981E-2</v>
      </c>
      <c r="E961" s="38">
        <f t="shared" si="57"/>
        <v>7.6021709034689439E-3</v>
      </c>
      <c r="H961" s="35">
        <v>45572</v>
      </c>
      <c r="I961" s="37">
        <v>1933.75</v>
      </c>
      <c r="J961" s="37">
        <v>81050</v>
      </c>
      <c r="K961" s="38">
        <f t="shared" si="58"/>
        <v>7.5987228914880158E-3</v>
      </c>
      <c r="L961" s="38">
        <f t="shared" si="59"/>
        <v>7.1895159606478465E-3</v>
      </c>
    </row>
    <row r="962" spans="1:12">
      <c r="A962" s="35">
        <v>43752</v>
      </c>
      <c r="B962" s="37">
        <v>785.65</v>
      </c>
      <c r="C962" s="37">
        <v>38506.089999999997</v>
      </c>
      <c r="D962" s="38">
        <f t="shared" si="56"/>
        <v>-2.2982118069443513E-2</v>
      </c>
      <c r="E962" s="38">
        <f t="shared" si="57"/>
        <v>2.409699722849986E-3</v>
      </c>
      <c r="H962" s="35">
        <v>45573</v>
      </c>
      <c r="I962" s="37">
        <v>1948.5</v>
      </c>
      <c r="J962" s="37">
        <v>81634.81</v>
      </c>
      <c r="K962" s="38">
        <f t="shared" si="58"/>
        <v>2.7675294417015832E-3</v>
      </c>
      <c r="L962" s="38">
        <f t="shared" si="59"/>
        <v>-2.0565063782127424E-3</v>
      </c>
    </row>
    <row r="963" spans="1:12">
      <c r="A963" s="35">
        <v>43753</v>
      </c>
      <c r="B963" s="37">
        <v>767.8</v>
      </c>
      <c r="C963" s="37">
        <v>38598.99</v>
      </c>
      <c r="D963" s="38">
        <f t="shared" si="56"/>
        <v>4.7425783223376834E-3</v>
      </c>
      <c r="E963" s="38">
        <f t="shared" si="57"/>
        <v>1.1669517449886818E-2</v>
      </c>
      <c r="H963" s="35">
        <v>45574</v>
      </c>
      <c r="I963" s="37">
        <v>1953.9</v>
      </c>
      <c r="J963" s="37">
        <v>81467.100000000006</v>
      </c>
      <c r="K963" s="38">
        <f t="shared" si="58"/>
        <v>-1.7997103315094864E-2</v>
      </c>
      <c r="L963" s="38">
        <f t="shared" si="59"/>
        <v>1.769822862229877E-3</v>
      </c>
    </row>
    <row r="964" spans="1:12">
      <c r="A964" s="35">
        <v>43754</v>
      </c>
      <c r="B964" s="37">
        <v>771.45</v>
      </c>
      <c r="C964" s="37">
        <v>39052.06</v>
      </c>
      <c r="D964" s="38">
        <f t="shared" si="56"/>
        <v>-3.050860826026759E-3</v>
      </c>
      <c r="E964" s="38">
        <f t="shared" si="57"/>
        <v>6.2876688763129308E-3</v>
      </c>
      <c r="H964" s="35">
        <v>45575</v>
      </c>
      <c r="I964" s="37">
        <v>1919.05</v>
      </c>
      <c r="J964" s="37">
        <v>81611.41</v>
      </c>
      <c r="K964" s="38">
        <f t="shared" si="58"/>
        <v>8.2770545585113334E-3</v>
      </c>
      <c r="L964" s="38">
        <f t="shared" si="59"/>
        <v>-2.822826469663415E-3</v>
      </c>
    </row>
    <row r="965" spans="1:12">
      <c r="A965" s="35">
        <v>43755</v>
      </c>
      <c r="B965" s="37">
        <v>769.1</v>
      </c>
      <c r="C965" s="37">
        <v>39298.379999999997</v>
      </c>
      <c r="D965" s="38">
        <f t="shared" ref="D965:D1028" si="60">LN(B966/B965)</f>
        <v>-1.7568407420764408E-3</v>
      </c>
      <c r="E965" s="38">
        <f t="shared" ref="E965:E1028" si="61">LN(C966/C965)</f>
        <v>-8.5492601058511641E-3</v>
      </c>
      <c r="H965" s="35">
        <v>45576</v>
      </c>
      <c r="I965" s="37">
        <v>1935</v>
      </c>
      <c r="J965" s="37">
        <v>81381.36</v>
      </c>
      <c r="K965" s="38">
        <f t="shared" ref="K965:K1028" si="62">LN(I966/I965)</f>
        <v>1.217366139681531E-2</v>
      </c>
      <c r="L965" s="38">
        <f t="shared" ref="L965:L1028" si="63">LN(J966/J965)</f>
        <v>7.244280550927973E-3</v>
      </c>
    </row>
    <row r="966" spans="1:12">
      <c r="A966" s="35">
        <v>43756</v>
      </c>
      <c r="B966" s="37">
        <v>767.75</v>
      </c>
      <c r="C966" s="37">
        <v>38963.839999999997</v>
      </c>
      <c r="D966" s="38">
        <f t="shared" si="60"/>
        <v>-0.17685298090397708</v>
      </c>
      <c r="E966" s="38">
        <f t="shared" si="61"/>
        <v>2.4349345371604985E-3</v>
      </c>
      <c r="H966" s="35">
        <v>45579</v>
      </c>
      <c r="I966" s="37">
        <v>1958.7</v>
      </c>
      <c r="J966" s="37">
        <v>81973.05</v>
      </c>
      <c r="K966" s="38">
        <f t="shared" si="62"/>
        <v>2.0419623328902457E-4</v>
      </c>
      <c r="L966" s="38">
        <f t="shared" si="63"/>
        <v>-1.8673555733627729E-3</v>
      </c>
    </row>
    <row r="967" spans="1:12">
      <c r="A967" s="35">
        <v>43760</v>
      </c>
      <c r="B967" s="37">
        <v>643.29999999999995</v>
      </c>
      <c r="C967" s="37">
        <v>39058.83</v>
      </c>
      <c r="D967" s="38">
        <f t="shared" si="60"/>
        <v>1.1514365457720104E-2</v>
      </c>
      <c r="E967" s="38">
        <f t="shared" si="61"/>
        <v>-9.8464106341466227E-4</v>
      </c>
      <c r="H967" s="35">
        <v>45580</v>
      </c>
      <c r="I967" s="37">
        <v>1959.1</v>
      </c>
      <c r="J967" s="37">
        <v>81820.12</v>
      </c>
      <c r="K967" s="38">
        <f t="shared" si="62"/>
        <v>-2.0212082761876412E-2</v>
      </c>
      <c r="L967" s="38">
        <f t="shared" si="63"/>
        <v>-3.9034719100986405E-3</v>
      </c>
    </row>
    <row r="968" spans="1:12">
      <c r="A968" s="35">
        <v>43761</v>
      </c>
      <c r="B968" s="37">
        <v>650.75</v>
      </c>
      <c r="C968" s="37">
        <v>39020.39</v>
      </c>
      <c r="D968" s="38">
        <f t="shared" si="60"/>
        <v>-2.3870822039258992E-2</v>
      </c>
      <c r="E968" s="38">
        <f t="shared" si="61"/>
        <v>9.6492701693808264E-4</v>
      </c>
      <c r="H968" s="35">
        <v>45581</v>
      </c>
      <c r="I968" s="37">
        <v>1919.9</v>
      </c>
      <c r="J968" s="37">
        <v>81501.36</v>
      </c>
      <c r="K968" s="38">
        <f t="shared" si="62"/>
        <v>2.5506602078850478E-2</v>
      </c>
      <c r="L968" s="38">
        <f t="shared" si="63"/>
        <v>-6.0889509429445108E-3</v>
      </c>
    </row>
    <row r="969" spans="1:12">
      <c r="A969" s="35">
        <v>43762</v>
      </c>
      <c r="B969" s="37">
        <v>635.4</v>
      </c>
      <c r="C969" s="37">
        <v>39058.06</v>
      </c>
      <c r="D969" s="38">
        <f t="shared" si="60"/>
        <v>3.3779834941350412E-3</v>
      </c>
      <c r="E969" s="38">
        <f t="shared" si="61"/>
        <v>4.9072827204582449E-3</v>
      </c>
      <c r="H969" s="35">
        <v>45582</v>
      </c>
      <c r="I969" s="37">
        <v>1969.5</v>
      </c>
      <c r="J969" s="37">
        <v>81006.61</v>
      </c>
      <c r="K969" s="38">
        <f t="shared" si="62"/>
        <v>-4.7119815880702257E-2</v>
      </c>
      <c r="L969" s="38">
        <f t="shared" si="63"/>
        <v>2.6892473991049644E-3</v>
      </c>
    </row>
    <row r="970" spans="1:12">
      <c r="A970" s="35">
        <v>43763</v>
      </c>
      <c r="B970" s="37">
        <v>637.54999999999995</v>
      </c>
      <c r="C970" s="37">
        <v>39250.199999999997</v>
      </c>
      <c r="D970" s="38">
        <f t="shared" si="60"/>
        <v>1.7722966804217258E-2</v>
      </c>
      <c r="E970" s="38">
        <f t="shared" si="61"/>
        <v>1.471005270411979E-2</v>
      </c>
      <c r="H970" s="35">
        <v>45583</v>
      </c>
      <c r="I970" s="37">
        <v>1878.85</v>
      </c>
      <c r="J970" s="37">
        <v>81224.75</v>
      </c>
      <c r="K970" s="38">
        <f t="shared" si="62"/>
        <v>-1.4123809360016316E-2</v>
      </c>
      <c r="L970" s="38">
        <f t="shared" si="63"/>
        <v>-9.0505981136651797E-4</v>
      </c>
    </row>
    <row r="971" spans="1:12">
      <c r="A971" s="35">
        <v>43765</v>
      </c>
      <c r="B971" s="37">
        <v>648.95000000000005</v>
      </c>
      <c r="C971" s="37">
        <v>39831.839999999997</v>
      </c>
      <c r="D971" s="38">
        <f t="shared" si="60"/>
        <v>2.539341905483012E-3</v>
      </c>
      <c r="E971" s="38">
        <f t="shared" si="61"/>
        <v>5.5087715988472417E-3</v>
      </c>
      <c r="H971" s="35">
        <v>45586</v>
      </c>
      <c r="I971" s="37">
        <v>1852.5</v>
      </c>
      <c r="J971" s="37">
        <v>81151.27</v>
      </c>
      <c r="K971" s="38">
        <f t="shared" si="62"/>
        <v>-8.3705738730241062E-4</v>
      </c>
      <c r="L971" s="38">
        <f t="shared" si="63"/>
        <v>-1.1533108249442195E-2</v>
      </c>
    </row>
    <row r="972" spans="1:12">
      <c r="A972" s="35">
        <v>43767</v>
      </c>
      <c r="B972" s="37">
        <v>650.6</v>
      </c>
      <c r="C972" s="37">
        <v>40051.870000000003</v>
      </c>
      <c r="D972" s="38">
        <f t="shared" si="60"/>
        <v>1.5026406830621482E-2</v>
      </c>
      <c r="E972" s="38">
        <f t="shared" si="61"/>
        <v>1.9251468762639065E-3</v>
      </c>
      <c r="H972" s="35">
        <v>45587</v>
      </c>
      <c r="I972" s="37">
        <v>1850.95</v>
      </c>
      <c r="J972" s="37">
        <v>80220.72</v>
      </c>
      <c r="K972" s="38">
        <f t="shared" si="62"/>
        <v>1.1762314029687417E-2</v>
      </c>
      <c r="L972" s="38">
        <f t="shared" si="63"/>
        <v>-1.7309756434789117E-3</v>
      </c>
    </row>
    <row r="973" spans="1:12">
      <c r="A973" s="35">
        <v>43768</v>
      </c>
      <c r="B973" s="37">
        <v>660.45</v>
      </c>
      <c r="C973" s="37">
        <v>40129.050000000003</v>
      </c>
      <c r="D973" s="38">
        <f t="shared" si="60"/>
        <v>3.722707813249649E-2</v>
      </c>
      <c r="E973" s="38">
        <f t="shared" si="61"/>
        <v>8.9620560838891343E-4</v>
      </c>
      <c r="H973" s="35">
        <v>45588</v>
      </c>
      <c r="I973" s="37">
        <v>1872.85</v>
      </c>
      <c r="J973" s="37">
        <v>80081.98</v>
      </c>
      <c r="K973" s="38">
        <f t="shared" si="62"/>
        <v>-4.5220493140409245E-3</v>
      </c>
      <c r="L973" s="38">
        <f t="shared" si="63"/>
        <v>-2.1005682726320319E-4</v>
      </c>
    </row>
    <row r="974" spans="1:12">
      <c r="A974" s="35">
        <v>43769</v>
      </c>
      <c r="B974" s="37">
        <v>685.5</v>
      </c>
      <c r="C974" s="37">
        <v>40165.03</v>
      </c>
      <c r="D974" s="38">
        <f t="shared" si="60"/>
        <v>3.6403389309746727E-3</v>
      </c>
      <c r="E974" s="38">
        <f t="shared" si="61"/>
        <v>3.4033864612583709E-3</v>
      </c>
      <c r="H974" s="35">
        <v>45589</v>
      </c>
      <c r="I974" s="37">
        <v>1864.4</v>
      </c>
      <c r="J974" s="37">
        <v>80065.16</v>
      </c>
      <c r="K974" s="38">
        <f t="shared" si="62"/>
        <v>-5.9984309617567609E-3</v>
      </c>
      <c r="L974" s="38">
        <f t="shared" si="63"/>
        <v>-8.3135940017515595E-3</v>
      </c>
    </row>
    <row r="975" spans="1:12">
      <c r="A975" s="35">
        <v>43770</v>
      </c>
      <c r="B975" s="37">
        <v>688</v>
      </c>
      <c r="C975" s="37">
        <v>40301.96</v>
      </c>
      <c r="D975" s="38">
        <f t="shared" si="60"/>
        <v>3.0066688598783784E-2</v>
      </c>
      <c r="E975" s="38">
        <f t="shared" si="61"/>
        <v>-1.3340752633570411E-3</v>
      </c>
      <c r="H975" s="35">
        <v>45590</v>
      </c>
      <c r="I975" s="37">
        <v>1853.25</v>
      </c>
      <c r="J975" s="37">
        <v>79402.289999999994</v>
      </c>
      <c r="K975" s="38">
        <f t="shared" si="62"/>
        <v>6.9902153165710352E-3</v>
      </c>
      <c r="L975" s="38">
        <f t="shared" si="63"/>
        <v>7.5624235424538253E-3</v>
      </c>
    </row>
    <row r="976" spans="1:12">
      <c r="A976" s="35">
        <v>43773</v>
      </c>
      <c r="B976" s="37">
        <v>709</v>
      </c>
      <c r="C976" s="37">
        <v>40248.230000000003</v>
      </c>
      <c r="D976" s="38">
        <f t="shared" si="60"/>
        <v>-1.8793263814285879E-2</v>
      </c>
      <c r="E976" s="38">
        <f t="shared" si="61"/>
        <v>5.4894950051157772E-3</v>
      </c>
      <c r="H976" s="35">
        <v>45593</v>
      </c>
      <c r="I976" s="37">
        <v>1866.25</v>
      </c>
      <c r="J976" s="37">
        <v>80005.039999999994</v>
      </c>
      <c r="K976" s="38">
        <f t="shared" si="62"/>
        <v>-1.4845076937752817E-2</v>
      </c>
      <c r="L976" s="38">
        <f t="shared" si="63"/>
        <v>4.5392702822866782E-3</v>
      </c>
    </row>
    <row r="977" spans="1:12">
      <c r="A977" s="35">
        <v>43774</v>
      </c>
      <c r="B977" s="37">
        <v>695.8</v>
      </c>
      <c r="C977" s="37">
        <v>40469.78</v>
      </c>
      <c r="D977" s="38">
        <f t="shared" si="60"/>
        <v>2.3436908266466567E-2</v>
      </c>
      <c r="E977" s="38">
        <f t="shared" si="61"/>
        <v>4.5353139342024281E-3</v>
      </c>
      <c r="H977" s="35">
        <v>45594</v>
      </c>
      <c r="I977" s="37">
        <v>1838.75</v>
      </c>
      <c r="J977" s="37">
        <v>80369.03</v>
      </c>
      <c r="K977" s="38">
        <f t="shared" si="62"/>
        <v>-2.0327578111096894E-2</v>
      </c>
      <c r="L977" s="38">
        <f t="shared" si="63"/>
        <v>-5.3252796075666546E-3</v>
      </c>
    </row>
    <row r="978" spans="1:12">
      <c r="A978" s="35">
        <v>43775</v>
      </c>
      <c r="B978" s="37">
        <v>712.3</v>
      </c>
      <c r="C978" s="37">
        <v>40653.74</v>
      </c>
      <c r="D978" s="38">
        <f t="shared" si="60"/>
        <v>1.0682594169971518E-2</v>
      </c>
      <c r="E978" s="38">
        <f t="shared" si="61"/>
        <v>-8.1536831963089865E-3</v>
      </c>
      <c r="H978" s="35">
        <v>45595</v>
      </c>
      <c r="I978" s="37">
        <v>1801.75</v>
      </c>
      <c r="J978" s="37">
        <v>79942.179999999993</v>
      </c>
      <c r="K978" s="38">
        <f t="shared" si="62"/>
        <v>-2.5065236466966699E-2</v>
      </c>
      <c r="L978" s="38">
        <f t="shared" si="63"/>
        <v>-6.9430479794111181E-3</v>
      </c>
    </row>
    <row r="979" spans="1:12">
      <c r="A979" s="35">
        <v>43776</v>
      </c>
      <c r="B979" s="37">
        <v>719.95</v>
      </c>
      <c r="C979" s="37">
        <v>40323.61</v>
      </c>
      <c r="D979" s="38">
        <f t="shared" si="60"/>
        <v>-1.6102280144043624E-2</v>
      </c>
      <c r="E979" s="38">
        <f t="shared" si="61"/>
        <v>5.3230071064614521E-4</v>
      </c>
      <c r="H979" s="35">
        <v>45596</v>
      </c>
      <c r="I979" s="37">
        <v>1757.15</v>
      </c>
      <c r="J979" s="37">
        <v>79389.06</v>
      </c>
      <c r="K979" s="38">
        <f t="shared" si="62"/>
        <v>2.5293086308317428E-3</v>
      </c>
      <c r="L979" s="38">
        <f t="shared" si="63"/>
        <v>4.2115995075000367E-3</v>
      </c>
    </row>
    <row r="980" spans="1:12">
      <c r="A980" s="35">
        <v>43777</v>
      </c>
      <c r="B980" s="37">
        <v>708.45</v>
      </c>
      <c r="C980" s="37">
        <v>40345.08</v>
      </c>
      <c r="D980" s="38">
        <f t="shared" si="60"/>
        <v>-5.5911536715010004E-3</v>
      </c>
      <c r="E980" s="38">
        <f t="shared" si="61"/>
        <v>-5.6927013085911072E-3</v>
      </c>
      <c r="H980" s="35">
        <v>45597</v>
      </c>
      <c r="I980" s="37">
        <v>1761.6</v>
      </c>
      <c r="J980" s="37">
        <v>79724.12</v>
      </c>
      <c r="K980" s="38">
        <f t="shared" si="62"/>
        <v>1.8715445701045367E-3</v>
      </c>
      <c r="L980" s="38">
        <f t="shared" si="63"/>
        <v>-1.1884584141149467E-2</v>
      </c>
    </row>
    <row r="981" spans="1:12">
      <c r="A981" s="35">
        <v>43780</v>
      </c>
      <c r="B981" s="37">
        <v>704.5</v>
      </c>
      <c r="C981" s="37">
        <v>40116.06</v>
      </c>
      <c r="D981" s="38">
        <f t="shared" si="60"/>
        <v>-1.8986778502190407E-2</v>
      </c>
      <c r="E981" s="38">
        <f t="shared" si="61"/>
        <v>4.2391759069446405E-3</v>
      </c>
      <c r="H981" s="35">
        <v>45600</v>
      </c>
      <c r="I981" s="37">
        <v>1764.9</v>
      </c>
      <c r="J981" s="37">
        <v>78782.240000000005</v>
      </c>
      <c r="K981" s="38">
        <f t="shared" si="62"/>
        <v>-6.309169193264832E-3</v>
      </c>
      <c r="L981" s="38">
        <f t="shared" si="63"/>
        <v>8.7754254296353151E-3</v>
      </c>
    </row>
    <row r="982" spans="1:12">
      <c r="A982" s="35">
        <v>43782</v>
      </c>
      <c r="B982" s="37">
        <v>691.25</v>
      </c>
      <c r="C982" s="37">
        <v>40286.480000000003</v>
      </c>
      <c r="D982" s="38">
        <f t="shared" si="60"/>
        <v>2.0192580683966756E-2</v>
      </c>
      <c r="E982" s="38">
        <f t="shared" si="61"/>
        <v>1.7412514349193233E-3</v>
      </c>
      <c r="H982" s="35">
        <v>45601</v>
      </c>
      <c r="I982" s="37">
        <v>1753.8</v>
      </c>
      <c r="J982" s="37">
        <v>79476.63</v>
      </c>
      <c r="K982" s="38">
        <f t="shared" si="62"/>
        <v>3.9411489448918376E-2</v>
      </c>
      <c r="L982" s="38">
        <f t="shared" si="63"/>
        <v>1.1279108076017728E-2</v>
      </c>
    </row>
    <row r="983" spans="1:12">
      <c r="A983" s="35">
        <v>43783</v>
      </c>
      <c r="B983" s="37">
        <v>705.35</v>
      </c>
      <c r="C983" s="37">
        <v>40356.69</v>
      </c>
      <c r="D983" s="38">
        <f t="shared" si="60"/>
        <v>-1.9868026119749466E-3</v>
      </c>
      <c r="E983" s="38">
        <f t="shared" si="61"/>
        <v>-1.7980959417507924E-3</v>
      </c>
      <c r="H983" s="35">
        <v>45602</v>
      </c>
      <c r="I983" s="37">
        <v>1824.3</v>
      </c>
      <c r="J983" s="37">
        <v>80378.13</v>
      </c>
      <c r="K983" s="38">
        <f t="shared" si="62"/>
        <v>-1.1938547344353933E-2</v>
      </c>
      <c r="L983" s="38">
        <f t="shared" si="63"/>
        <v>-1.0459580330151394E-2</v>
      </c>
    </row>
    <row r="984" spans="1:12">
      <c r="A984" s="35">
        <v>43784</v>
      </c>
      <c r="B984" s="37">
        <v>703.95</v>
      </c>
      <c r="C984" s="37">
        <v>40284.19</v>
      </c>
      <c r="D984" s="38">
        <f t="shared" si="60"/>
        <v>2.2703095952332319E-3</v>
      </c>
      <c r="E984" s="38">
        <f t="shared" si="61"/>
        <v>4.5944616743202301E-3</v>
      </c>
      <c r="H984" s="35">
        <v>45603</v>
      </c>
      <c r="I984" s="37">
        <v>1802.65</v>
      </c>
      <c r="J984" s="37">
        <v>79541.789999999994</v>
      </c>
      <c r="K984" s="38">
        <f t="shared" si="62"/>
        <v>1.5631768334098513E-2</v>
      </c>
      <c r="L984" s="38">
        <f t="shared" si="63"/>
        <v>-6.976125447204272E-4</v>
      </c>
    </row>
    <row r="985" spans="1:12">
      <c r="A985" s="35">
        <v>43787</v>
      </c>
      <c r="B985" s="37">
        <v>705.55</v>
      </c>
      <c r="C985" s="37">
        <v>40469.699999999997</v>
      </c>
      <c r="D985" s="38">
        <f t="shared" si="60"/>
        <v>1.0223235652829897E-2</v>
      </c>
      <c r="E985" s="38">
        <f t="shared" si="61"/>
        <v>4.4856336215948651E-3</v>
      </c>
      <c r="H985" s="35">
        <v>45604</v>
      </c>
      <c r="I985" s="37">
        <v>1831.05</v>
      </c>
      <c r="J985" s="37">
        <v>79486.320000000007</v>
      </c>
      <c r="K985" s="38">
        <f t="shared" si="62"/>
        <v>1.5686914923328642E-2</v>
      </c>
      <c r="L985" s="38">
        <f t="shared" si="63"/>
        <v>1.2366143276690113E-4</v>
      </c>
    </row>
    <row r="986" spans="1:12">
      <c r="A986" s="35">
        <v>43788</v>
      </c>
      <c r="B986" s="37">
        <v>712.8</v>
      </c>
      <c r="C986" s="37">
        <v>40651.64</v>
      </c>
      <c r="D986" s="38">
        <f t="shared" si="60"/>
        <v>0</v>
      </c>
      <c r="E986" s="38">
        <f t="shared" si="61"/>
        <v>-1.8828764195451635E-3</v>
      </c>
      <c r="H986" s="35">
        <v>45607</v>
      </c>
      <c r="I986" s="37">
        <v>1860</v>
      </c>
      <c r="J986" s="37">
        <v>79496.149999999994</v>
      </c>
      <c r="K986" s="38">
        <f t="shared" si="62"/>
        <v>4.2650851280203253E-3</v>
      </c>
      <c r="L986" s="38">
        <f t="shared" si="63"/>
        <v>-1.0380861973587606E-2</v>
      </c>
    </row>
    <row r="987" spans="1:12">
      <c r="A987" s="35">
        <v>43789</v>
      </c>
      <c r="B987" s="37">
        <v>712.8</v>
      </c>
      <c r="C987" s="37">
        <v>40575.17</v>
      </c>
      <c r="D987" s="38">
        <f t="shared" si="60"/>
        <v>1.3318848136205303E-3</v>
      </c>
      <c r="E987" s="38">
        <f t="shared" si="61"/>
        <v>-5.331726219440132E-3</v>
      </c>
      <c r="H987" s="35">
        <v>45608</v>
      </c>
      <c r="I987" s="37">
        <v>1867.95</v>
      </c>
      <c r="J987" s="37">
        <v>78675.179999999993</v>
      </c>
      <c r="K987" s="38">
        <f t="shared" si="62"/>
        <v>1.8735363052460846E-4</v>
      </c>
      <c r="L987" s="38">
        <f t="shared" si="63"/>
        <v>-1.2588953867535163E-2</v>
      </c>
    </row>
    <row r="988" spans="1:12">
      <c r="A988" s="35">
        <v>43790</v>
      </c>
      <c r="B988" s="37">
        <v>713.75</v>
      </c>
      <c r="C988" s="37">
        <v>40359.410000000003</v>
      </c>
      <c r="D988" s="38">
        <f t="shared" si="60"/>
        <v>-2.9286334985834904E-2</v>
      </c>
      <c r="E988" s="38">
        <f t="shared" si="61"/>
        <v>1.3042126244753665E-2</v>
      </c>
      <c r="H988" s="35">
        <v>45609</v>
      </c>
      <c r="I988" s="37">
        <v>1868.3</v>
      </c>
      <c r="J988" s="37">
        <v>77690.95</v>
      </c>
      <c r="K988" s="38">
        <f t="shared" si="62"/>
        <v>-2.3042102202552096E-3</v>
      </c>
      <c r="L988" s="38">
        <f t="shared" si="63"/>
        <v>-1.4251190944865276E-3</v>
      </c>
    </row>
    <row r="989" spans="1:12">
      <c r="A989" s="35">
        <v>43791</v>
      </c>
      <c r="B989" s="37">
        <v>693.15</v>
      </c>
      <c r="C989" s="37">
        <v>40889.230000000003</v>
      </c>
      <c r="D989" s="38">
        <f t="shared" si="60"/>
        <v>6.9726767779873843E-3</v>
      </c>
      <c r="E989" s="38">
        <f t="shared" si="61"/>
        <v>-1.6626991808708247E-3</v>
      </c>
      <c r="H989" s="35">
        <v>45610</v>
      </c>
      <c r="I989" s="37">
        <v>1864</v>
      </c>
      <c r="J989" s="37">
        <v>77580.31</v>
      </c>
      <c r="K989" s="38">
        <f t="shared" si="62"/>
        <v>-2.8624689304688294E-2</v>
      </c>
      <c r="L989" s="38">
        <f t="shared" si="63"/>
        <v>-3.115172402477061E-3</v>
      </c>
    </row>
    <row r="990" spans="1:12">
      <c r="A990" s="35">
        <v>43794</v>
      </c>
      <c r="B990" s="37">
        <v>698</v>
      </c>
      <c r="C990" s="37">
        <v>40821.300000000003</v>
      </c>
      <c r="D990" s="38">
        <f t="shared" si="60"/>
        <v>-1.051352666744524E-2</v>
      </c>
      <c r="E990" s="38">
        <f t="shared" si="61"/>
        <v>4.8706193200520461E-3</v>
      </c>
      <c r="H990" s="35">
        <v>45614</v>
      </c>
      <c r="I990" s="37">
        <v>1811.4</v>
      </c>
      <c r="J990" s="37">
        <v>77339.009999999995</v>
      </c>
      <c r="K990" s="38">
        <f t="shared" si="62"/>
        <v>7.7812845359820975E-3</v>
      </c>
      <c r="L990" s="38">
        <f t="shared" si="63"/>
        <v>3.0902946466761939E-3</v>
      </c>
    </row>
    <row r="991" spans="1:12">
      <c r="A991" s="35">
        <v>43795</v>
      </c>
      <c r="B991" s="37">
        <v>690.7</v>
      </c>
      <c r="C991" s="37">
        <v>41020.61</v>
      </c>
      <c r="D991" s="38">
        <f t="shared" si="60"/>
        <v>7.7159207396489222E-3</v>
      </c>
      <c r="E991" s="38">
        <f t="shared" si="61"/>
        <v>2.6672921414719981E-3</v>
      </c>
      <c r="H991" s="35">
        <v>45615</v>
      </c>
      <c r="I991" s="37">
        <v>1825.55</v>
      </c>
      <c r="J991" s="37">
        <v>77578.38</v>
      </c>
      <c r="K991" s="38">
        <f t="shared" si="62"/>
        <v>4.727107648013722E-3</v>
      </c>
      <c r="L991" s="38">
        <f t="shared" si="63"/>
        <v>-5.4621555234879221E-3</v>
      </c>
    </row>
    <row r="992" spans="1:12">
      <c r="A992" s="35">
        <v>43796</v>
      </c>
      <c r="B992" s="37">
        <v>696.05</v>
      </c>
      <c r="C992" s="37">
        <v>41130.17</v>
      </c>
      <c r="D992" s="38">
        <f t="shared" si="60"/>
        <v>8.013207362568402E-3</v>
      </c>
      <c r="E992" s="38">
        <f t="shared" si="61"/>
        <v>-8.2115612560190454E-3</v>
      </c>
      <c r="H992" s="35">
        <v>45617</v>
      </c>
      <c r="I992" s="37">
        <v>1834.2</v>
      </c>
      <c r="J992" s="37">
        <v>77155.789999999994</v>
      </c>
      <c r="K992" s="38">
        <f t="shared" si="62"/>
        <v>3.6796894522399086E-2</v>
      </c>
      <c r="L992" s="38">
        <f t="shared" si="63"/>
        <v>2.510253525282052E-2</v>
      </c>
    </row>
    <row r="993" spans="1:12">
      <c r="A993" s="35">
        <v>43797</v>
      </c>
      <c r="B993" s="37">
        <v>701.65</v>
      </c>
      <c r="C993" s="37">
        <v>40793.81</v>
      </c>
      <c r="D993" s="38">
        <f t="shared" si="60"/>
        <v>-8.1568855237351204E-3</v>
      </c>
      <c r="E993" s="38">
        <f t="shared" si="61"/>
        <v>2.0491205643352064E-4</v>
      </c>
      <c r="H993" s="35">
        <v>45618</v>
      </c>
      <c r="I993" s="37">
        <v>1902.95</v>
      </c>
      <c r="J993" s="37">
        <v>79117.11</v>
      </c>
      <c r="K993" s="38">
        <f t="shared" si="62"/>
        <v>-7.2783212046094109E-3</v>
      </c>
      <c r="L993" s="38">
        <f t="shared" si="63"/>
        <v>1.2469657947262611E-2</v>
      </c>
    </row>
    <row r="994" spans="1:12">
      <c r="A994" s="35">
        <v>43798</v>
      </c>
      <c r="B994" s="37">
        <v>695.95</v>
      </c>
      <c r="C994" s="37">
        <v>40802.17</v>
      </c>
      <c r="D994" s="38">
        <f t="shared" si="60"/>
        <v>-4.392130040074077E-3</v>
      </c>
      <c r="E994" s="38">
        <f t="shared" si="61"/>
        <v>-3.1105499196830743E-3</v>
      </c>
      <c r="H994" s="35">
        <v>45621</v>
      </c>
      <c r="I994" s="37">
        <v>1889.15</v>
      </c>
      <c r="J994" s="37">
        <v>80109.850000000006</v>
      </c>
      <c r="K994" s="38">
        <f t="shared" si="62"/>
        <v>1.7161271337561349E-2</v>
      </c>
      <c r="L994" s="38">
        <f t="shared" si="63"/>
        <v>-1.321434413713512E-3</v>
      </c>
    </row>
    <row r="995" spans="1:12">
      <c r="A995" s="35">
        <v>43801</v>
      </c>
      <c r="B995" s="37">
        <v>692.9</v>
      </c>
      <c r="C995" s="37">
        <v>40675.449999999997</v>
      </c>
      <c r="D995" s="38">
        <f t="shared" si="60"/>
        <v>7.8347211184449077E-3</v>
      </c>
      <c r="E995" s="38">
        <f t="shared" si="61"/>
        <v>4.2892040734169596E-3</v>
      </c>
      <c r="H995" s="35">
        <v>45622</v>
      </c>
      <c r="I995" s="37">
        <v>1921.85</v>
      </c>
      <c r="J995" s="37">
        <v>80004.06</v>
      </c>
      <c r="K995" s="38">
        <f t="shared" si="62"/>
        <v>1.1700621467758082E-3</v>
      </c>
      <c r="L995" s="38">
        <f t="shared" si="63"/>
        <v>2.8709788817487527E-3</v>
      </c>
    </row>
    <row r="996" spans="1:12">
      <c r="A996" s="35">
        <v>43802</v>
      </c>
      <c r="B996" s="37">
        <v>698.35</v>
      </c>
      <c r="C996" s="37">
        <v>40850.29</v>
      </c>
      <c r="D996" s="38">
        <f t="shared" si="60"/>
        <v>1.4006129926023134E-2</v>
      </c>
      <c r="E996" s="38">
        <f t="shared" si="61"/>
        <v>-1.7322092762659281E-3</v>
      </c>
      <c r="H996" s="35">
        <v>45623</v>
      </c>
      <c r="I996" s="37">
        <v>1924.1</v>
      </c>
      <c r="J996" s="37">
        <v>80234.080000000002</v>
      </c>
      <c r="K996" s="38">
        <f t="shared" si="62"/>
        <v>-3.5253746597753259E-2</v>
      </c>
      <c r="L996" s="38">
        <f t="shared" si="63"/>
        <v>-1.4946992133967451E-2</v>
      </c>
    </row>
    <row r="997" spans="1:12">
      <c r="A997" s="35">
        <v>43803</v>
      </c>
      <c r="B997" s="37">
        <v>708.2</v>
      </c>
      <c r="C997" s="37">
        <v>40779.589999999997</v>
      </c>
      <c r="D997" s="38">
        <f t="shared" si="60"/>
        <v>9.0663726773208449E-3</v>
      </c>
      <c r="E997" s="38">
        <f t="shared" si="61"/>
        <v>-8.2349759444508546E-3</v>
      </c>
      <c r="H997" s="35">
        <v>45624</v>
      </c>
      <c r="I997" s="37">
        <v>1857.45</v>
      </c>
      <c r="J997" s="37">
        <v>79043.740000000005</v>
      </c>
      <c r="K997" s="38">
        <f t="shared" si="62"/>
        <v>5.3822762945211907E-4</v>
      </c>
      <c r="L997" s="38">
        <f t="shared" si="63"/>
        <v>9.5570961166821303E-3</v>
      </c>
    </row>
    <row r="998" spans="1:12">
      <c r="A998" s="35">
        <v>43804</v>
      </c>
      <c r="B998" s="37">
        <v>714.65</v>
      </c>
      <c r="C998" s="37">
        <v>40445.15</v>
      </c>
      <c r="D998" s="38">
        <f t="shared" si="60"/>
        <v>6.9939854578490745E-4</v>
      </c>
      <c r="E998" s="38">
        <f t="shared" si="61"/>
        <v>1.0448203639682946E-3</v>
      </c>
      <c r="H998" s="35">
        <v>45625</v>
      </c>
      <c r="I998" s="37">
        <v>1858.45</v>
      </c>
      <c r="J998" s="37">
        <v>79802.789999999994</v>
      </c>
      <c r="K998" s="38">
        <f t="shared" si="62"/>
        <v>1.1103347386033489E-2</v>
      </c>
      <c r="L998" s="38">
        <f t="shared" si="63"/>
        <v>5.564370239660125E-3</v>
      </c>
    </row>
    <row r="999" spans="1:12">
      <c r="A999" s="35">
        <v>43805</v>
      </c>
      <c r="B999" s="37">
        <v>715.15</v>
      </c>
      <c r="C999" s="37">
        <v>40487.43</v>
      </c>
      <c r="D999" s="38">
        <f t="shared" si="60"/>
        <v>2.4440499579173754E-3</v>
      </c>
      <c r="E999" s="38">
        <f t="shared" si="61"/>
        <v>-6.1330118875900222E-3</v>
      </c>
      <c r="H999" s="35">
        <v>45628</v>
      </c>
      <c r="I999" s="37">
        <v>1879.2</v>
      </c>
      <c r="J999" s="37">
        <v>80248.08</v>
      </c>
      <c r="K999" s="38">
        <f t="shared" si="62"/>
        <v>6.4711412367088172E-3</v>
      </c>
      <c r="L999" s="38">
        <f t="shared" si="63"/>
        <v>7.4201816700446566E-3</v>
      </c>
    </row>
    <row r="1000" spans="1:12">
      <c r="A1000" s="35">
        <v>43808</v>
      </c>
      <c r="B1000" s="37">
        <v>716.9</v>
      </c>
      <c r="C1000" s="37">
        <v>40239.879999999997</v>
      </c>
      <c r="D1000" s="38">
        <f t="shared" si="60"/>
        <v>-3.703319747944047E-3</v>
      </c>
      <c r="E1000" s="38">
        <f t="shared" si="61"/>
        <v>4.2823315077037388E-3</v>
      </c>
      <c r="H1000" s="35">
        <v>45629</v>
      </c>
      <c r="I1000" s="37">
        <v>1891.4</v>
      </c>
      <c r="J1000" s="37">
        <v>80845.75</v>
      </c>
      <c r="K1000" s="38">
        <f t="shared" si="62"/>
        <v>-5.8174896529234312E-4</v>
      </c>
      <c r="L1000" s="38">
        <f t="shared" si="63"/>
        <v>1.3668553236933273E-3</v>
      </c>
    </row>
    <row r="1001" spans="1:12">
      <c r="A1001" s="35">
        <v>43809</v>
      </c>
      <c r="B1001" s="37">
        <v>714.25</v>
      </c>
      <c r="C1001" s="37">
        <v>40412.57</v>
      </c>
      <c r="D1001" s="38">
        <f t="shared" si="60"/>
        <v>9.1286651832455327E-3</v>
      </c>
      <c r="E1001" s="38">
        <f t="shared" si="61"/>
        <v>4.1765973071830158E-3</v>
      </c>
      <c r="H1001" s="35">
        <v>45630</v>
      </c>
      <c r="I1001" s="37">
        <v>1890.3</v>
      </c>
      <c r="J1001" s="37">
        <v>80956.33</v>
      </c>
      <c r="K1001" s="38">
        <f t="shared" si="62"/>
        <v>2.3035806102242484E-2</v>
      </c>
      <c r="L1001" s="38">
        <f t="shared" si="63"/>
        <v>9.949923592812571E-3</v>
      </c>
    </row>
    <row r="1002" spans="1:12">
      <c r="A1002" s="35">
        <v>43810</v>
      </c>
      <c r="B1002" s="37">
        <v>720.8</v>
      </c>
      <c r="C1002" s="37">
        <v>40581.71</v>
      </c>
      <c r="D1002" s="38">
        <f t="shared" si="60"/>
        <v>-2.6642000313793088E-2</v>
      </c>
      <c r="E1002" s="38">
        <f t="shared" si="61"/>
        <v>1.0491395438408073E-2</v>
      </c>
      <c r="H1002" s="35">
        <v>45631</v>
      </c>
      <c r="I1002" s="37">
        <v>1934.35</v>
      </c>
      <c r="J1002" s="37">
        <v>81765.86</v>
      </c>
      <c r="K1002" s="38">
        <f t="shared" si="62"/>
        <v>-5.7808873774735032E-3</v>
      </c>
      <c r="L1002" s="38">
        <f t="shared" si="63"/>
        <v>-6.9417353381512011E-4</v>
      </c>
    </row>
    <row r="1003" spans="1:12">
      <c r="A1003" s="35">
        <v>43811</v>
      </c>
      <c r="B1003" s="37">
        <v>701.85</v>
      </c>
      <c r="C1003" s="37">
        <v>41009.71</v>
      </c>
      <c r="D1003" s="38">
        <f t="shared" si="60"/>
        <v>1.3304279460205652E-2</v>
      </c>
      <c r="E1003" s="38">
        <f t="shared" si="61"/>
        <v>-1.7325534548447135E-3</v>
      </c>
      <c r="H1003" s="35">
        <v>45632</v>
      </c>
      <c r="I1003" s="37">
        <v>1923.2</v>
      </c>
      <c r="J1003" s="37">
        <v>81709.119999999995</v>
      </c>
      <c r="K1003" s="38">
        <f t="shared" si="62"/>
        <v>1.0913343944013081E-3</v>
      </c>
      <c r="L1003" s="38">
        <f t="shared" si="63"/>
        <v>-2.4588050024332724E-3</v>
      </c>
    </row>
    <row r="1004" spans="1:12">
      <c r="A1004" s="35">
        <v>43812</v>
      </c>
      <c r="B1004" s="37">
        <v>711.25</v>
      </c>
      <c r="C1004" s="37">
        <v>40938.720000000001</v>
      </c>
      <c r="D1004" s="38">
        <f t="shared" si="60"/>
        <v>3.8589768990436152E-3</v>
      </c>
      <c r="E1004" s="38">
        <f t="shared" si="61"/>
        <v>1.0048584453780249E-2</v>
      </c>
      <c r="H1004" s="35">
        <v>45635</v>
      </c>
      <c r="I1004" s="37">
        <v>1925.3</v>
      </c>
      <c r="J1004" s="37">
        <v>81508.460000000006</v>
      </c>
      <c r="K1004" s="38">
        <f t="shared" si="62"/>
        <v>1.2080683834799022E-2</v>
      </c>
      <c r="L1004" s="38">
        <f t="shared" si="63"/>
        <v>1.9506987274556906E-5</v>
      </c>
    </row>
    <row r="1005" spans="1:12">
      <c r="A1005" s="35">
        <v>43815</v>
      </c>
      <c r="B1005" s="37">
        <v>714</v>
      </c>
      <c r="C1005" s="37">
        <v>41352.17</v>
      </c>
      <c r="D1005" s="38">
        <f t="shared" si="60"/>
        <v>2.1202207650602906E-2</v>
      </c>
      <c r="E1005" s="38">
        <f t="shared" si="61"/>
        <v>4.978858622446145E-3</v>
      </c>
      <c r="H1005" s="35">
        <v>45636</v>
      </c>
      <c r="I1005" s="37">
        <v>1948.7</v>
      </c>
      <c r="J1005" s="37">
        <v>81510.05</v>
      </c>
      <c r="K1005" s="38">
        <f t="shared" si="62"/>
        <v>1.0210942855952677E-2</v>
      </c>
      <c r="L1005" s="38">
        <f t="shared" si="63"/>
        <v>1.9737949043379931E-4</v>
      </c>
    </row>
    <row r="1006" spans="1:12">
      <c r="A1006" s="35">
        <v>43816</v>
      </c>
      <c r="B1006" s="37">
        <v>729.3</v>
      </c>
      <c r="C1006" s="37">
        <v>41558.57</v>
      </c>
      <c r="D1006" s="38">
        <f t="shared" si="60"/>
        <v>4.3781709010351283E-3</v>
      </c>
      <c r="E1006" s="38">
        <f t="shared" si="61"/>
        <v>2.7717559296683908E-3</v>
      </c>
      <c r="H1006" s="35">
        <v>45637</v>
      </c>
      <c r="I1006" s="37">
        <v>1968.7</v>
      </c>
      <c r="J1006" s="37">
        <v>81526.14</v>
      </c>
      <c r="K1006" s="38">
        <f t="shared" si="62"/>
        <v>9.1267113942471254E-3</v>
      </c>
      <c r="L1006" s="38">
        <f t="shared" si="63"/>
        <v>-2.901189325362557E-3</v>
      </c>
    </row>
    <row r="1007" spans="1:12">
      <c r="A1007" s="35">
        <v>43817</v>
      </c>
      <c r="B1007" s="37">
        <v>732.5</v>
      </c>
      <c r="C1007" s="37">
        <v>41673.919999999998</v>
      </c>
      <c r="D1007" s="38">
        <f t="shared" si="60"/>
        <v>-1.7763207512820735E-3</v>
      </c>
      <c r="E1007" s="38">
        <f t="shared" si="61"/>
        <v>1.8283145510162151E-4</v>
      </c>
      <c r="H1007" s="35">
        <v>45638</v>
      </c>
      <c r="I1007" s="37">
        <v>1986.75</v>
      </c>
      <c r="J1007" s="37">
        <v>81289.960000000006</v>
      </c>
      <c r="K1007" s="38">
        <f t="shared" si="62"/>
        <v>6.5720399091530142E-3</v>
      </c>
      <c r="L1007" s="38">
        <f t="shared" si="63"/>
        <v>1.0318829892369059E-2</v>
      </c>
    </row>
    <row r="1008" spans="1:12">
      <c r="A1008" s="35">
        <v>43818</v>
      </c>
      <c r="B1008" s="37">
        <v>731.2</v>
      </c>
      <c r="C1008" s="37">
        <v>41681.54</v>
      </c>
      <c r="D1008" s="38">
        <f t="shared" si="60"/>
        <v>1.0934938213712896E-3</v>
      </c>
      <c r="E1008" s="38">
        <f t="shared" si="61"/>
        <v>-9.3322234889089137E-4</v>
      </c>
      <c r="H1008" s="35">
        <v>45639</v>
      </c>
      <c r="I1008" s="37">
        <v>1999.85</v>
      </c>
      <c r="J1008" s="37">
        <v>82133.119999999995</v>
      </c>
      <c r="K1008" s="38">
        <f t="shared" si="62"/>
        <v>-1.0152116342875604E-2</v>
      </c>
      <c r="L1008" s="38">
        <f t="shared" si="63"/>
        <v>-4.6930283156545721E-3</v>
      </c>
    </row>
    <row r="1009" spans="1:12">
      <c r="A1009" s="35">
        <v>43819</v>
      </c>
      <c r="B1009" s="37">
        <v>732</v>
      </c>
      <c r="C1009" s="37">
        <v>41642.660000000003</v>
      </c>
      <c r="D1009" s="38">
        <f t="shared" si="60"/>
        <v>5.2457796488104298E-3</v>
      </c>
      <c r="E1009" s="38">
        <f t="shared" si="61"/>
        <v>-4.3656253063318736E-3</v>
      </c>
      <c r="H1009" s="35">
        <v>45642</v>
      </c>
      <c r="I1009" s="37">
        <v>1979.65</v>
      </c>
      <c r="J1009" s="37">
        <v>81748.570000000007</v>
      </c>
      <c r="K1009" s="38">
        <f t="shared" si="62"/>
        <v>-1.5165688016556781E-3</v>
      </c>
      <c r="L1009" s="38">
        <f t="shared" si="63"/>
        <v>-1.310244953213105E-2</v>
      </c>
    </row>
    <row r="1010" spans="1:12">
      <c r="A1010" s="35">
        <v>43822</v>
      </c>
      <c r="B1010" s="37">
        <v>735.85</v>
      </c>
      <c r="C1010" s="37">
        <v>41461.26</v>
      </c>
      <c r="D1010" s="38">
        <f t="shared" si="60"/>
        <v>-3.5395857525614481E-3</v>
      </c>
      <c r="E1010" s="38">
        <f t="shared" si="61"/>
        <v>-7.201239664244222E-3</v>
      </c>
      <c r="H1010" s="35">
        <v>45643</v>
      </c>
      <c r="I1010" s="37">
        <v>1976.65</v>
      </c>
      <c r="J1010" s="37">
        <v>80684.45</v>
      </c>
      <c r="K1010" s="38">
        <f t="shared" si="62"/>
        <v>1.1376421699475668E-3</v>
      </c>
      <c r="L1010" s="38">
        <f t="shared" si="63"/>
        <v>-6.2443226356538838E-3</v>
      </c>
    </row>
    <row r="1011" spans="1:12">
      <c r="A1011" s="35">
        <v>43823</v>
      </c>
      <c r="B1011" s="37">
        <v>733.25</v>
      </c>
      <c r="C1011" s="37">
        <v>41163.760000000002</v>
      </c>
      <c r="D1011" s="38">
        <f t="shared" si="60"/>
        <v>-5.4700991097295718E-3</v>
      </c>
      <c r="E1011" s="38">
        <f t="shared" si="61"/>
        <v>9.9441348619589733E-3</v>
      </c>
      <c r="H1011" s="35">
        <v>45644</v>
      </c>
      <c r="I1011" s="37">
        <v>1978.9</v>
      </c>
      <c r="J1011" s="37">
        <v>80182.2</v>
      </c>
      <c r="K1011" s="38">
        <f t="shared" si="62"/>
        <v>-1.5660930463495433E-2</v>
      </c>
      <c r="L1011" s="38">
        <f t="shared" si="63"/>
        <v>-1.2097368207241293E-2</v>
      </c>
    </row>
    <row r="1012" spans="1:12">
      <c r="A1012" s="35">
        <v>43825</v>
      </c>
      <c r="B1012" s="37">
        <v>729.25</v>
      </c>
      <c r="C1012" s="37">
        <v>41575.14</v>
      </c>
      <c r="D1012" s="38">
        <f t="shared" si="60"/>
        <v>1.0299876193266309E-2</v>
      </c>
      <c r="E1012" s="38">
        <f t="shared" si="61"/>
        <v>-4.1235060393151512E-4</v>
      </c>
      <c r="H1012" s="35">
        <v>45645</v>
      </c>
      <c r="I1012" s="37">
        <v>1948.15</v>
      </c>
      <c r="J1012" s="37">
        <v>79218.05</v>
      </c>
      <c r="K1012" s="38">
        <f t="shared" si="62"/>
        <v>-1.3487879531339725E-2</v>
      </c>
      <c r="L1012" s="38">
        <f t="shared" si="63"/>
        <v>-1.4962287180149849E-2</v>
      </c>
    </row>
    <row r="1013" spans="1:12">
      <c r="A1013" s="35">
        <v>43826</v>
      </c>
      <c r="B1013" s="37">
        <v>736.8</v>
      </c>
      <c r="C1013" s="37">
        <v>41558</v>
      </c>
      <c r="D1013" s="38">
        <f t="shared" si="60"/>
        <v>-5.4436715811765806E-3</v>
      </c>
      <c r="E1013" s="38">
        <f t="shared" si="61"/>
        <v>-7.3482665403055607E-3</v>
      </c>
      <c r="H1013" s="35">
        <v>45646</v>
      </c>
      <c r="I1013" s="37">
        <v>1922.05</v>
      </c>
      <c r="J1013" s="37">
        <v>78041.59</v>
      </c>
      <c r="K1013" s="38">
        <f t="shared" si="62"/>
        <v>9.3606184842651423E-4</v>
      </c>
      <c r="L1013" s="38">
        <f t="shared" si="63"/>
        <v>6.3683239352319088E-3</v>
      </c>
    </row>
    <row r="1014" spans="1:12">
      <c r="A1014" s="35">
        <v>43829</v>
      </c>
      <c r="B1014" s="37">
        <v>732.8</v>
      </c>
      <c r="C1014" s="37">
        <v>41253.74</v>
      </c>
      <c r="D1014" s="38">
        <f t="shared" si="60"/>
        <v>-1.4338877879251648E-3</v>
      </c>
      <c r="E1014" s="38">
        <f t="shared" si="61"/>
        <v>1.2664767191167461E-3</v>
      </c>
      <c r="H1014" s="35">
        <v>45649</v>
      </c>
      <c r="I1014" s="37">
        <v>1923.85</v>
      </c>
      <c r="J1014" s="37">
        <v>78540.17</v>
      </c>
      <c r="K1014" s="38">
        <f t="shared" si="62"/>
        <v>-7.5917038890306399E-3</v>
      </c>
      <c r="L1014" s="38">
        <f t="shared" si="63"/>
        <v>-8.5725369206885685E-4</v>
      </c>
    </row>
    <row r="1015" spans="1:12">
      <c r="A1015" s="35">
        <v>43830</v>
      </c>
      <c r="B1015" s="37">
        <v>731.75</v>
      </c>
      <c r="C1015" s="37">
        <v>41306.019999999997</v>
      </c>
      <c r="D1015" s="38">
        <f t="shared" si="60"/>
        <v>7.013272200958447E-3</v>
      </c>
      <c r="E1015" s="38">
        <f t="shared" si="61"/>
        <v>7.7320948673718099E-3</v>
      </c>
      <c r="H1015" s="35">
        <v>45650</v>
      </c>
      <c r="I1015" s="37">
        <v>1909.3</v>
      </c>
      <c r="J1015" s="37">
        <v>78472.87</v>
      </c>
      <c r="K1015" s="38">
        <f t="shared" si="62"/>
        <v>-1.6249512158932609E-3</v>
      </c>
      <c r="L1015" s="38">
        <f t="shared" si="63"/>
        <v>-4.9698828286686762E-6</v>
      </c>
    </row>
    <row r="1016" spans="1:12">
      <c r="A1016" s="35">
        <v>43831</v>
      </c>
      <c r="B1016" s="37">
        <v>736.9</v>
      </c>
      <c r="C1016" s="37">
        <v>41626.639999999999</v>
      </c>
      <c r="D1016" s="38">
        <f t="shared" si="60"/>
        <v>-2.989945146721777E-3</v>
      </c>
      <c r="E1016" s="38">
        <f t="shared" si="61"/>
        <v>-3.9000545876664424E-3</v>
      </c>
      <c r="H1016" s="35">
        <v>45652</v>
      </c>
      <c r="I1016" s="37">
        <v>1906.2</v>
      </c>
      <c r="J1016" s="37">
        <v>78472.479999999996</v>
      </c>
      <c r="K1016" s="38">
        <f t="shared" si="62"/>
        <v>5.4149632019163492E-3</v>
      </c>
      <c r="L1016" s="38">
        <f t="shared" si="63"/>
        <v>2.8833482520643338E-3</v>
      </c>
    </row>
    <row r="1017" spans="1:12">
      <c r="A1017" s="35">
        <v>43832</v>
      </c>
      <c r="B1017" s="37">
        <v>734.7</v>
      </c>
      <c r="C1017" s="37">
        <v>41464.61</v>
      </c>
      <c r="D1017" s="38">
        <f t="shared" si="60"/>
        <v>1.5397386851236887E-2</v>
      </c>
      <c r="E1017" s="38">
        <f t="shared" si="61"/>
        <v>-1.9186566278656874E-2</v>
      </c>
      <c r="H1017" s="35">
        <v>45653</v>
      </c>
      <c r="I1017" s="37">
        <v>1916.55</v>
      </c>
      <c r="J1017" s="37">
        <v>78699.070000000007</v>
      </c>
      <c r="K1017" s="38">
        <f t="shared" si="62"/>
        <v>-5.6772995711115654E-3</v>
      </c>
      <c r="L1017" s="38">
        <f t="shared" si="63"/>
        <v>-5.7464069557241612E-3</v>
      </c>
    </row>
    <row r="1018" spans="1:12">
      <c r="A1018" s="35">
        <v>43833</v>
      </c>
      <c r="B1018" s="37">
        <v>746.1</v>
      </c>
      <c r="C1018" s="37">
        <v>40676.629999999997</v>
      </c>
      <c r="D1018" s="38">
        <f t="shared" si="60"/>
        <v>-1.0035443709851559E-2</v>
      </c>
      <c r="E1018" s="38">
        <f t="shared" si="61"/>
        <v>4.7296034874040336E-3</v>
      </c>
      <c r="H1018" s="35">
        <v>45656</v>
      </c>
      <c r="I1018" s="37">
        <v>1905.7</v>
      </c>
      <c r="J1018" s="37">
        <v>78248.13</v>
      </c>
      <c r="K1018" s="38">
        <f t="shared" si="62"/>
        <v>-1.3205347186297811E-2</v>
      </c>
      <c r="L1018" s="38">
        <f t="shared" si="63"/>
        <v>-1.3955113919064909E-3</v>
      </c>
    </row>
    <row r="1019" spans="1:12">
      <c r="A1019" s="35">
        <v>43836</v>
      </c>
      <c r="B1019" s="37">
        <v>738.65</v>
      </c>
      <c r="C1019" s="37">
        <v>40869.47</v>
      </c>
      <c r="D1019" s="38">
        <f t="shared" si="60"/>
        <v>-1.4866613141884514E-2</v>
      </c>
      <c r="E1019" s="38">
        <f t="shared" si="61"/>
        <v>-1.2665387131008292E-3</v>
      </c>
      <c r="H1019" s="35">
        <v>45657</v>
      </c>
      <c r="I1019" s="37">
        <v>1880.7</v>
      </c>
      <c r="J1019" s="37">
        <v>78139.009999999995</v>
      </c>
      <c r="K1019" s="38">
        <f t="shared" si="62"/>
        <v>1.0363108265323683E-3</v>
      </c>
      <c r="L1019" s="38">
        <f t="shared" si="63"/>
        <v>4.7035952586809053E-3</v>
      </c>
    </row>
    <row r="1020" spans="1:12">
      <c r="A1020" s="35">
        <v>43837</v>
      </c>
      <c r="B1020" s="37">
        <v>727.75</v>
      </c>
      <c r="C1020" s="37">
        <v>40817.74</v>
      </c>
      <c r="D1020" s="38">
        <f t="shared" si="60"/>
        <v>-1.327912174790085E-2</v>
      </c>
      <c r="E1020" s="38">
        <f t="shared" si="61"/>
        <v>1.5427783955390403E-2</v>
      </c>
      <c r="H1020" s="35">
        <v>45658</v>
      </c>
      <c r="I1020" s="37">
        <v>1882.65</v>
      </c>
      <c r="J1020" s="37">
        <v>78507.41</v>
      </c>
      <c r="K1020" s="38">
        <f t="shared" si="62"/>
        <v>3.9064415507081535E-2</v>
      </c>
      <c r="L1020" s="38">
        <f t="shared" si="63"/>
        <v>1.8129746775728438E-2</v>
      </c>
    </row>
    <row r="1021" spans="1:12">
      <c r="A1021" s="35">
        <v>43838</v>
      </c>
      <c r="B1021" s="37">
        <v>718.15</v>
      </c>
      <c r="C1021" s="37">
        <v>41452.35</v>
      </c>
      <c r="D1021" s="38">
        <f t="shared" si="60"/>
        <v>1.3004264328455854E-2</v>
      </c>
      <c r="E1021" s="38">
        <f t="shared" si="61"/>
        <v>3.5488616880937013E-3</v>
      </c>
      <c r="H1021" s="35">
        <v>45659</v>
      </c>
      <c r="I1021" s="37">
        <v>1957.65</v>
      </c>
      <c r="J1021" s="37">
        <v>79943.710000000006</v>
      </c>
      <c r="K1021" s="38">
        <f t="shared" si="62"/>
        <v>-9.9334740494169856E-3</v>
      </c>
      <c r="L1021" s="38">
        <f t="shared" si="63"/>
        <v>-9.0547128272353977E-3</v>
      </c>
    </row>
    <row r="1022" spans="1:12">
      <c r="A1022" s="35">
        <v>43839</v>
      </c>
      <c r="B1022" s="37">
        <v>727.55</v>
      </c>
      <c r="C1022" s="37">
        <v>41599.72</v>
      </c>
      <c r="D1022" s="38">
        <f t="shared" si="60"/>
        <v>1.4599795417744369E-2</v>
      </c>
      <c r="E1022" s="38">
        <f t="shared" si="61"/>
        <v>6.2298748772562909E-3</v>
      </c>
      <c r="H1022" s="35">
        <v>45660</v>
      </c>
      <c r="I1022" s="37">
        <v>1938.3</v>
      </c>
      <c r="J1022" s="37">
        <v>79223.11</v>
      </c>
      <c r="K1022" s="38">
        <f t="shared" si="62"/>
        <v>-2.3218915780958077E-4</v>
      </c>
      <c r="L1022" s="38">
        <f t="shared" si="63"/>
        <v>-1.6008169412237244E-2</v>
      </c>
    </row>
    <row r="1023" spans="1:12">
      <c r="A1023" s="35">
        <v>43840</v>
      </c>
      <c r="B1023" s="37">
        <v>738.25</v>
      </c>
      <c r="C1023" s="37">
        <v>41859.69</v>
      </c>
      <c r="D1023" s="38">
        <f t="shared" si="60"/>
        <v>4.6513858549164636E-2</v>
      </c>
      <c r="E1023" s="38">
        <f t="shared" si="61"/>
        <v>2.2178132784126982E-3</v>
      </c>
      <c r="H1023" s="35">
        <v>45663</v>
      </c>
      <c r="I1023" s="37">
        <v>1937.85</v>
      </c>
      <c r="J1023" s="37">
        <v>77964.990000000005</v>
      </c>
      <c r="K1023" s="38">
        <f t="shared" si="62"/>
        <v>-2.738736726332873E-3</v>
      </c>
      <c r="L1023" s="38">
        <f t="shared" si="63"/>
        <v>2.998386638172965E-3</v>
      </c>
    </row>
    <row r="1024" spans="1:12">
      <c r="A1024" s="35">
        <v>43843</v>
      </c>
      <c r="B1024" s="37">
        <v>773.4</v>
      </c>
      <c r="C1024" s="37">
        <v>41952.63</v>
      </c>
      <c r="D1024" s="38">
        <f t="shared" si="60"/>
        <v>2.5181611369614432E-3</v>
      </c>
      <c r="E1024" s="38">
        <f t="shared" si="61"/>
        <v>-1.9063449103560257E-3</v>
      </c>
      <c r="H1024" s="35">
        <v>45664</v>
      </c>
      <c r="I1024" s="37">
        <v>1932.55</v>
      </c>
      <c r="J1024" s="37">
        <v>78199.11</v>
      </c>
      <c r="K1024" s="38">
        <f t="shared" si="62"/>
        <v>3.104224356872386E-4</v>
      </c>
      <c r="L1024" s="38">
        <f t="shared" si="63"/>
        <v>-6.475315485332463E-4</v>
      </c>
    </row>
    <row r="1025" spans="1:12">
      <c r="A1025" s="35">
        <v>43844</v>
      </c>
      <c r="B1025" s="37">
        <v>775.35</v>
      </c>
      <c r="C1025" s="37">
        <v>41872.730000000003</v>
      </c>
      <c r="D1025" s="38">
        <f t="shared" si="60"/>
        <v>-9.9155084763052036E-3</v>
      </c>
      <c r="E1025" s="38">
        <f t="shared" si="61"/>
        <v>1.4278337361439274E-3</v>
      </c>
      <c r="H1025" s="35">
        <v>45665</v>
      </c>
      <c r="I1025" s="37">
        <v>1933.15</v>
      </c>
      <c r="J1025" s="37">
        <v>78148.490000000005</v>
      </c>
      <c r="K1025" s="38">
        <f t="shared" si="62"/>
        <v>-7.9721010641935538E-3</v>
      </c>
      <c r="L1025" s="38">
        <f t="shared" si="63"/>
        <v>-6.782903438421692E-3</v>
      </c>
    </row>
    <row r="1026" spans="1:12">
      <c r="A1026" s="35">
        <v>43845</v>
      </c>
      <c r="B1026" s="37">
        <v>767.7</v>
      </c>
      <c r="C1026" s="37">
        <v>41932.559999999998</v>
      </c>
      <c r="D1026" s="38">
        <f t="shared" si="60"/>
        <v>-1.1078167370640445E-3</v>
      </c>
      <c r="E1026" s="38">
        <f t="shared" si="61"/>
        <v>3.0544387777805496E-4</v>
      </c>
      <c r="H1026" s="35">
        <v>45666</v>
      </c>
      <c r="I1026" s="37">
        <v>1917.8</v>
      </c>
      <c r="J1026" s="37">
        <v>77620.210000000006</v>
      </c>
      <c r="K1026" s="38">
        <f t="shared" si="62"/>
        <v>2.5178315515027583E-2</v>
      </c>
      <c r="L1026" s="38">
        <f t="shared" si="63"/>
        <v>-3.1135685794393899E-3</v>
      </c>
    </row>
    <row r="1027" spans="1:12">
      <c r="A1027" s="35">
        <v>43846</v>
      </c>
      <c r="B1027" s="37">
        <v>766.85</v>
      </c>
      <c r="C1027" s="37">
        <v>41945.37</v>
      </c>
      <c r="D1027" s="38">
        <f t="shared" si="60"/>
        <v>1.3031864749131448E-3</v>
      </c>
      <c r="E1027" s="38">
        <f t="shared" si="61"/>
        <v>-9.9782461235083317E-3</v>
      </c>
      <c r="H1027" s="35">
        <v>45667</v>
      </c>
      <c r="I1027" s="37">
        <v>1966.7</v>
      </c>
      <c r="J1027" s="37">
        <v>77378.91</v>
      </c>
      <c r="K1027" s="38">
        <f t="shared" si="62"/>
        <v>-2.4945921043929837E-3</v>
      </c>
      <c r="L1027" s="38">
        <f t="shared" si="63"/>
        <v>-1.3648086025479258E-2</v>
      </c>
    </row>
    <row r="1028" spans="1:12">
      <c r="A1028" s="35">
        <v>43847</v>
      </c>
      <c r="B1028" s="37">
        <v>767.85</v>
      </c>
      <c r="C1028" s="37">
        <v>41528.910000000003</v>
      </c>
      <c r="D1028" s="38">
        <f t="shared" si="60"/>
        <v>6.5095692963947397E-4</v>
      </c>
      <c r="E1028" s="38">
        <f t="shared" si="61"/>
        <v>-4.9509640468420697E-3</v>
      </c>
      <c r="H1028" s="35">
        <v>45670</v>
      </c>
      <c r="I1028" s="37">
        <v>1961.8</v>
      </c>
      <c r="J1028" s="37">
        <v>76330.009999999995</v>
      </c>
      <c r="K1028" s="38">
        <f t="shared" si="62"/>
        <v>-1.1535335928020174E-2</v>
      </c>
      <c r="L1028" s="38">
        <f t="shared" si="63"/>
        <v>2.2197273990286056E-3</v>
      </c>
    </row>
    <row r="1029" spans="1:12">
      <c r="A1029" s="35">
        <v>43850</v>
      </c>
      <c r="B1029" s="37">
        <v>768.35</v>
      </c>
      <c r="C1029" s="37">
        <v>41323.81</v>
      </c>
      <c r="D1029" s="38">
        <f t="shared" ref="D1029:D1092" si="64">LN(B1030/B1029)</f>
        <v>-8.4300450223774477E-3</v>
      </c>
      <c r="E1029" s="38">
        <f t="shared" ref="E1029:E1092" si="65">LN(C1030/C1029)</f>
        <v>-5.056586415106307E-3</v>
      </c>
      <c r="H1029" s="35">
        <v>45671</v>
      </c>
      <c r="I1029" s="37">
        <v>1939.3</v>
      </c>
      <c r="J1029" s="37">
        <v>76499.63</v>
      </c>
      <c r="K1029" s="38">
        <f t="shared" ref="K1029:K1092" si="66">LN(I1030/I1029)</f>
        <v>5.399719992976071E-3</v>
      </c>
      <c r="L1029" s="38">
        <f t="shared" ref="L1029:L1092" si="67">LN(J1030/J1029)</f>
        <v>2.9297053379151758E-3</v>
      </c>
    </row>
    <row r="1030" spans="1:12">
      <c r="A1030" s="35">
        <v>43851</v>
      </c>
      <c r="B1030" s="37">
        <v>761.9</v>
      </c>
      <c r="C1030" s="37">
        <v>41115.379999999997</v>
      </c>
      <c r="D1030" s="38">
        <f t="shared" si="64"/>
        <v>1.0510264195458079E-2</v>
      </c>
      <c r="E1030" s="38">
        <f t="shared" si="65"/>
        <v>6.5700636979582946E-3</v>
      </c>
      <c r="H1030" s="35">
        <v>45672</v>
      </c>
      <c r="I1030" s="37">
        <v>1949.8</v>
      </c>
      <c r="J1030" s="37">
        <v>76724.08</v>
      </c>
      <c r="K1030" s="38">
        <f t="shared" si="66"/>
        <v>-1.217765306840715E-2</v>
      </c>
      <c r="L1030" s="38">
        <f t="shared" si="67"/>
        <v>4.1457616239159532E-3</v>
      </c>
    </row>
    <row r="1031" spans="1:12">
      <c r="A1031" s="35">
        <v>43852</v>
      </c>
      <c r="B1031" s="37">
        <v>769.95</v>
      </c>
      <c r="C1031" s="37">
        <v>41386.400000000001</v>
      </c>
      <c r="D1031" s="38">
        <f t="shared" si="64"/>
        <v>1.8784727330655338E-2</v>
      </c>
      <c r="E1031" s="38">
        <f t="shared" si="65"/>
        <v>5.464859872621932E-3</v>
      </c>
      <c r="H1031" s="35">
        <v>45673</v>
      </c>
      <c r="I1031" s="37">
        <v>1926.2</v>
      </c>
      <c r="J1031" s="37">
        <v>77042.820000000007</v>
      </c>
      <c r="K1031" s="38">
        <f t="shared" si="66"/>
        <v>-5.9408587526831945E-2</v>
      </c>
      <c r="L1031" s="38">
        <f t="shared" si="67"/>
        <v>-5.5119764001930758E-3</v>
      </c>
    </row>
    <row r="1032" spans="1:12">
      <c r="A1032" s="35">
        <v>43853</v>
      </c>
      <c r="B1032" s="37">
        <v>784.55</v>
      </c>
      <c r="C1032" s="37">
        <v>41613.19</v>
      </c>
      <c r="D1032" s="38">
        <f t="shared" si="64"/>
        <v>-2.0414680136252202E-3</v>
      </c>
      <c r="E1032" s="38">
        <f t="shared" si="65"/>
        <v>-1.1068842093238456E-2</v>
      </c>
      <c r="H1032" s="35">
        <v>45674</v>
      </c>
      <c r="I1032" s="37">
        <v>1815.1</v>
      </c>
      <c r="J1032" s="37">
        <v>76619.33</v>
      </c>
      <c r="K1032" s="38">
        <f t="shared" si="66"/>
        <v>-1.0197473564102291E-3</v>
      </c>
      <c r="L1032" s="38">
        <f t="shared" si="67"/>
        <v>5.9093387603085515E-3</v>
      </c>
    </row>
    <row r="1033" spans="1:12">
      <c r="A1033" s="35">
        <v>43854</v>
      </c>
      <c r="B1033" s="37">
        <v>782.95</v>
      </c>
      <c r="C1033" s="37">
        <v>41155.120000000003</v>
      </c>
      <c r="D1033" s="38">
        <f t="shared" si="64"/>
        <v>-6.4708557787236526E-3</v>
      </c>
      <c r="E1033" s="38">
        <f t="shared" si="65"/>
        <v>-4.5848950497409469E-3</v>
      </c>
      <c r="H1033" s="35">
        <v>45677</v>
      </c>
      <c r="I1033" s="37">
        <v>1813.25</v>
      </c>
      <c r="J1033" s="37">
        <v>77073.440000000002</v>
      </c>
      <c r="K1033" s="38">
        <f t="shared" si="66"/>
        <v>-7.4452676436736137E-3</v>
      </c>
      <c r="L1033" s="38">
        <f t="shared" si="67"/>
        <v>-1.6154500301053011E-2</v>
      </c>
    </row>
    <row r="1034" spans="1:12">
      <c r="A1034" s="35">
        <v>43857</v>
      </c>
      <c r="B1034" s="37">
        <v>777.9</v>
      </c>
      <c r="C1034" s="37">
        <v>40966.86</v>
      </c>
      <c r="D1034" s="38">
        <f t="shared" si="64"/>
        <v>0</v>
      </c>
      <c r="E1034" s="38">
        <f t="shared" si="65"/>
        <v>5.6422843779960798E-3</v>
      </c>
      <c r="H1034" s="35">
        <v>45678</v>
      </c>
      <c r="I1034" s="37">
        <v>1799.8</v>
      </c>
      <c r="J1034" s="37">
        <v>75838.36</v>
      </c>
      <c r="K1034" s="38">
        <f t="shared" si="66"/>
        <v>3.1071310365983984E-2</v>
      </c>
      <c r="L1034" s="38">
        <f t="shared" si="67"/>
        <v>7.4437749353449961E-3</v>
      </c>
    </row>
    <row r="1035" spans="1:12">
      <c r="A1035" s="35">
        <v>43858</v>
      </c>
      <c r="B1035" s="37">
        <v>777.9</v>
      </c>
      <c r="C1035" s="37">
        <v>41198.660000000003</v>
      </c>
      <c r="D1035" s="38">
        <f t="shared" si="64"/>
        <v>1.4738519255169355E-2</v>
      </c>
      <c r="E1035" s="38">
        <f t="shared" si="65"/>
        <v>-6.9378282698807064E-3</v>
      </c>
      <c r="H1035" s="35">
        <v>45679</v>
      </c>
      <c r="I1035" s="37">
        <v>1856.6</v>
      </c>
      <c r="J1035" s="37">
        <v>76404.990000000005</v>
      </c>
      <c r="K1035" s="38">
        <f t="shared" si="66"/>
        <v>4.4069507557151829E-3</v>
      </c>
      <c r="L1035" s="38">
        <f t="shared" si="67"/>
        <v>1.5091024059513524E-3</v>
      </c>
    </row>
    <row r="1036" spans="1:12">
      <c r="A1036" s="35">
        <v>43859</v>
      </c>
      <c r="B1036" s="37">
        <v>789.45</v>
      </c>
      <c r="C1036" s="37">
        <v>40913.82</v>
      </c>
      <c r="D1036" s="38">
        <f t="shared" si="64"/>
        <v>-1.1786203395341473E-2</v>
      </c>
      <c r="E1036" s="38">
        <f t="shared" si="65"/>
        <v>-4.6628274460654845E-3</v>
      </c>
      <c r="H1036" s="35">
        <v>45680</v>
      </c>
      <c r="I1036" s="37">
        <v>1864.8</v>
      </c>
      <c r="J1036" s="37">
        <v>76520.38</v>
      </c>
      <c r="K1036" s="38">
        <f t="shared" si="66"/>
        <v>5.5348474831345279E-3</v>
      </c>
      <c r="L1036" s="38">
        <f t="shared" si="67"/>
        <v>-4.3208525772494557E-3</v>
      </c>
    </row>
    <row r="1037" spans="1:12">
      <c r="A1037" s="35">
        <v>43860</v>
      </c>
      <c r="B1037" s="37">
        <v>780.2</v>
      </c>
      <c r="C1037" s="37">
        <v>40723.49</v>
      </c>
      <c r="D1037" s="38">
        <f t="shared" si="64"/>
        <v>-4.9468476453774207E-3</v>
      </c>
      <c r="E1037" s="38">
        <f t="shared" si="65"/>
        <v>-2.4559326168897572E-2</v>
      </c>
      <c r="H1037" s="35">
        <v>45681</v>
      </c>
      <c r="I1037" s="37">
        <v>1875.15</v>
      </c>
      <c r="J1037" s="37">
        <v>76190.460000000006</v>
      </c>
      <c r="K1037" s="38">
        <f t="shared" si="66"/>
        <v>-2.8698974148848908E-2</v>
      </c>
      <c r="L1037" s="38">
        <f t="shared" si="67"/>
        <v>-1.0877757414749714E-2</v>
      </c>
    </row>
    <row r="1038" spans="1:12">
      <c r="A1038" s="35">
        <v>43861</v>
      </c>
      <c r="B1038" s="37">
        <v>776.35</v>
      </c>
      <c r="C1038" s="37">
        <v>39735.53</v>
      </c>
      <c r="D1038" s="38">
        <f t="shared" si="64"/>
        <v>5.0109317237101124E-3</v>
      </c>
      <c r="E1038" s="38">
        <f t="shared" si="65"/>
        <v>3.4363483445117539E-3</v>
      </c>
      <c r="H1038" s="35">
        <v>45684</v>
      </c>
      <c r="I1038" s="37">
        <v>1822.1</v>
      </c>
      <c r="J1038" s="37">
        <v>75366.17</v>
      </c>
      <c r="K1038" s="38">
        <f t="shared" si="66"/>
        <v>3.8616960006611066E-3</v>
      </c>
      <c r="L1038" s="38">
        <f t="shared" si="67"/>
        <v>7.076760714453862E-3</v>
      </c>
    </row>
    <row r="1039" spans="1:12">
      <c r="A1039" s="35">
        <v>43862</v>
      </c>
      <c r="B1039" s="37">
        <v>780.25</v>
      </c>
      <c r="C1039" s="37">
        <v>39872.31</v>
      </c>
      <c r="D1039" s="38">
        <f t="shared" si="64"/>
        <v>-1.6866857581660288E-2</v>
      </c>
      <c r="E1039" s="38">
        <f t="shared" si="65"/>
        <v>2.2739655395696969E-2</v>
      </c>
      <c r="H1039" s="35">
        <v>45685</v>
      </c>
      <c r="I1039" s="37">
        <v>1829.15</v>
      </c>
      <c r="J1039" s="37">
        <v>75901.41</v>
      </c>
      <c r="K1039" s="38">
        <f t="shared" si="66"/>
        <v>2.7872424248162539E-2</v>
      </c>
      <c r="L1039" s="38">
        <f t="shared" si="67"/>
        <v>8.2862364124920533E-3</v>
      </c>
    </row>
    <row r="1040" spans="1:12">
      <c r="A1040" s="35">
        <v>43864</v>
      </c>
      <c r="B1040" s="37">
        <v>767.2</v>
      </c>
      <c r="C1040" s="37">
        <v>40789.379999999997</v>
      </c>
      <c r="D1040" s="38">
        <f t="shared" si="64"/>
        <v>2.6560192838826064E-2</v>
      </c>
      <c r="E1040" s="38">
        <f t="shared" si="65"/>
        <v>8.6237859924106364E-3</v>
      </c>
      <c r="H1040" s="35">
        <v>45686</v>
      </c>
      <c r="I1040" s="37">
        <v>1880.85</v>
      </c>
      <c r="J1040" s="37">
        <v>76532.960000000006</v>
      </c>
      <c r="K1040" s="38">
        <f t="shared" si="66"/>
        <v>-1.1227963010695778E-2</v>
      </c>
      <c r="L1040" s="38">
        <f t="shared" si="67"/>
        <v>2.9596981722874506E-3</v>
      </c>
    </row>
    <row r="1041" spans="1:12">
      <c r="A1041" s="35">
        <v>43865</v>
      </c>
      <c r="B1041" s="37">
        <v>787.85</v>
      </c>
      <c r="C1041" s="37">
        <v>41142.660000000003</v>
      </c>
      <c r="D1041" s="38">
        <f t="shared" si="64"/>
        <v>-4.2611442349672962E-3</v>
      </c>
      <c r="E1041" s="38">
        <f t="shared" si="65"/>
        <v>3.962954749446506E-3</v>
      </c>
      <c r="H1041" s="35">
        <v>45687</v>
      </c>
      <c r="I1041" s="37">
        <v>1859.85</v>
      </c>
      <c r="J1041" s="37">
        <v>76759.81</v>
      </c>
      <c r="K1041" s="38">
        <f t="shared" si="66"/>
        <v>1.080253292105446E-2</v>
      </c>
      <c r="L1041" s="38">
        <f t="shared" si="67"/>
        <v>9.6040952820533633E-3</v>
      </c>
    </row>
    <row r="1042" spans="1:12">
      <c r="A1042" s="35">
        <v>43866</v>
      </c>
      <c r="B1042" s="37">
        <v>784.5</v>
      </c>
      <c r="C1042" s="37">
        <v>41306.03</v>
      </c>
      <c r="D1042" s="38">
        <f t="shared" si="64"/>
        <v>-1.7423051555725572E-2</v>
      </c>
      <c r="E1042" s="38">
        <f t="shared" si="65"/>
        <v>-3.9826425375862114E-3</v>
      </c>
      <c r="H1042" s="35">
        <v>45688</v>
      </c>
      <c r="I1042" s="37">
        <v>1880.05</v>
      </c>
      <c r="J1042" s="37">
        <v>77500.570000000007</v>
      </c>
      <c r="K1042" s="38">
        <f t="shared" si="66"/>
        <v>-1.5086233147055227E-2</v>
      </c>
      <c r="L1042" s="38">
        <f t="shared" si="67"/>
        <v>6.9545457242069483E-5</v>
      </c>
    </row>
    <row r="1043" spans="1:12">
      <c r="A1043" s="35">
        <v>43867</v>
      </c>
      <c r="B1043" s="37">
        <v>770.95</v>
      </c>
      <c r="C1043" s="37">
        <v>41141.85</v>
      </c>
      <c r="D1043" s="38">
        <f t="shared" si="64"/>
        <v>8.0741968859233283E-3</v>
      </c>
      <c r="E1043" s="38">
        <f t="shared" si="65"/>
        <v>-3.9509816625931064E-3</v>
      </c>
      <c r="H1043" s="35">
        <v>45689</v>
      </c>
      <c r="I1043" s="37">
        <v>1851.9</v>
      </c>
      <c r="J1043" s="37">
        <v>77505.960000000006</v>
      </c>
      <c r="K1043" s="38">
        <f t="shared" si="66"/>
        <v>6.432101836518744E-3</v>
      </c>
      <c r="L1043" s="38">
        <f t="shared" si="67"/>
        <v>-4.1271560082297666E-3</v>
      </c>
    </row>
    <row r="1044" spans="1:12">
      <c r="A1044" s="35">
        <v>43868</v>
      </c>
      <c r="B1044" s="37">
        <v>777.2</v>
      </c>
      <c r="C1044" s="37">
        <v>40979.620000000003</v>
      </c>
      <c r="D1044" s="38">
        <f t="shared" si="64"/>
        <v>-5.095305938106076E-3</v>
      </c>
      <c r="E1044" s="38">
        <f t="shared" si="65"/>
        <v>5.7550572634968008E-3</v>
      </c>
      <c r="H1044" s="35">
        <v>45691</v>
      </c>
      <c r="I1044" s="37">
        <v>1863.85</v>
      </c>
      <c r="J1044" s="37">
        <v>77186.740000000005</v>
      </c>
      <c r="K1044" s="38">
        <f t="shared" si="66"/>
        <v>1.8814830478852181E-2</v>
      </c>
      <c r="L1044" s="38">
        <f t="shared" si="67"/>
        <v>1.7938017954698123E-2</v>
      </c>
    </row>
    <row r="1045" spans="1:12">
      <c r="A1045" s="35">
        <v>43871</v>
      </c>
      <c r="B1045" s="37">
        <v>773.25</v>
      </c>
      <c r="C1045" s="37">
        <v>41216.14</v>
      </c>
      <c r="D1045" s="38">
        <f t="shared" si="64"/>
        <v>7.1103070123356522E-4</v>
      </c>
      <c r="E1045" s="38">
        <f t="shared" si="65"/>
        <v>8.4501923662947086E-3</v>
      </c>
      <c r="H1045" s="35">
        <v>45692</v>
      </c>
      <c r="I1045" s="37">
        <v>1899.25</v>
      </c>
      <c r="J1045" s="37">
        <v>78583.81</v>
      </c>
      <c r="K1045" s="38">
        <f t="shared" si="66"/>
        <v>-1.1326670248312826E-3</v>
      </c>
      <c r="L1045" s="38">
        <f t="shared" si="67"/>
        <v>-3.9849572440173306E-3</v>
      </c>
    </row>
    <row r="1046" spans="1:12">
      <c r="A1046" s="35">
        <v>43872</v>
      </c>
      <c r="B1046" s="37">
        <v>773.8</v>
      </c>
      <c r="C1046" s="37">
        <v>41565.9</v>
      </c>
      <c r="D1046" s="38">
        <f t="shared" si="64"/>
        <v>9.3257260106051221E-3</v>
      </c>
      <c r="E1046" s="38">
        <f t="shared" si="65"/>
        <v>-2.5560777097489015E-3</v>
      </c>
      <c r="H1046" s="35">
        <v>45693</v>
      </c>
      <c r="I1046" s="37">
        <v>1897.1</v>
      </c>
      <c r="J1046" s="37">
        <v>78271.28</v>
      </c>
      <c r="K1046" s="38">
        <f t="shared" si="66"/>
        <v>9.8871787983958216E-3</v>
      </c>
      <c r="L1046" s="38">
        <f t="shared" si="67"/>
        <v>-2.7265514675839531E-3</v>
      </c>
    </row>
    <row r="1047" spans="1:12">
      <c r="A1047" s="35">
        <v>43873</v>
      </c>
      <c r="B1047" s="37">
        <v>781.05</v>
      </c>
      <c r="C1047" s="37">
        <v>41459.79</v>
      </c>
      <c r="D1047" s="38">
        <f t="shared" si="64"/>
        <v>1.4364045111799506E-2</v>
      </c>
      <c r="E1047" s="38">
        <f t="shared" si="65"/>
        <v>-4.885310328970079E-3</v>
      </c>
      <c r="H1047" s="35">
        <v>45694</v>
      </c>
      <c r="I1047" s="37">
        <v>1915.95</v>
      </c>
      <c r="J1047" s="37">
        <v>78058.16</v>
      </c>
      <c r="K1047" s="38">
        <f t="shared" si="66"/>
        <v>-6.9133750093946598E-3</v>
      </c>
      <c r="L1047" s="38">
        <f t="shared" si="67"/>
        <v>-2.5394074063200796E-3</v>
      </c>
    </row>
    <row r="1048" spans="1:12">
      <c r="A1048" s="35">
        <v>43874</v>
      </c>
      <c r="B1048" s="37">
        <v>792.35</v>
      </c>
      <c r="C1048" s="37">
        <v>41257.74</v>
      </c>
      <c r="D1048" s="38">
        <f t="shared" si="64"/>
        <v>-7.7920004010573179E-3</v>
      </c>
      <c r="E1048" s="38">
        <f t="shared" si="65"/>
        <v>-4.909293800615739E-3</v>
      </c>
      <c r="H1048" s="35">
        <v>45695</v>
      </c>
      <c r="I1048" s="37">
        <v>1902.75</v>
      </c>
      <c r="J1048" s="37">
        <v>77860.19</v>
      </c>
      <c r="K1048" s="38">
        <f t="shared" si="66"/>
        <v>-1.2454053802797845E-2</v>
      </c>
      <c r="L1048" s="38">
        <f t="shared" si="67"/>
        <v>-7.0681865083340404E-3</v>
      </c>
    </row>
    <row r="1049" spans="1:12">
      <c r="A1049" s="35">
        <v>43875</v>
      </c>
      <c r="B1049" s="37">
        <v>786.2</v>
      </c>
      <c r="C1049" s="37">
        <v>41055.69</v>
      </c>
      <c r="D1049" s="38">
        <f t="shared" si="64"/>
        <v>4.0619502409866394E-3</v>
      </c>
      <c r="E1049" s="38">
        <f t="shared" si="65"/>
        <v>-3.9367924477993702E-3</v>
      </c>
      <c r="H1049" s="35">
        <v>45698</v>
      </c>
      <c r="I1049" s="37">
        <v>1879.2</v>
      </c>
      <c r="J1049" s="37">
        <v>77311.8</v>
      </c>
      <c r="K1049" s="38">
        <f t="shared" si="66"/>
        <v>-1.2779554454920687E-3</v>
      </c>
      <c r="L1049" s="38">
        <f t="shared" si="67"/>
        <v>-1.3257540599412285E-2</v>
      </c>
    </row>
    <row r="1050" spans="1:12">
      <c r="A1050" s="35">
        <v>43878</v>
      </c>
      <c r="B1050" s="37">
        <v>789.4</v>
      </c>
      <c r="C1050" s="37">
        <v>40894.379999999997</v>
      </c>
      <c r="D1050" s="38">
        <f t="shared" si="64"/>
        <v>1.014597354001638E-2</v>
      </c>
      <c r="E1050" s="38">
        <f t="shared" si="65"/>
        <v>1.0426600387307441E-2</v>
      </c>
      <c r="H1050" s="35">
        <v>45699</v>
      </c>
      <c r="I1050" s="37">
        <v>1876.8</v>
      </c>
      <c r="J1050" s="37">
        <v>76293.600000000006</v>
      </c>
      <c r="K1050" s="38">
        <f t="shared" si="66"/>
        <v>-6.9776118202628124E-3</v>
      </c>
      <c r="L1050" s="38">
        <f t="shared" si="67"/>
        <v>-1.6071922542731476E-3</v>
      </c>
    </row>
    <row r="1051" spans="1:12">
      <c r="A1051" s="35">
        <v>43879</v>
      </c>
      <c r="B1051" s="37">
        <v>797.45</v>
      </c>
      <c r="C1051" s="37">
        <v>41323</v>
      </c>
      <c r="D1051" s="38">
        <f t="shared" si="64"/>
        <v>4.0672083098250633E-3</v>
      </c>
      <c r="E1051" s="38">
        <f t="shared" si="65"/>
        <v>-3.7064951604068985E-3</v>
      </c>
      <c r="H1051" s="35">
        <v>45700</v>
      </c>
      <c r="I1051" s="37">
        <v>1863.75</v>
      </c>
      <c r="J1051" s="37">
        <v>76171.08</v>
      </c>
      <c r="K1051" s="38">
        <f t="shared" si="66"/>
        <v>-1.1060269209188203E-2</v>
      </c>
      <c r="L1051" s="38">
        <f t="shared" si="67"/>
        <v>-4.2163994399206168E-4</v>
      </c>
    </row>
    <row r="1052" spans="1:12">
      <c r="A1052" s="35">
        <v>43880</v>
      </c>
      <c r="B1052" s="37">
        <v>800.7</v>
      </c>
      <c r="C1052" s="37">
        <v>41170.120000000003</v>
      </c>
      <c r="D1052" s="38">
        <f t="shared" si="64"/>
        <v>-5.0081486922677965E-3</v>
      </c>
      <c r="E1052" s="38">
        <f t="shared" si="65"/>
        <v>-1.979352850570253E-2</v>
      </c>
      <c r="H1052" s="35">
        <v>45701</v>
      </c>
      <c r="I1052" s="37">
        <v>1843.25</v>
      </c>
      <c r="J1052" s="37">
        <v>76138.97</v>
      </c>
      <c r="K1052" s="38">
        <f t="shared" si="66"/>
        <v>7.0549413454174857E-3</v>
      </c>
      <c r="L1052" s="38">
        <f t="shared" si="67"/>
        <v>-2.627071350893513E-3</v>
      </c>
    </row>
    <row r="1053" spans="1:12">
      <c r="A1053" s="35">
        <v>43881</v>
      </c>
      <c r="B1053" s="37">
        <v>796.7</v>
      </c>
      <c r="C1053" s="37">
        <v>40363.230000000003</v>
      </c>
      <c r="D1053" s="38">
        <f t="shared" si="64"/>
        <v>-1.8216657570669281E-3</v>
      </c>
      <c r="E1053" s="38">
        <f t="shared" si="65"/>
        <v>-2.034363149222181E-3</v>
      </c>
      <c r="H1053" s="35">
        <v>45702</v>
      </c>
      <c r="I1053" s="37">
        <v>1856.3</v>
      </c>
      <c r="J1053" s="37">
        <v>75939.210000000006</v>
      </c>
      <c r="K1053" s="38">
        <f t="shared" si="66"/>
        <v>-7.407641540345805E-3</v>
      </c>
      <c r="L1053" s="38">
        <f t="shared" si="67"/>
        <v>7.5887184348850652E-4</v>
      </c>
    </row>
    <row r="1054" spans="1:12">
      <c r="A1054" s="35">
        <v>43885</v>
      </c>
      <c r="B1054" s="37">
        <v>795.25</v>
      </c>
      <c r="C1054" s="37">
        <v>40281.199999999997</v>
      </c>
      <c r="D1054" s="38">
        <f t="shared" si="64"/>
        <v>3.8905671564568789E-3</v>
      </c>
      <c r="E1054" s="38">
        <f t="shared" si="65"/>
        <v>-9.7852649861108754E-3</v>
      </c>
      <c r="H1054" s="35">
        <v>45705</v>
      </c>
      <c r="I1054" s="37">
        <v>1842.6</v>
      </c>
      <c r="J1054" s="37">
        <v>75996.86</v>
      </c>
      <c r="K1054" s="38">
        <f t="shared" si="66"/>
        <v>4.818503678835657E-3</v>
      </c>
      <c r="L1054" s="38">
        <f t="shared" si="67"/>
        <v>-3.8785438508640095E-4</v>
      </c>
    </row>
    <row r="1055" spans="1:12">
      <c r="A1055" s="35">
        <v>43886</v>
      </c>
      <c r="B1055" s="37">
        <v>798.35</v>
      </c>
      <c r="C1055" s="37">
        <v>39888.959999999999</v>
      </c>
      <c r="D1055" s="38">
        <f t="shared" si="64"/>
        <v>-1.979761697491789E-2</v>
      </c>
      <c r="E1055" s="38">
        <f t="shared" si="65"/>
        <v>-3.5989411307025291E-3</v>
      </c>
      <c r="H1055" s="35">
        <v>45706</v>
      </c>
      <c r="I1055" s="37">
        <v>1851.5</v>
      </c>
      <c r="J1055" s="37">
        <v>75967.39</v>
      </c>
      <c r="K1055" s="38">
        <f t="shared" si="66"/>
        <v>-2.2227384791863893E-2</v>
      </c>
      <c r="L1055" s="38">
        <f t="shared" si="67"/>
        <v>-3.7141251131271748E-4</v>
      </c>
    </row>
    <row r="1056" spans="1:12">
      <c r="A1056" s="35">
        <v>43887</v>
      </c>
      <c r="B1056" s="37">
        <v>782.7</v>
      </c>
      <c r="C1056" s="37">
        <v>39745.660000000003</v>
      </c>
      <c r="D1056" s="38">
        <f t="shared" si="64"/>
        <v>-6.5372276645631073E-3</v>
      </c>
      <c r="E1056" s="38">
        <f t="shared" si="65"/>
        <v>-3.7121516246536618E-2</v>
      </c>
      <c r="H1056" s="35">
        <v>45707</v>
      </c>
      <c r="I1056" s="37">
        <v>1810.8</v>
      </c>
      <c r="J1056" s="37">
        <v>75939.179999999993</v>
      </c>
      <c r="K1056" s="38">
        <f t="shared" si="66"/>
        <v>6.9615745139084183E-3</v>
      </c>
      <c r="L1056" s="38">
        <f t="shared" si="67"/>
        <v>-2.6796760709041226E-3</v>
      </c>
    </row>
    <row r="1057" spans="1:12">
      <c r="A1057" s="35">
        <v>43888</v>
      </c>
      <c r="B1057" s="37">
        <v>777.6</v>
      </c>
      <c r="C1057" s="37">
        <v>38297.29</v>
      </c>
      <c r="D1057" s="38">
        <f t="shared" si="64"/>
        <v>-6.1320111813131961E-2</v>
      </c>
      <c r="E1057" s="38">
        <f t="shared" si="65"/>
        <v>-4.0101407314301948E-3</v>
      </c>
      <c r="H1057" s="35">
        <v>45708</v>
      </c>
      <c r="I1057" s="37">
        <v>1823.45</v>
      </c>
      <c r="J1057" s="37">
        <v>75735.960000000006</v>
      </c>
      <c r="K1057" s="38">
        <f t="shared" si="66"/>
        <v>-4.5622021635407153E-3</v>
      </c>
      <c r="L1057" s="38">
        <f t="shared" si="67"/>
        <v>-5.6260775058055079E-3</v>
      </c>
    </row>
    <row r="1058" spans="1:12">
      <c r="A1058" s="35">
        <v>43889</v>
      </c>
      <c r="B1058" s="37">
        <v>731.35</v>
      </c>
      <c r="C1058" s="37">
        <v>38144.019999999997</v>
      </c>
      <c r="D1058" s="38">
        <f t="shared" si="64"/>
        <v>1.7619212989968863E-2</v>
      </c>
      <c r="E1058" s="38">
        <f t="shared" si="65"/>
        <v>1.2497081921966484E-2</v>
      </c>
      <c r="H1058" s="35">
        <v>45709</v>
      </c>
      <c r="I1058" s="37">
        <v>1815.15</v>
      </c>
      <c r="J1058" s="37">
        <v>75311.06</v>
      </c>
      <c r="K1058" s="38">
        <f t="shared" si="66"/>
        <v>-2.8499120947015958E-2</v>
      </c>
      <c r="L1058" s="38">
        <f t="shared" si="67"/>
        <v>-1.1440011409003262E-2</v>
      </c>
    </row>
    <row r="1059" spans="1:12">
      <c r="A1059" s="35">
        <v>43892</v>
      </c>
      <c r="B1059" s="37">
        <v>744.35</v>
      </c>
      <c r="C1059" s="37">
        <v>38623.699999999997</v>
      </c>
      <c r="D1059" s="38">
        <f t="shared" si="64"/>
        <v>2.6163098142753427E-3</v>
      </c>
      <c r="E1059" s="38">
        <f t="shared" si="65"/>
        <v>-5.5617735685095284E-3</v>
      </c>
      <c r="H1059" s="35">
        <v>45712</v>
      </c>
      <c r="I1059" s="37">
        <v>1764.15</v>
      </c>
      <c r="J1059" s="37">
        <v>74454.41</v>
      </c>
      <c r="K1059" s="38">
        <f t="shared" si="66"/>
        <v>2.293092006548788E-3</v>
      </c>
      <c r="L1059" s="38">
        <f t="shared" si="67"/>
        <v>1.9819332752632232E-3</v>
      </c>
    </row>
    <row r="1060" spans="1:12">
      <c r="A1060" s="35">
        <v>43893</v>
      </c>
      <c r="B1060" s="37">
        <v>746.3</v>
      </c>
      <c r="C1060" s="37">
        <v>38409.480000000003</v>
      </c>
      <c r="D1060" s="38">
        <f t="shared" si="64"/>
        <v>1.6346965117456962E-2</v>
      </c>
      <c r="E1060" s="38">
        <f t="shared" si="65"/>
        <v>1.5902690249950137E-3</v>
      </c>
      <c r="H1060" s="35">
        <v>45713</v>
      </c>
      <c r="I1060" s="37">
        <v>1768.2</v>
      </c>
      <c r="J1060" s="37">
        <v>74602.12</v>
      </c>
      <c r="K1060" s="38">
        <f t="shared" si="66"/>
        <v>-2.2647501470374819E-3</v>
      </c>
      <c r="L1060" s="38">
        <f t="shared" si="67"/>
        <v>1.3819027724043851E-4</v>
      </c>
    </row>
    <row r="1061" spans="1:12">
      <c r="A1061" s="35">
        <v>43894</v>
      </c>
      <c r="B1061" s="37">
        <v>758.6</v>
      </c>
      <c r="C1061" s="37">
        <v>38470.61</v>
      </c>
      <c r="D1061" s="38">
        <f t="shared" si="64"/>
        <v>-5.2205636493614371E-3</v>
      </c>
      <c r="E1061" s="38">
        <f t="shared" si="65"/>
        <v>-2.3512524667936702E-2</v>
      </c>
      <c r="H1061" s="35">
        <v>45715</v>
      </c>
      <c r="I1061" s="37">
        <v>1764.2</v>
      </c>
      <c r="J1061" s="37">
        <v>74612.429999999993</v>
      </c>
      <c r="K1061" s="38">
        <f t="shared" si="66"/>
        <v>-4.4123313254372416E-2</v>
      </c>
      <c r="L1061" s="38">
        <f t="shared" si="67"/>
        <v>-1.9137650967485504E-2</v>
      </c>
    </row>
    <row r="1062" spans="1:12">
      <c r="A1062" s="35">
        <v>43895</v>
      </c>
      <c r="B1062" s="37">
        <v>754.65</v>
      </c>
      <c r="C1062" s="37">
        <v>37576.620000000003</v>
      </c>
      <c r="D1062" s="38">
        <f t="shared" si="64"/>
        <v>-2.061790687285062E-2</v>
      </c>
      <c r="E1062" s="38">
        <f t="shared" si="65"/>
        <v>-5.3055150644186935E-2</v>
      </c>
      <c r="H1062" s="35">
        <v>45716</v>
      </c>
      <c r="I1062" s="37">
        <v>1688.05</v>
      </c>
      <c r="J1062" s="37">
        <v>73198.100000000006</v>
      </c>
      <c r="K1062" s="38">
        <f t="shared" si="66"/>
        <v>1.1807625073720771E-2</v>
      </c>
      <c r="L1062" s="38">
        <f t="shared" si="67"/>
        <v>-1.5334553513637391E-3</v>
      </c>
    </row>
    <row r="1063" spans="1:12">
      <c r="A1063" s="35">
        <v>43896</v>
      </c>
      <c r="B1063" s="37">
        <v>739.25</v>
      </c>
      <c r="C1063" s="37">
        <v>35634.949999999997</v>
      </c>
      <c r="D1063" s="38">
        <f t="shared" si="64"/>
        <v>-4.8999858118500765E-2</v>
      </c>
      <c r="E1063" s="38">
        <f t="shared" si="65"/>
        <v>1.7509591638363855E-3</v>
      </c>
      <c r="H1063" s="35">
        <v>45719</v>
      </c>
      <c r="I1063" s="37">
        <v>1708.1</v>
      </c>
      <c r="J1063" s="37">
        <v>73085.94</v>
      </c>
      <c r="K1063" s="38">
        <f t="shared" si="66"/>
        <v>-1.0830643277410937E-2</v>
      </c>
      <c r="L1063" s="38">
        <f t="shared" si="67"/>
        <v>-1.3145225672824225E-3</v>
      </c>
    </row>
    <row r="1064" spans="1:12">
      <c r="A1064" s="35">
        <v>43899</v>
      </c>
      <c r="B1064" s="37">
        <v>703.9</v>
      </c>
      <c r="C1064" s="37">
        <v>35697.4</v>
      </c>
      <c r="D1064" s="38">
        <f t="shared" si="64"/>
        <v>-2.6998508221875977E-2</v>
      </c>
      <c r="E1064" s="38">
        <f t="shared" si="65"/>
        <v>-8.5316027211772852E-2</v>
      </c>
      <c r="H1064" s="35">
        <v>45720</v>
      </c>
      <c r="I1064" s="37">
        <v>1689.7</v>
      </c>
      <c r="J1064" s="37">
        <v>72989.929999999993</v>
      </c>
      <c r="K1064" s="38">
        <f t="shared" si="66"/>
        <v>1.2410098986149446E-2</v>
      </c>
      <c r="L1064" s="38">
        <f t="shared" si="67"/>
        <v>1.0091405059128082E-2</v>
      </c>
    </row>
    <row r="1065" spans="1:12">
      <c r="A1065" s="35">
        <v>43901</v>
      </c>
      <c r="B1065" s="37">
        <v>685.15</v>
      </c>
      <c r="C1065" s="37">
        <v>32778.14</v>
      </c>
      <c r="D1065" s="38">
        <f t="shared" si="64"/>
        <v>-8.1460677172225771E-2</v>
      </c>
      <c r="E1065" s="38">
        <f t="shared" si="65"/>
        <v>3.9637602078365669E-2</v>
      </c>
      <c r="H1065" s="35">
        <v>45721</v>
      </c>
      <c r="I1065" s="37">
        <v>1710.8</v>
      </c>
      <c r="J1065" s="37">
        <v>73730.23</v>
      </c>
      <c r="K1065" s="38">
        <f t="shared" si="66"/>
        <v>1.4018693884623548E-3</v>
      </c>
      <c r="L1065" s="38">
        <f t="shared" si="67"/>
        <v>8.2374840354015391E-3</v>
      </c>
    </row>
    <row r="1066" spans="1:12">
      <c r="A1066" s="35">
        <v>43902</v>
      </c>
      <c r="B1066" s="37">
        <v>631.54999999999995</v>
      </c>
      <c r="C1066" s="37">
        <v>34103.480000000003</v>
      </c>
      <c r="D1066" s="38">
        <f t="shared" si="64"/>
        <v>1.6722666435429384E-2</v>
      </c>
      <c r="E1066" s="38">
        <f t="shared" si="65"/>
        <v>-8.2907831007430724E-2</v>
      </c>
      <c r="H1066" s="35">
        <v>45722</v>
      </c>
      <c r="I1066" s="37">
        <v>1713.2</v>
      </c>
      <c r="J1066" s="37">
        <v>74340.09</v>
      </c>
      <c r="K1066" s="38">
        <f t="shared" si="66"/>
        <v>-1.6152398126524588E-2</v>
      </c>
      <c r="L1066" s="38">
        <f t="shared" si="67"/>
        <v>-1.0102731061983516E-4</v>
      </c>
    </row>
    <row r="1067" spans="1:12">
      <c r="A1067" s="35">
        <v>43903</v>
      </c>
      <c r="B1067" s="37">
        <v>642.20000000000005</v>
      </c>
      <c r="C1067" s="37">
        <v>31390.07</v>
      </c>
      <c r="D1067" s="38">
        <f t="shared" si="64"/>
        <v>-9.6969918289572202E-2</v>
      </c>
      <c r="E1067" s="38">
        <f t="shared" si="65"/>
        <v>-2.6175158814567435E-2</v>
      </c>
      <c r="H1067" s="35">
        <v>45723</v>
      </c>
      <c r="I1067" s="37">
        <v>1685.75</v>
      </c>
      <c r="J1067" s="37">
        <v>74332.58</v>
      </c>
      <c r="K1067" s="38">
        <f t="shared" si="66"/>
        <v>1.003402250673641E-2</v>
      </c>
      <c r="L1067" s="38">
        <f t="shared" si="67"/>
        <v>-2.9291135156013525E-3</v>
      </c>
    </row>
    <row r="1068" spans="1:12">
      <c r="A1068" s="35">
        <v>43906</v>
      </c>
      <c r="B1068" s="37">
        <v>582.85</v>
      </c>
      <c r="C1068" s="37">
        <v>30579.09</v>
      </c>
      <c r="D1068" s="38">
        <f t="shared" si="64"/>
        <v>-4.7881252485652677E-2</v>
      </c>
      <c r="E1068" s="38">
        <f t="shared" si="65"/>
        <v>-5.7530421151512801E-2</v>
      </c>
      <c r="H1068" s="35">
        <v>45726</v>
      </c>
      <c r="I1068" s="37">
        <v>1702.75</v>
      </c>
      <c r="J1068" s="37">
        <v>74115.17</v>
      </c>
      <c r="K1068" s="38">
        <f t="shared" si="66"/>
        <v>-2.5065608293497531E-2</v>
      </c>
      <c r="L1068" s="38">
        <f t="shared" si="67"/>
        <v>-1.73393842146196E-4</v>
      </c>
    </row>
    <row r="1069" spans="1:12">
      <c r="A1069" s="35">
        <v>43907</v>
      </c>
      <c r="B1069" s="37">
        <v>555.6</v>
      </c>
      <c r="C1069" s="37">
        <v>28869.51</v>
      </c>
      <c r="D1069" s="38">
        <f t="shared" si="64"/>
        <v>-3.7688410407178664E-2</v>
      </c>
      <c r="E1069" s="38">
        <f t="shared" si="65"/>
        <v>-2.0340203816564647E-2</v>
      </c>
      <c r="H1069" s="35">
        <v>45727</v>
      </c>
      <c r="I1069" s="37">
        <v>1660.6</v>
      </c>
      <c r="J1069" s="37">
        <v>74102.320000000007</v>
      </c>
      <c r="K1069" s="38">
        <f t="shared" si="66"/>
        <v>-4.3696570590323204E-2</v>
      </c>
      <c r="L1069" s="38">
        <f t="shared" si="67"/>
        <v>-9.7966633295466462E-4</v>
      </c>
    </row>
    <row r="1070" spans="1:12">
      <c r="A1070" s="35">
        <v>43908</v>
      </c>
      <c r="B1070" s="37">
        <v>535.04999999999995</v>
      </c>
      <c r="C1070" s="37">
        <v>28288.23</v>
      </c>
      <c r="D1070" s="38">
        <f t="shared" si="64"/>
        <v>1.9159269938478038E-2</v>
      </c>
      <c r="E1070" s="38">
        <f t="shared" si="65"/>
        <v>5.5946300173089936E-2</v>
      </c>
      <c r="H1070" s="35">
        <v>45728</v>
      </c>
      <c r="I1070" s="37">
        <v>1589.6</v>
      </c>
      <c r="J1070" s="37">
        <v>74029.759999999995</v>
      </c>
      <c r="K1070" s="38">
        <f t="shared" si="66"/>
        <v>-6.5323614587972315E-3</v>
      </c>
      <c r="L1070" s="38">
        <f t="shared" si="67"/>
        <v>-2.7167852049278219E-3</v>
      </c>
    </row>
    <row r="1071" spans="1:12">
      <c r="A1071" s="35">
        <v>43909</v>
      </c>
      <c r="B1071" s="37">
        <v>545.4</v>
      </c>
      <c r="C1071" s="37">
        <v>29915.96</v>
      </c>
      <c r="D1071" s="38">
        <f t="shared" si="64"/>
        <v>7.0006903082122485E-2</v>
      </c>
      <c r="E1071" s="38">
        <f t="shared" si="65"/>
        <v>-0.14101737812559303</v>
      </c>
      <c r="H1071" s="35">
        <v>45729</v>
      </c>
      <c r="I1071" s="37">
        <v>1579.25</v>
      </c>
      <c r="J1071" s="37">
        <v>73828.91</v>
      </c>
      <c r="K1071" s="38">
        <f t="shared" si="66"/>
        <v>7.1298175714076531E-3</v>
      </c>
      <c r="L1071" s="38">
        <f t="shared" si="67"/>
        <v>4.6086923053575823E-3</v>
      </c>
    </row>
    <row r="1072" spans="1:12">
      <c r="A1072" s="35">
        <v>43910</v>
      </c>
      <c r="B1072" s="37">
        <v>584.95000000000005</v>
      </c>
      <c r="C1072" s="37">
        <v>25981.24</v>
      </c>
      <c r="D1072" s="38">
        <f t="shared" si="64"/>
        <v>-0.10489524700426681</v>
      </c>
      <c r="E1072" s="38">
        <f t="shared" si="65"/>
        <v>2.6315693764495499E-2</v>
      </c>
      <c r="H1072" s="35">
        <v>45733</v>
      </c>
      <c r="I1072" s="37">
        <v>1590.55</v>
      </c>
      <c r="J1072" s="37">
        <v>74169.95</v>
      </c>
      <c r="K1072" s="38">
        <f t="shared" si="66"/>
        <v>1.140869110822499E-2</v>
      </c>
      <c r="L1072" s="38">
        <f t="shared" si="67"/>
        <v>1.5137786112346788E-2</v>
      </c>
    </row>
    <row r="1073" spans="1:12">
      <c r="A1073" s="35">
        <v>43913</v>
      </c>
      <c r="B1073" s="37">
        <v>526.70000000000005</v>
      </c>
      <c r="C1073" s="37">
        <v>26674.03</v>
      </c>
      <c r="D1073" s="38">
        <f t="shared" si="64"/>
        <v>0.11949033001019908</v>
      </c>
      <c r="E1073" s="38">
        <f t="shared" si="65"/>
        <v>6.7468305576736901E-2</v>
      </c>
      <c r="H1073" s="35">
        <v>45734</v>
      </c>
      <c r="I1073" s="37">
        <v>1608.8</v>
      </c>
      <c r="J1073" s="37">
        <v>75301.259999999995</v>
      </c>
      <c r="K1073" s="38">
        <f t="shared" si="66"/>
        <v>-1.3926712016270762E-2</v>
      </c>
      <c r="L1073" s="38">
        <f t="shared" si="67"/>
        <v>1.9607262810614951E-3</v>
      </c>
    </row>
    <row r="1074" spans="1:12">
      <c r="A1074" s="35">
        <v>43914</v>
      </c>
      <c r="B1074" s="37">
        <v>593.54999999999995</v>
      </c>
      <c r="C1074" s="37">
        <v>28535.78</v>
      </c>
      <c r="D1074" s="38">
        <f t="shared" si="64"/>
        <v>2.0676017914953597E-2</v>
      </c>
      <c r="E1074" s="38">
        <f t="shared" si="65"/>
        <v>4.8262733867914305E-2</v>
      </c>
      <c r="H1074" s="35">
        <v>45735</v>
      </c>
      <c r="I1074" s="37">
        <v>1586.55</v>
      </c>
      <c r="J1074" s="37">
        <v>75449.05</v>
      </c>
      <c r="K1074" s="38">
        <f t="shared" si="66"/>
        <v>1.7246654872339534E-2</v>
      </c>
      <c r="L1074" s="38">
        <f t="shared" si="67"/>
        <v>1.1845028027897844E-2</v>
      </c>
    </row>
    <row r="1075" spans="1:12">
      <c r="A1075" s="35">
        <v>43915</v>
      </c>
      <c r="B1075" s="37">
        <v>605.95000000000005</v>
      </c>
      <c r="C1075" s="37">
        <v>29946.77</v>
      </c>
      <c r="D1075" s="38">
        <f t="shared" si="64"/>
        <v>6.4466317854353195E-2</v>
      </c>
      <c r="E1075" s="38">
        <f t="shared" si="65"/>
        <v>-4.390061258691483E-3</v>
      </c>
      <c r="H1075" s="35">
        <v>45736</v>
      </c>
      <c r="I1075" s="37">
        <v>1614.15</v>
      </c>
      <c r="J1075" s="37">
        <v>76348.06</v>
      </c>
      <c r="K1075" s="38">
        <f t="shared" si="66"/>
        <v>-1.3440601491166585E-2</v>
      </c>
      <c r="L1075" s="38">
        <f t="shared" si="67"/>
        <v>7.2749033976609685E-3</v>
      </c>
    </row>
    <row r="1076" spans="1:12">
      <c r="A1076" s="35">
        <v>43916</v>
      </c>
      <c r="B1076" s="37">
        <v>646.29999999999995</v>
      </c>
      <c r="C1076" s="37">
        <v>29815.59</v>
      </c>
      <c r="D1076" s="38">
        <f t="shared" si="64"/>
        <v>1.1155248962710949E-2</v>
      </c>
      <c r="E1076" s="38">
        <f t="shared" si="65"/>
        <v>-4.7223554446413393E-2</v>
      </c>
      <c r="H1076" s="35">
        <v>45737</v>
      </c>
      <c r="I1076" s="37">
        <v>1592.6</v>
      </c>
      <c r="J1076" s="37">
        <v>76905.509999999995</v>
      </c>
      <c r="K1076" s="38">
        <f t="shared" si="66"/>
        <v>-2.5119316886662514E-4</v>
      </c>
      <c r="L1076" s="38">
        <f t="shared" si="67"/>
        <v>1.3931024785141955E-2</v>
      </c>
    </row>
    <row r="1077" spans="1:12">
      <c r="A1077" s="35">
        <v>43917</v>
      </c>
      <c r="B1077" s="37">
        <v>653.54999999999995</v>
      </c>
      <c r="C1077" s="37">
        <v>28440.32</v>
      </c>
      <c r="D1077" s="38">
        <f t="shared" si="64"/>
        <v>-4.115357219536258E-2</v>
      </c>
      <c r="E1077" s="38">
        <f t="shared" si="65"/>
        <v>3.5513700259361833E-2</v>
      </c>
      <c r="H1077" s="35">
        <v>45740</v>
      </c>
      <c r="I1077" s="37">
        <v>1592.2</v>
      </c>
      <c r="J1077" s="37">
        <v>77984.38</v>
      </c>
      <c r="K1077" s="38">
        <f t="shared" si="66"/>
        <v>2.4505708442547031E-2</v>
      </c>
      <c r="L1077" s="38">
        <f t="shared" si="67"/>
        <v>4.2063679851137627E-4</v>
      </c>
    </row>
    <row r="1078" spans="1:12">
      <c r="A1078" s="35">
        <v>43920</v>
      </c>
      <c r="B1078" s="37">
        <v>627.20000000000005</v>
      </c>
      <c r="C1078" s="37">
        <v>29468.49</v>
      </c>
      <c r="D1078" s="38">
        <f t="shared" si="64"/>
        <v>2.0671347488558325E-2</v>
      </c>
      <c r="E1078" s="38">
        <f t="shared" si="65"/>
        <v>-4.16862991942702E-2</v>
      </c>
      <c r="H1078" s="35">
        <v>45741</v>
      </c>
      <c r="I1078" s="37">
        <v>1631.7</v>
      </c>
      <c r="J1078" s="37">
        <v>78017.19</v>
      </c>
      <c r="K1078" s="38">
        <f t="shared" si="66"/>
        <v>-2.077570584189959E-2</v>
      </c>
      <c r="L1078" s="38">
        <f t="shared" si="67"/>
        <v>-9.384013519976581E-3</v>
      </c>
    </row>
    <row r="1079" spans="1:12">
      <c r="A1079" s="35">
        <v>43921</v>
      </c>
      <c r="B1079" s="37">
        <v>640.29999999999995</v>
      </c>
      <c r="C1079" s="37">
        <v>28265.31</v>
      </c>
      <c r="D1079" s="38">
        <f t="shared" si="64"/>
        <v>-5.8197069380060834E-2</v>
      </c>
      <c r="E1079" s="38">
        <f t="shared" si="65"/>
        <v>-2.4147437293023044E-2</v>
      </c>
      <c r="H1079" s="35">
        <v>45742</v>
      </c>
      <c r="I1079" s="37">
        <v>1598.15</v>
      </c>
      <c r="J1079" s="37">
        <v>77288.5</v>
      </c>
      <c r="K1079" s="38">
        <f t="shared" si="66"/>
        <v>3.3732111817771043E-3</v>
      </c>
      <c r="L1079" s="38">
        <f t="shared" si="67"/>
        <v>4.1051110772688734E-3</v>
      </c>
    </row>
    <row r="1080" spans="1:12">
      <c r="A1080" s="35">
        <v>43922</v>
      </c>
      <c r="B1080" s="37">
        <v>604.1</v>
      </c>
      <c r="C1080" s="37">
        <v>27590.95</v>
      </c>
      <c r="D1080" s="38">
        <f t="shared" si="64"/>
        <v>-3.1358964849961889E-2</v>
      </c>
      <c r="E1080" s="38">
        <f t="shared" si="65"/>
        <v>8.5947388788731885E-2</v>
      </c>
      <c r="H1080" s="35">
        <v>45743</v>
      </c>
      <c r="I1080" s="37">
        <v>1603.55</v>
      </c>
      <c r="J1080" s="37">
        <v>77606.429999999993</v>
      </c>
      <c r="K1080" s="38">
        <f t="shared" si="66"/>
        <v>-2.0889557474651099E-2</v>
      </c>
      <c r="L1080" s="38">
        <f t="shared" si="67"/>
        <v>-2.4707577043421142E-3</v>
      </c>
    </row>
    <row r="1081" spans="1:12">
      <c r="A1081" s="35">
        <v>43924</v>
      </c>
      <c r="B1081" s="37">
        <v>585.45000000000005</v>
      </c>
      <c r="C1081" s="37">
        <v>30067.21</v>
      </c>
      <c r="D1081" s="38">
        <f t="shared" si="64"/>
        <v>9.0804668698477878E-2</v>
      </c>
      <c r="E1081" s="38">
        <f t="shared" si="65"/>
        <v>-5.7787558890491451E-3</v>
      </c>
      <c r="H1081" s="35">
        <v>45744</v>
      </c>
      <c r="I1081" s="37">
        <v>1570.4</v>
      </c>
      <c r="J1081" s="37">
        <v>77414.92</v>
      </c>
      <c r="K1081" s="38">
        <f t="shared" si="66"/>
        <v>-2.7697951916501037E-2</v>
      </c>
      <c r="L1081" s="38">
        <f t="shared" si="67"/>
        <v>-1.8123738582420588E-2</v>
      </c>
    </row>
    <row r="1082" spans="1:12">
      <c r="A1082" s="35">
        <v>43928</v>
      </c>
      <c r="B1082" s="37">
        <v>641.1</v>
      </c>
      <c r="C1082" s="37">
        <v>29893.96</v>
      </c>
      <c r="D1082" s="38">
        <f t="shared" si="64"/>
        <v>-1.4770853088556891E-2</v>
      </c>
      <c r="E1082" s="38">
        <f t="shared" si="65"/>
        <v>4.1466572504657004E-2</v>
      </c>
      <c r="H1082" s="35">
        <v>45748</v>
      </c>
      <c r="I1082" s="37">
        <v>1527.5</v>
      </c>
      <c r="J1082" s="37">
        <v>76024.509999999995</v>
      </c>
      <c r="K1082" s="38">
        <f t="shared" si="66"/>
        <v>1.4525739991069053E-2</v>
      </c>
      <c r="L1082" s="38">
        <f t="shared" si="67"/>
        <v>7.7689387780687453E-3</v>
      </c>
    </row>
    <row r="1083" spans="1:12">
      <c r="A1083" s="35">
        <v>43929</v>
      </c>
      <c r="B1083" s="37">
        <v>631.70000000000005</v>
      </c>
      <c r="C1083" s="37">
        <v>31159.62</v>
      </c>
      <c r="D1083" s="38">
        <f t="shared" si="64"/>
        <v>9.2965295713505827E-3</v>
      </c>
      <c r="E1083" s="38">
        <f t="shared" si="65"/>
        <v>-1.5185505496731606E-2</v>
      </c>
      <c r="H1083" s="35">
        <v>45749</v>
      </c>
      <c r="I1083" s="37">
        <v>1549.85</v>
      </c>
      <c r="J1083" s="37">
        <v>76617.440000000002</v>
      </c>
      <c r="K1083" s="38">
        <f t="shared" si="66"/>
        <v>-3.4695046617191083E-2</v>
      </c>
      <c r="L1083" s="38">
        <f t="shared" si="67"/>
        <v>-4.2126032131148657E-3</v>
      </c>
    </row>
    <row r="1084" spans="1:12">
      <c r="A1084" s="35">
        <v>43930</v>
      </c>
      <c r="B1084" s="37">
        <v>637.6</v>
      </c>
      <c r="C1084" s="37">
        <v>30690.02</v>
      </c>
      <c r="D1084" s="38">
        <f t="shared" si="64"/>
        <v>-7.844983535628318E-4</v>
      </c>
      <c r="E1084" s="38">
        <f t="shared" si="65"/>
        <v>-1.0159277275982721E-2</v>
      </c>
      <c r="H1084" s="35">
        <v>45750</v>
      </c>
      <c r="I1084" s="37">
        <v>1497</v>
      </c>
      <c r="J1084" s="37">
        <v>76295.360000000001</v>
      </c>
      <c r="K1084" s="38">
        <f t="shared" si="66"/>
        <v>-3.0314598805870011E-2</v>
      </c>
      <c r="L1084" s="38">
        <f t="shared" si="67"/>
        <v>-1.2273260920504306E-2</v>
      </c>
    </row>
    <row r="1085" spans="1:12">
      <c r="A1085" s="35">
        <v>43934</v>
      </c>
      <c r="B1085" s="37">
        <v>637.1</v>
      </c>
      <c r="C1085" s="37">
        <v>30379.81</v>
      </c>
      <c r="D1085" s="38">
        <f t="shared" si="64"/>
        <v>3.2125394915882219E-3</v>
      </c>
      <c r="E1085" s="38">
        <f t="shared" si="65"/>
        <v>7.3070564051250439E-3</v>
      </c>
      <c r="H1085" s="35">
        <v>45751</v>
      </c>
      <c r="I1085" s="37">
        <v>1452.3</v>
      </c>
      <c r="J1085" s="37">
        <v>75364.69</v>
      </c>
      <c r="K1085" s="38">
        <f t="shared" si="66"/>
        <v>-3.8248934570729767E-2</v>
      </c>
      <c r="L1085" s="38">
        <f t="shared" si="67"/>
        <v>-2.999216268886231E-2</v>
      </c>
    </row>
    <row r="1086" spans="1:12">
      <c r="A1086" s="35">
        <v>43936</v>
      </c>
      <c r="B1086" s="37">
        <v>639.15</v>
      </c>
      <c r="C1086" s="37">
        <v>30602.61</v>
      </c>
      <c r="D1086" s="38">
        <f t="shared" si="64"/>
        <v>-2.3668338777351517E-2</v>
      </c>
      <c r="E1086" s="38">
        <f t="shared" si="65"/>
        <v>3.1714795402794892E-2</v>
      </c>
      <c r="H1086" s="35">
        <v>45754</v>
      </c>
      <c r="I1086" s="37">
        <v>1397.8</v>
      </c>
      <c r="J1086" s="37">
        <v>73137.899999999994</v>
      </c>
      <c r="K1086" s="38">
        <f t="shared" si="66"/>
        <v>2.2285241872040926E-2</v>
      </c>
      <c r="L1086" s="38">
        <f t="shared" si="67"/>
        <v>1.4782342910552644E-2</v>
      </c>
    </row>
    <row r="1087" spans="1:12">
      <c r="A1087" s="35">
        <v>43937</v>
      </c>
      <c r="B1087" s="37">
        <v>624.20000000000005</v>
      </c>
      <c r="C1087" s="37">
        <v>31588.720000000001</v>
      </c>
      <c r="D1087" s="38">
        <f t="shared" si="64"/>
        <v>8.1372606962086935E-3</v>
      </c>
      <c r="E1087" s="38">
        <f t="shared" si="65"/>
        <v>1.8748605988609774E-3</v>
      </c>
      <c r="H1087" s="35">
        <v>45755</v>
      </c>
      <c r="I1087" s="37">
        <v>1429.3</v>
      </c>
      <c r="J1087" s="37">
        <v>74227.08</v>
      </c>
      <c r="K1087" s="38">
        <f t="shared" si="66"/>
        <v>-1.7717068331921021E-2</v>
      </c>
      <c r="L1087" s="38">
        <f t="shared" si="67"/>
        <v>-5.1316266678289148E-3</v>
      </c>
    </row>
    <row r="1088" spans="1:12">
      <c r="A1088" s="35">
        <v>43938</v>
      </c>
      <c r="B1088" s="37">
        <v>629.29999999999995</v>
      </c>
      <c r="C1088" s="37">
        <v>31648</v>
      </c>
      <c r="D1088" s="38">
        <f t="shared" si="64"/>
        <v>3.6815887659699988E-2</v>
      </c>
      <c r="E1088" s="38">
        <f t="shared" si="65"/>
        <v>-3.2475992312236544E-2</v>
      </c>
      <c r="H1088" s="35">
        <v>45756</v>
      </c>
      <c r="I1088" s="37">
        <v>1404.2</v>
      </c>
      <c r="J1088" s="37">
        <v>73847.149999999994</v>
      </c>
      <c r="K1088" s="38">
        <f t="shared" si="66"/>
        <v>4.5474001909301667E-3</v>
      </c>
      <c r="L1088" s="38">
        <f t="shared" si="67"/>
        <v>1.7585301826580635E-2</v>
      </c>
    </row>
    <row r="1089" spans="1:12">
      <c r="A1089" s="35">
        <v>43941</v>
      </c>
      <c r="B1089" s="37">
        <v>652.9</v>
      </c>
      <c r="C1089" s="37">
        <v>30636.71</v>
      </c>
      <c r="D1089" s="38">
        <f t="shared" si="64"/>
        <v>-3.0874570226325615E-2</v>
      </c>
      <c r="E1089" s="38">
        <f t="shared" si="65"/>
        <v>2.395744372982939E-2</v>
      </c>
      <c r="H1089" s="35">
        <v>45758</v>
      </c>
      <c r="I1089" s="37">
        <v>1410.6</v>
      </c>
      <c r="J1089" s="37">
        <v>75157.259999999995</v>
      </c>
      <c r="K1089" s="38">
        <f t="shared" si="66"/>
        <v>1.1734370070289872E-2</v>
      </c>
      <c r="L1089" s="38">
        <f t="shared" si="67"/>
        <v>2.0773775801835814E-2</v>
      </c>
    </row>
    <row r="1090" spans="1:12">
      <c r="A1090" s="35">
        <v>43942</v>
      </c>
      <c r="B1090" s="37">
        <v>633.04999999999995</v>
      </c>
      <c r="C1090" s="37">
        <v>31379.55</v>
      </c>
      <c r="D1090" s="38">
        <f t="shared" si="64"/>
        <v>1.4116774311020826E-2</v>
      </c>
      <c r="E1090" s="38">
        <f t="shared" si="65"/>
        <v>1.5291565895610629E-2</v>
      </c>
      <c r="H1090" s="35">
        <v>45762</v>
      </c>
      <c r="I1090" s="37">
        <v>1427.25</v>
      </c>
      <c r="J1090" s="37">
        <v>76734.89</v>
      </c>
      <c r="K1090" s="38">
        <f t="shared" si="66"/>
        <v>-1.0034412159841083E-2</v>
      </c>
      <c r="L1090" s="38">
        <f t="shared" si="67"/>
        <v>4.0239571766423074E-3</v>
      </c>
    </row>
    <row r="1091" spans="1:12">
      <c r="A1091" s="35">
        <v>43943</v>
      </c>
      <c r="B1091" s="37">
        <v>642.04999999999995</v>
      </c>
      <c r="C1091" s="37">
        <v>31863.08</v>
      </c>
      <c r="D1091" s="38">
        <f t="shared" si="64"/>
        <v>5.5144602314678964E-2</v>
      </c>
      <c r="E1091" s="38">
        <f t="shared" si="65"/>
        <v>-1.6960604570316031E-2</v>
      </c>
      <c r="H1091" s="35">
        <v>45763</v>
      </c>
      <c r="I1091" s="37">
        <v>1413</v>
      </c>
      <c r="J1091" s="37">
        <v>77044.289999999994</v>
      </c>
      <c r="K1091" s="38">
        <f t="shared" si="66"/>
        <v>5.0826030634658096E-3</v>
      </c>
      <c r="L1091" s="38">
        <f t="shared" si="67"/>
        <v>1.9395650957286629E-2</v>
      </c>
    </row>
    <row r="1092" spans="1:12">
      <c r="A1092" s="35">
        <v>43944</v>
      </c>
      <c r="B1092" s="37">
        <v>678.45</v>
      </c>
      <c r="C1092" s="37">
        <v>31327.22</v>
      </c>
      <c r="D1092" s="38">
        <f t="shared" si="64"/>
        <v>-3.0150030118131024E-2</v>
      </c>
      <c r="E1092" s="38">
        <f t="shared" si="65"/>
        <v>1.3187380644452518E-2</v>
      </c>
      <c r="H1092" s="35">
        <v>45764</v>
      </c>
      <c r="I1092" s="37">
        <v>1420.2</v>
      </c>
      <c r="J1092" s="37">
        <v>78553.2</v>
      </c>
      <c r="K1092" s="38">
        <f t="shared" si="66"/>
        <v>2.1076146347218279E-2</v>
      </c>
      <c r="L1092" s="38">
        <f t="shared" si="67"/>
        <v>1.0829313165022846E-2</v>
      </c>
    </row>
    <row r="1093" spans="1:12">
      <c r="A1093" s="35">
        <v>43945</v>
      </c>
      <c r="B1093" s="37">
        <v>658.3</v>
      </c>
      <c r="C1093" s="37">
        <v>31743.08</v>
      </c>
      <c r="D1093" s="38">
        <f t="shared" ref="D1093:D1156" si="68">LN(B1094/B1093)</f>
        <v>8.9978301660918417E-3</v>
      </c>
      <c r="E1093" s="38">
        <f t="shared" ref="E1093:E1156" si="69">LN(C1094/C1093)</f>
        <v>1.1633515483635464E-2</v>
      </c>
      <c r="H1093" s="35">
        <v>45768</v>
      </c>
      <c r="I1093" s="37">
        <v>1450.45</v>
      </c>
      <c r="J1093" s="37">
        <v>79408.5</v>
      </c>
      <c r="K1093" s="38">
        <f t="shared" ref="K1093:K1156" si="70">LN(I1094/I1093)</f>
        <v>-1.9528267335571347E-2</v>
      </c>
      <c r="L1093" s="38">
        <f t="shared" ref="L1093:L1156" si="71">LN(J1094/J1093)</f>
        <v>2.3532738854759351E-3</v>
      </c>
    </row>
    <row r="1094" spans="1:12">
      <c r="A1094" s="35">
        <v>43948</v>
      </c>
      <c r="B1094" s="37">
        <v>664.25</v>
      </c>
      <c r="C1094" s="37">
        <v>32114.52</v>
      </c>
      <c r="D1094" s="38">
        <f t="shared" si="68"/>
        <v>-4.8291046838173099E-3</v>
      </c>
      <c r="E1094" s="38">
        <f t="shared" si="69"/>
        <v>1.8683137386863436E-2</v>
      </c>
      <c r="H1094" s="35">
        <v>45769</v>
      </c>
      <c r="I1094" s="37">
        <v>1422.4</v>
      </c>
      <c r="J1094" s="37">
        <v>79595.59</v>
      </c>
      <c r="K1094" s="38">
        <f t="shared" si="70"/>
        <v>3.6210703927747175E-2</v>
      </c>
      <c r="L1094" s="38">
        <f t="shared" si="71"/>
        <v>6.5230112463528023E-3</v>
      </c>
    </row>
    <row r="1095" spans="1:12">
      <c r="A1095" s="35">
        <v>43949</v>
      </c>
      <c r="B1095" s="37">
        <v>661.05</v>
      </c>
      <c r="C1095" s="37">
        <v>32720.16</v>
      </c>
      <c r="D1095" s="38">
        <f t="shared" si="68"/>
        <v>2.4875232185961754E-2</v>
      </c>
      <c r="E1095" s="38">
        <f t="shared" si="69"/>
        <v>3.0029147687126185E-2</v>
      </c>
      <c r="H1095" s="35">
        <v>45770</v>
      </c>
      <c r="I1095" s="37">
        <v>1474.85</v>
      </c>
      <c r="J1095" s="37">
        <v>80116.490000000005</v>
      </c>
      <c r="K1095" s="38">
        <f t="shared" si="70"/>
        <v>-2.4099259834861018E-3</v>
      </c>
      <c r="L1095" s="38">
        <f t="shared" si="71"/>
        <v>-3.9402764571878591E-3</v>
      </c>
    </row>
    <row r="1096" spans="1:12">
      <c r="A1096" s="35">
        <v>43950</v>
      </c>
      <c r="B1096" s="37">
        <v>677.7</v>
      </c>
      <c r="C1096" s="37">
        <v>33717.620000000003</v>
      </c>
      <c r="D1096" s="38">
        <f t="shared" si="68"/>
        <v>5.5254745422264953E-2</v>
      </c>
      <c r="E1096" s="38">
        <f t="shared" si="69"/>
        <v>-6.1219758572817765E-2</v>
      </c>
      <c r="H1096" s="35">
        <v>45771</v>
      </c>
      <c r="I1096" s="37">
        <v>1471.3</v>
      </c>
      <c r="J1096" s="37">
        <v>79801.429999999993</v>
      </c>
      <c r="K1096" s="38">
        <f t="shared" si="70"/>
        <v>6.030850059464854E-3</v>
      </c>
      <c r="L1096" s="38">
        <f t="shared" si="71"/>
        <v>-7.4069307170356868E-3</v>
      </c>
    </row>
    <row r="1097" spans="1:12">
      <c r="A1097" s="35">
        <v>43951</v>
      </c>
      <c r="B1097" s="37">
        <v>716.2</v>
      </c>
      <c r="C1097" s="37">
        <v>31715.35</v>
      </c>
      <c r="D1097" s="38">
        <f t="shared" si="68"/>
        <v>-6.1100335341125467E-2</v>
      </c>
      <c r="E1097" s="38">
        <f t="shared" si="69"/>
        <v>-8.2902081700843323E-3</v>
      </c>
      <c r="H1097" s="35">
        <v>45772</v>
      </c>
      <c r="I1097" s="37">
        <v>1480.2</v>
      </c>
      <c r="J1097" s="37">
        <v>79212.53</v>
      </c>
      <c r="K1097" s="38">
        <f t="shared" si="70"/>
        <v>1.3502567538924168E-3</v>
      </c>
      <c r="L1097" s="38">
        <f t="shared" si="71"/>
        <v>1.2618047635388815E-2</v>
      </c>
    </row>
    <row r="1098" spans="1:12">
      <c r="A1098" s="35">
        <v>43955</v>
      </c>
      <c r="B1098" s="37">
        <v>673.75</v>
      </c>
      <c r="C1098" s="37">
        <v>31453.51</v>
      </c>
      <c r="D1098" s="38">
        <f t="shared" si="68"/>
        <v>7.4183979663240414E-4</v>
      </c>
      <c r="E1098" s="38">
        <f t="shared" si="69"/>
        <v>7.3564703595225571E-3</v>
      </c>
      <c r="H1098" s="35">
        <v>45775</v>
      </c>
      <c r="I1098" s="37">
        <v>1482.2</v>
      </c>
      <c r="J1098" s="37">
        <v>80218.37</v>
      </c>
      <c r="K1098" s="38">
        <f t="shared" si="70"/>
        <v>1.0202800279326293E-2</v>
      </c>
      <c r="L1098" s="38">
        <f t="shared" si="71"/>
        <v>8.7236212109341709E-4</v>
      </c>
    </row>
    <row r="1099" spans="1:12">
      <c r="A1099" s="35">
        <v>43956</v>
      </c>
      <c r="B1099" s="37">
        <v>674.25</v>
      </c>
      <c r="C1099" s="37">
        <v>31685.75</v>
      </c>
      <c r="D1099" s="38">
        <f t="shared" si="68"/>
        <v>-1.2011036260260051E-2</v>
      </c>
      <c r="E1099" s="38">
        <f t="shared" si="69"/>
        <v>-7.6785848579528212E-3</v>
      </c>
      <c r="H1099" s="35">
        <v>45776</v>
      </c>
      <c r="I1099" s="37">
        <v>1497.4</v>
      </c>
      <c r="J1099" s="37">
        <v>80288.38</v>
      </c>
      <c r="K1099" s="38">
        <f t="shared" si="70"/>
        <v>1.0012349399653236E-3</v>
      </c>
      <c r="L1099" s="38">
        <f t="shared" si="71"/>
        <v>-5.7484361887548234E-4</v>
      </c>
    </row>
    <row r="1100" spans="1:12">
      <c r="A1100" s="35">
        <v>43957</v>
      </c>
      <c r="B1100" s="37">
        <v>666.2</v>
      </c>
      <c r="C1100" s="37">
        <v>31443.38</v>
      </c>
      <c r="D1100" s="38">
        <f t="shared" si="68"/>
        <v>-1.7276999602742215E-3</v>
      </c>
      <c r="E1100" s="38">
        <f t="shared" si="69"/>
        <v>6.3190061336566607E-3</v>
      </c>
      <c r="H1100" s="35">
        <v>45777</v>
      </c>
      <c r="I1100" s="37">
        <v>1498.9</v>
      </c>
      <c r="J1100" s="37">
        <v>80242.240000000005</v>
      </c>
      <c r="K1100" s="38">
        <f t="shared" si="70"/>
        <v>5.0243837709075282E-3</v>
      </c>
      <c r="L1100" s="38">
        <f t="shared" si="71"/>
        <v>3.2318451005905664E-3</v>
      </c>
    </row>
    <row r="1101" spans="1:12">
      <c r="A1101" s="35">
        <v>43958</v>
      </c>
      <c r="B1101" s="37">
        <v>665.05</v>
      </c>
      <c r="C1101" s="37">
        <v>31642.7</v>
      </c>
      <c r="D1101" s="38">
        <f t="shared" si="68"/>
        <v>1.4331812077491167E-2</v>
      </c>
      <c r="E1101" s="38">
        <f t="shared" si="69"/>
        <v>-2.5783225198119501E-3</v>
      </c>
      <c r="H1101" s="35">
        <v>45779</v>
      </c>
      <c r="I1101" s="37">
        <v>1506.45</v>
      </c>
      <c r="J1101" s="37">
        <v>80501.990000000005</v>
      </c>
      <c r="K1101" s="38">
        <f t="shared" si="70"/>
        <v>8.2942127741516452E-4</v>
      </c>
      <c r="L1101" s="38">
        <f t="shared" si="71"/>
        <v>3.6559512355194565E-3</v>
      </c>
    </row>
    <row r="1102" spans="1:12">
      <c r="A1102" s="35">
        <v>43959</v>
      </c>
      <c r="B1102" s="37">
        <v>674.65</v>
      </c>
      <c r="C1102" s="37">
        <v>31561.22</v>
      </c>
      <c r="D1102" s="38">
        <f t="shared" si="68"/>
        <v>1.1934722477018166E-2</v>
      </c>
      <c r="E1102" s="38">
        <f t="shared" si="69"/>
        <v>-6.0414272916648583E-3</v>
      </c>
      <c r="H1102" s="35">
        <v>45782</v>
      </c>
      <c r="I1102" s="37">
        <v>1507.7</v>
      </c>
      <c r="J1102" s="37">
        <v>80796.84</v>
      </c>
      <c r="K1102" s="38">
        <f t="shared" si="70"/>
        <v>2.3848967912021971E-3</v>
      </c>
      <c r="L1102" s="38">
        <f t="shared" si="71"/>
        <v>-1.9297827671506955E-3</v>
      </c>
    </row>
    <row r="1103" spans="1:12">
      <c r="A1103" s="35">
        <v>43962</v>
      </c>
      <c r="B1103" s="37">
        <v>682.75</v>
      </c>
      <c r="C1103" s="37">
        <v>31371.119999999999</v>
      </c>
      <c r="D1103" s="38">
        <f t="shared" si="68"/>
        <v>7.2966394508695307E-3</v>
      </c>
      <c r="E1103" s="38">
        <f t="shared" si="69"/>
        <v>2.0117204642789665E-2</v>
      </c>
      <c r="H1103" s="35">
        <v>45783</v>
      </c>
      <c r="I1103" s="37">
        <v>1511.3</v>
      </c>
      <c r="J1103" s="37">
        <v>80641.070000000007</v>
      </c>
      <c r="K1103" s="38">
        <f t="shared" si="70"/>
        <v>-1.8544279769591354E-3</v>
      </c>
      <c r="L1103" s="38">
        <f t="shared" si="71"/>
        <v>1.3100120624653755E-3</v>
      </c>
    </row>
    <row r="1104" spans="1:12">
      <c r="A1104" s="35">
        <v>43963</v>
      </c>
      <c r="B1104" s="37">
        <v>687.75</v>
      </c>
      <c r="C1104" s="37">
        <v>32008.61</v>
      </c>
      <c r="D1104" s="38">
        <f t="shared" si="68"/>
        <v>8.902458100819197E-3</v>
      </c>
      <c r="E1104" s="38">
        <f t="shared" si="69"/>
        <v>-2.8061367786615533E-2</v>
      </c>
      <c r="H1104" s="35">
        <v>45784</v>
      </c>
      <c r="I1104" s="37">
        <v>1508.5</v>
      </c>
      <c r="J1104" s="37">
        <v>80746.78</v>
      </c>
      <c r="K1104" s="38">
        <f t="shared" si="70"/>
        <v>1.8213433298867555E-3</v>
      </c>
      <c r="L1104" s="38">
        <f t="shared" si="71"/>
        <v>-5.1150587503582621E-3</v>
      </c>
    </row>
    <row r="1105" spans="1:12">
      <c r="A1105" s="35">
        <v>43964</v>
      </c>
      <c r="B1105" s="37">
        <v>693.9</v>
      </c>
      <c r="C1105" s="37">
        <v>31122.89</v>
      </c>
      <c r="D1105" s="38">
        <f t="shared" si="68"/>
        <v>-5.2970962443429713E-2</v>
      </c>
      <c r="E1105" s="38">
        <f t="shared" si="69"/>
        <v>-8.0873515472296696E-4</v>
      </c>
      <c r="H1105" s="35">
        <v>45785</v>
      </c>
      <c r="I1105" s="37">
        <v>1511.25</v>
      </c>
      <c r="J1105" s="37">
        <v>80334.81</v>
      </c>
      <c r="K1105" s="38">
        <f t="shared" si="70"/>
        <v>-2.5176413735695483E-3</v>
      </c>
      <c r="L1105" s="38">
        <f t="shared" si="71"/>
        <v>-1.1018873196378258E-2</v>
      </c>
    </row>
    <row r="1106" spans="1:12">
      <c r="A1106" s="35">
        <v>43965</v>
      </c>
      <c r="B1106" s="37">
        <v>658.1</v>
      </c>
      <c r="C1106" s="37">
        <v>31097.73</v>
      </c>
      <c r="D1106" s="38">
        <f t="shared" si="68"/>
        <v>-8.8523166600232659E-3</v>
      </c>
      <c r="E1106" s="38">
        <f t="shared" si="69"/>
        <v>-3.4971910783151088E-2</v>
      </c>
      <c r="H1106" s="35">
        <v>45786</v>
      </c>
      <c r="I1106" s="37">
        <v>1507.45</v>
      </c>
      <c r="J1106" s="37">
        <v>79454.47</v>
      </c>
      <c r="K1106" s="38">
        <f t="shared" si="70"/>
        <v>7.6133941216974921E-2</v>
      </c>
      <c r="L1106" s="38">
        <f t="shared" si="71"/>
        <v>3.6764081973884769E-2</v>
      </c>
    </row>
    <row r="1107" spans="1:12">
      <c r="A1107" s="35">
        <v>43966</v>
      </c>
      <c r="B1107" s="37">
        <v>652.29999999999995</v>
      </c>
      <c r="C1107" s="37">
        <v>30028.98</v>
      </c>
      <c r="D1107" s="38">
        <f t="shared" si="68"/>
        <v>1.7174979514239151E-2</v>
      </c>
      <c r="E1107" s="38">
        <f t="shared" si="69"/>
        <v>5.5521797618695743E-3</v>
      </c>
      <c r="H1107" s="35">
        <v>45789</v>
      </c>
      <c r="I1107" s="37">
        <v>1626.7</v>
      </c>
      <c r="J1107" s="37">
        <v>82429.899999999994</v>
      </c>
      <c r="K1107" s="38">
        <f t="shared" si="70"/>
        <v>-3.6051216207385231E-2</v>
      </c>
      <c r="L1107" s="38">
        <f t="shared" si="71"/>
        <v>-1.5670876142664651E-2</v>
      </c>
    </row>
    <row r="1108" spans="1:12">
      <c r="A1108" s="35">
        <v>43969</v>
      </c>
      <c r="B1108" s="37">
        <v>663.6</v>
      </c>
      <c r="C1108" s="37">
        <v>30196.17</v>
      </c>
      <c r="D1108" s="38">
        <f t="shared" si="68"/>
        <v>8.0297606033389521E-3</v>
      </c>
      <c r="E1108" s="38">
        <f t="shared" si="69"/>
        <v>2.0403633144587839E-2</v>
      </c>
      <c r="H1108" s="35">
        <v>45790</v>
      </c>
      <c r="I1108" s="37">
        <v>1569.1</v>
      </c>
      <c r="J1108" s="37">
        <v>81148.22</v>
      </c>
      <c r="K1108" s="38">
        <f t="shared" si="70"/>
        <v>1.4865694258321844E-2</v>
      </c>
      <c r="L1108" s="38">
        <f t="shared" si="71"/>
        <v>2.2444786518905149E-3</v>
      </c>
    </row>
    <row r="1109" spans="1:12">
      <c r="A1109" s="35">
        <v>43970</v>
      </c>
      <c r="B1109" s="37">
        <v>668.95</v>
      </c>
      <c r="C1109" s="37">
        <v>30818.61</v>
      </c>
      <c r="D1109" s="38">
        <f t="shared" si="68"/>
        <v>1.8668563835817682E-3</v>
      </c>
      <c r="E1109" s="38">
        <f t="shared" si="69"/>
        <v>3.7016141143624164E-3</v>
      </c>
      <c r="H1109" s="35">
        <v>45791</v>
      </c>
      <c r="I1109" s="37">
        <v>1592.6</v>
      </c>
      <c r="J1109" s="37">
        <v>81330.559999999998</v>
      </c>
      <c r="K1109" s="38">
        <f t="shared" si="70"/>
        <v>1.2882876992604621E-2</v>
      </c>
      <c r="L1109" s="38">
        <f t="shared" si="71"/>
        <v>1.4648992317767996E-2</v>
      </c>
    </row>
    <row r="1110" spans="1:12">
      <c r="A1110" s="35">
        <v>43971</v>
      </c>
      <c r="B1110" s="37">
        <v>670.2</v>
      </c>
      <c r="C1110" s="37">
        <v>30932.9</v>
      </c>
      <c r="D1110" s="38">
        <f t="shared" si="68"/>
        <v>2.6821652199393539E-3</v>
      </c>
      <c r="E1110" s="38">
        <f t="shared" si="69"/>
        <v>-8.4509205018697912E-3</v>
      </c>
      <c r="H1110" s="35">
        <v>45792</v>
      </c>
      <c r="I1110" s="37">
        <v>1613.25</v>
      </c>
      <c r="J1110" s="37">
        <v>82530.740000000005</v>
      </c>
      <c r="K1110" s="38">
        <f t="shared" si="70"/>
        <v>-1.4674006668431983E-2</v>
      </c>
      <c r="L1110" s="38">
        <f t="shared" si="71"/>
        <v>-2.4281024341493689E-3</v>
      </c>
    </row>
    <row r="1111" spans="1:12">
      <c r="A1111" s="35">
        <v>43972</v>
      </c>
      <c r="B1111" s="37">
        <v>672</v>
      </c>
      <c r="C1111" s="37">
        <v>30672.59</v>
      </c>
      <c r="D1111" s="38">
        <f t="shared" si="68"/>
        <v>2.9688821527921717E-2</v>
      </c>
      <c r="E1111" s="38">
        <f t="shared" si="69"/>
        <v>-2.0655375512062014E-3</v>
      </c>
      <c r="H1111" s="35">
        <v>45793</v>
      </c>
      <c r="I1111" s="37">
        <v>1589.75</v>
      </c>
      <c r="J1111" s="37">
        <v>82330.59</v>
      </c>
      <c r="K1111" s="38">
        <f t="shared" si="70"/>
        <v>-1.9435970195386131E-2</v>
      </c>
      <c r="L1111" s="38">
        <f t="shared" si="71"/>
        <v>-3.2991085766561697E-3</v>
      </c>
    </row>
    <row r="1112" spans="1:12">
      <c r="A1112" s="35">
        <v>43973</v>
      </c>
      <c r="B1112" s="37">
        <v>692.25</v>
      </c>
      <c r="C1112" s="37">
        <v>30609.3</v>
      </c>
      <c r="D1112" s="38">
        <f t="shared" si="68"/>
        <v>-1.7633799971632301E-2</v>
      </c>
      <c r="E1112" s="38">
        <f t="shared" si="69"/>
        <v>3.2018412471781339E-2</v>
      </c>
      <c r="H1112" s="35">
        <v>45796</v>
      </c>
      <c r="I1112" s="37">
        <v>1559.15</v>
      </c>
      <c r="J1112" s="37">
        <v>82059.42</v>
      </c>
      <c r="K1112" s="38">
        <f t="shared" si="70"/>
        <v>8.0139768037040132E-4</v>
      </c>
      <c r="L1112" s="38">
        <f t="shared" si="71"/>
        <v>-1.0695380841525699E-2</v>
      </c>
    </row>
    <row r="1113" spans="1:12">
      <c r="A1113" s="35">
        <v>43977</v>
      </c>
      <c r="B1113" s="37">
        <v>680.15</v>
      </c>
      <c r="C1113" s="37">
        <v>31605.22</v>
      </c>
      <c r="D1113" s="38">
        <f t="shared" si="68"/>
        <v>3.6309882134694382E-2</v>
      </c>
      <c r="E1113" s="38">
        <f t="shared" si="69"/>
        <v>1.8662478539925975E-2</v>
      </c>
      <c r="H1113" s="35">
        <v>45797</v>
      </c>
      <c r="I1113" s="37">
        <v>1560.4</v>
      </c>
      <c r="J1113" s="37">
        <v>81186.44</v>
      </c>
      <c r="K1113" s="38">
        <f t="shared" si="70"/>
        <v>4.9224967544843476E-3</v>
      </c>
      <c r="L1113" s="38">
        <f t="shared" si="71"/>
        <v>5.0397239491148452E-3</v>
      </c>
    </row>
    <row r="1114" spans="1:12">
      <c r="A1114" s="35">
        <v>43978</v>
      </c>
      <c r="B1114" s="37">
        <v>705.3</v>
      </c>
      <c r="C1114" s="37">
        <v>32200.59</v>
      </c>
      <c r="D1114" s="38">
        <f t="shared" si="68"/>
        <v>2.7609659675430298E-3</v>
      </c>
      <c r="E1114" s="38">
        <f t="shared" si="69"/>
        <v>6.9171980925947091E-3</v>
      </c>
      <c r="H1114" s="35">
        <v>45798</v>
      </c>
      <c r="I1114" s="37">
        <v>1568.1</v>
      </c>
      <c r="J1114" s="37">
        <v>81596.63</v>
      </c>
      <c r="K1114" s="38">
        <f t="shared" si="70"/>
        <v>-1.212602674638864E-2</v>
      </c>
      <c r="L1114" s="38">
        <f t="shared" si="71"/>
        <v>-7.9316992001674073E-3</v>
      </c>
    </row>
    <row r="1115" spans="1:12">
      <c r="A1115" s="35">
        <v>43979</v>
      </c>
      <c r="B1115" s="37">
        <v>707.25</v>
      </c>
      <c r="C1115" s="37">
        <v>32424.1</v>
      </c>
      <c r="D1115" s="38">
        <f t="shared" si="68"/>
        <v>-2.2738002347049532E-2</v>
      </c>
      <c r="E1115" s="38">
        <f t="shared" si="69"/>
        <v>2.6761123649189374E-2</v>
      </c>
      <c r="H1115" s="35">
        <v>45799</v>
      </c>
      <c r="I1115" s="37">
        <v>1549.2</v>
      </c>
      <c r="J1115" s="37">
        <v>80951.990000000005</v>
      </c>
      <c r="K1115" s="38">
        <f t="shared" si="70"/>
        <v>9.8276154683397572E-3</v>
      </c>
      <c r="L1115" s="38">
        <f t="shared" si="71"/>
        <v>9.4557228236654099E-3</v>
      </c>
    </row>
    <row r="1116" spans="1:12">
      <c r="A1116" s="35">
        <v>43980</v>
      </c>
      <c r="B1116" s="37">
        <v>691.35</v>
      </c>
      <c r="C1116" s="37">
        <v>33303.519999999997</v>
      </c>
      <c r="D1116" s="38">
        <f t="shared" si="68"/>
        <v>1.1719586270908786E-2</v>
      </c>
      <c r="E1116" s="38">
        <f t="shared" si="69"/>
        <v>1.5552745712408229E-2</v>
      </c>
      <c r="H1116" s="35">
        <v>45800</v>
      </c>
      <c r="I1116" s="37">
        <v>1564.5</v>
      </c>
      <c r="J1116" s="37">
        <v>81721.08</v>
      </c>
      <c r="K1116" s="38">
        <f t="shared" si="70"/>
        <v>1.0111695428298815E-2</v>
      </c>
      <c r="L1116" s="38">
        <f t="shared" si="71"/>
        <v>5.5567789427261984E-3</v>
      </c>
    </row>
    <row r="1117" spans="1:12">
      <c r="A1117" s="35">
        <v>43983</v>
      </c>
      <c r="B1117" s="37">
        <v>699.5</v>
      </c>
      <c r="C1117" s="37">
        <v>33825.53</v>
      </c>
      <c r="D1117" s="38">
        <f t="shared" si="68"/>
        <v>1.2148918563531938E-2</v>
      </c>
      <c r="E1117" s="38">
        <f t="shared" si="69"/>
        <v>8.3612677402671188E-3</v>
      </c>
      <c r="H1117" s="35">
        <v>45803</v>
      </c>
      <c r="I1117" s="37">
        <v>1580.4</v>
      </c>
      <c r="J1117" s="37">
        <v>82176.45</v>
      </c>
      <c r="K1117" s="38">
        <f t="shared" si="70"/>
        <v>-6.2839395585344527E-3</v>
      </c>
      <c r="L1117" s="38">
        <f t="shared" si="71"/>
        <v>-7.6324480589944829E-3</v>
      </c>
    </row>
    <row r="1118" spans="1:12">
      <c r="A1118" s="35">
        <v>43984</v>
      </c>
      <c r="B1118" s="37">
        <v>708.05</v>
      </c>
      <c r="C1118" s="37">
        <v>34109.54</v>
      </c>
      <c r="D1118" s="38">
        <f t="shared" si="68"/>
        <v>-9.5076635033872307E-3</v>
      </c>
      <c r="E1118" s="38">
        <f t="shared" si="69"/>
        <v>-3.7843941735741676E-3</v>
      </c>
      <c r="H1118" s="35">
        <v>45804</v>
      </c>
      <c r="I1118" s="37">
        <v>1570.5</v>
      </c>
      <c r="J1118" s="37">
        <v>81551.63</v>
      </c>
      <c r="K1118" s="38">
        <f t="shared" si="70"/>
        <v>9.8646012040698732E-4</v>
      </c>
      <c r="L1118" s="38">
        <f t="shared" si="71"/>
        <v>-2.9387740163643677E-3</v>
      </c>
    </row>
    <row r="1119" spans="1:12">
      <c r="A1119" s="35">
        <v>43985</v>
      </c>
      <c r="B1119" s="37">
        <v>701.35</v>
      </c>
      <c r="C1119" s="37">
        <v>33980.699999999997</v>
      </c>
      <c r="D1119" s="38">
        <f t="shared" si="68"/>
        <v>9.1545187456824519E-3</v>
      </c>
      <c r="E1119" s="38">
        <f t="shared" si="69"/>
        <v>8.9805569118318121E-3</v>
      </c>
      <c r="H1119" s="35">
        <v>45805</v>
      </c>
      <c r="I1119" s="37">
        <v>1572.05</v>
      </c>
      <c r="J1119" s="37">
        <v>81312.320000000007</v>
      </c>
      <c r="K1119" s="38">
        <f t="shared" si="70"/>
        <v>8.4562413039472283E-3</v>
      </c>
      <c r="L1119" s="38">
        <f t="shared" si="71"/>
        <v>3.9362943928080039E-3</v>
      </c>
    </row>
    <row r="1120" spans="1:12">
      <c r="A1120" s="35">
        <v>43986</v>
      </c>
      <c r="B1120" s="37">
        <v>707.8</v>
      </c>
      <c r="C1120" s="37">
        <v>34287.24</v>
      </c>
      <c r="D1120" s="38">
        <f t="shared" si="68"/>
        <v>-5.7383884574627522E-3</v>
      </c>
      <c r="E1120" s="38">
        <f t="shared" si="69"/>
        <v>2.4276926046205927E-3</v>
      </c>
      <c r="H1120" s="35">
        <v>45806</v>
      </c>
      <c r="I1120" s="37">
        <v>1585.4</v>
      </c>
      <c r="J1120" s="37">
        <v>81633.02</v>
      </c>
      <c r="K1120" s="38">
        <f t="shared" si="70"/>
        <v>-1.4357657222140021E-2</v>
      </c>
      <c r="L1120" s="38">
        <f t="shared" si="71"/>
        <v>-2.2321017645775187E-3</v>
      </c>
    </row>
    <row r="1121" spans="1:12">
      <c r="A1121" s="35">
        <v>43987</v>
      </c>
      <c r="B1121" s="37">
        <v>703.75</v>
      </c>
      <c r="C1121" s="37">
        <v>34370.58</v>
      </c>
      <c r="D1121" s="38">
        <f t="shared" si="68"/>
        <v>2.3591629830470365E-2</v>
      </c>
      <c r="E1121" s="38">
        <f t="shared" si="69"/>
        <v>-1.2115076817284076E-2</v>
      </c>
      <c r="H1121" s="35">
        <v>45807</v>
      </c>
      <c r="I1121" s="37">
        <v>1562.8</v>
      </c>
      <c r="J1121" s="37">
        <v>81451.009999999995</v>
      </c>
      <c r="K1121" s="38">
        <f t="shared" si="70"/>
        <v>-5.5181404057736451E-3</v>
      </c>
      <c r="L1121" s="38">
        <f t="shared" si="71"/>
        <v>-9.4899578907183544E-4</v>
      </c>
    </row>
    <row r="1122" spans="1:12">
      <c r="A1122" s="35">
        <v>43990</v>
      </c>
      <c r="B1122" s="37">
        <v>720.55</v>
      </c>
      <c r="C1122" s="37">
        <v>33956.69</v>
      </c>
      <c r="D1122" s="38">
        <f t="shared" si="68"/>
        <v>-3.8934902831971574E-3</v>
      </c>
      <c r="E1122" s="38">
        <f t="shared" si="69"/>
        <v>8.514540527933389E-3</v>
      </c>
      <c r="H1122" s="35">
        <v>45810</v>
      </c>
      <c r="I1122" s="37">
        <v>1554.2</v>
      </c>
      <c r="J1122" s="37">
        <v>81373.75</v>
      </c>
      <c r="K1122" s="38">
        <f t="shared" si="70"/>
        <v>-7.6537164567515824E-3</v>
      </c>
      <c r="L1122" s="38">
        <f t="shared" si="71"/>
        <v>-7.8494642108835073E-3</v>
      </c>
    </row>
    <row r="1123" spans="1:12">
      <c r="A1123" s="35">
        <v>43991</v>
      </c>
      <c r="B1123" s="37">
        <v>717.75</v>
      </c>
      <c r="C1123" s="37">
        <v>34247.050000000003</v>
      </c>
      <c r="D1123" s="38">
        <f t="shared" si="68"/>
        <v>-2.6506711948367945E-3</v>
      </c>
      <c r="E1123" s="38">
        <f t="shared" si="69"/>
        <v>-2.0910273085877312E-2</v>
      </c>
      <c r="H1123" s="35">
        <v>45811</v>
      </c>
      <c r="I1123" s="37">
        <v>1542.35</v>
      </c>
      <c r="J1123" s="37">
        <v>80737.509999999995</v>
      </c>
      <c r="K1123" s="38">
        <f t="shared" si="70"/>
        <v>5.7538302004266463E-3</v>
      </c>
      <c r="L1123" s="38">
        <f t="shared" si="71"/>
        <v>3.2242742840114039E-3</v>
      </c>
    </row>
    <row r="1124" spans="1:12">
      <c r="A1124" s="35">
        <v>43992</v>
      </c>
      <c r="B1124" s="37">
        <v>715.85</v>
      </c>
      <c r="C1124" s="37">
        <v>33538.370000000003</v>
      </c>
      <c r="D1124" s="38">
        <f t="shared" si="68"/>
        <v>-1.7260634942933457E-2</v>
      </c>
      <c r="E1124" s="38">
        <f t="shared" si="69"/>
        <v>7.2051014574627831E-3</v>
      </c>
      <c r="H1124" s="35">
        <v>45812</v>
      </c>
      <c r="I1124" s="37">
        <v>1551.25</v>
      </c>
      <c r="J1124" s="37">
        <v>80998.25</v>
      </c>
      <c r="K1124" s="38">
        <f t="shared" si="70"/>
        <v>1.9963942746076425E-3</v>
      </c>
      <c r="L1124" s="38">
        <f t="shared" si="71"/>
        <v>5.4640521036252087E-3</v>
      </c>
    </row>
    <row r="1125" spans="1:12">
      <c r="A1125" s="35">
        <v>43993</v>
      </c>
      <c r="B1125" s="37">
        <v>703.6</v>
      </c>
      <c r="C1125" s="37">
        <v>33780.89</v>
      </c>
      <c r="D1125" s="38">
        <f t="shared" si="68"/>
        <v>-1.6479559015585482E-2</v>
      </c>
      <c r="E1125" s="38">
        <f t="shared" si="69"/>
        <v>-1.6478288216022555E-2</v>
      </c>
      <c r="H1125" s="35">
        <v>45813</v>
      </c>
      <c r="I1125" s="37">
        <v>1554.35</v>
      </c>
      <c r="J1125" s="37">
        <v>81442.039999999994</v>
      </c>
      <c r="K1125" s="38">
        <f t="shared" si="70"/>
        <v>6.2211591102872563E-3</v>
      </c>
      <c r="L1125" s="38">
        <f t="shared" si="71"/>
        <v>9.1297498809147174E-3</v>
      </c>
    </row>
    <row r="1126" spans="1:12">
      <c r="A1126" s="35">
        <v>43994</v>
      </c>
      <c r="B1126" s="37">
        <v>692.1</v>
      </c>
      <c r="C1126" s="37">
        <v>33228.800000000003</v>
      </c>
      <c r="D1126" s="38">
        <f t="shared" si="68"/>
        <v>-7.0323268024626148E-3</v>
      </c>
      <c r="E1126" s="38">
        <f t="shared" si="69"/>
        <v>1.1264442277929389E-2</v>
      </c>
      <c r="H1126" s="35">
        <v>45814</v>
      </c>
      <c r="I1126" s="37">
        <v>1564.05</v>
      </c>
      <c r="J1126" s="37">
        <v>82188.990000000005</v>
      </c>
      <c r="K1126" s="38">
        <f t="shared" si="70"/>
        <v>5.4198946677703414E-3</v>
      </c>
      <c r="L1126" s="38">
        <f t="shared" si="71"/>
        <v>3.1126000170178837E-3</v>
      </c>
    </row>
    <row r="1127" spans="1:12">
      <c r="A1127" s="35">
        <v>43997</v>
      </c>
      <c r="B1127" s="37">
        <v>687.25</v>
      </c>
      <c r="C1127" s="37">
        <v>33605.22</v>
      </c>
      <c r="D1127" s="38">
        <f t="shared" si="68"/>
        <v>1.9738430769189876E-2</v>
      </c>
      <c r="E1127" s="38">
        <f t="shared" si="69"/>
        <v>-2.8995832461863524E-3</v>
      </c>
      <c r="H1127" s="35">
        <v>45817</v>
      </c>
      <c r="I1127" s="37">
        <v>1572.55</v>
      </c>
      <c r="J1127" s="37">
        <v>82445.210000000006</v>
      </c>
      <c r="K1127" s="38">
        <f t="shared" si="70"/>
        <v>1.495862277526684E-2</v>
      </c>
      <c r="L1127" s="38">
        <f t="shared" si="71"/>
        <v>-6.4900507280179847E-4</v>
      </c>
    </row>
    <row r="1128" spans="1:12">
      <c r="A1128" s="35">
        <v>43998</v>
      </c>
      <c r="B1128" s="37">
        <v>700.95</v>
      </c>
      <c r="C1128" s="37">
        <v>33507.919999999998</v>
      </c>
      <c r="D1128" s="38">
        <f t="shared" si="68"/>
        <v>3.773455048858248E-3</v>
      </c>
      <c r="E1128" s="38">
        <f t="shared" si="69"/>
        <v>2.0679167688806791E-2</v>
      </c>
      <c r="H1128" s="35">
        <v>45818</v>
      </c>
      <c r="I1128" s="37">
        <v>1596.25</v>
      </c>
      <c r="J1128" s="37">
        <v>82391.72</v>
      </c>
      <c r="K1128" s="38">
        <f t="shared" si="70"/>
        <v>2.1352242120482586E-2</v>
      </c>
      <c r="L1128" s="38">
        <f t="shared" si="71"/>
        <v>1.4968452257717914E-3</v>
      </c>
    </row>
    <row r="1129" spans="1:12">
      <c r="A1129" s="35">
        <v>43999</v>
      </c>
      <c r="B1129" s="37">
        <v>703.6</v>
      </c>
      <c r="C1129" s="37">
        <v>34208.050000000003</v>
      </c>
      <c r="D1129" s="38">
        <f t="shared" si="68"/>
        <v>1.4462843371825945E-2</v>
      </c>
      <c r="E1129" s="38">
        <f t="shared" si="69"/>
        <v>1.5192681869322574E-2</v>
      </c>
      <c r="H1129" s="35">
        <v>45819</v>
      </c>
      <c r="I1129" s="37">
        <v>1630.7</v>
      </c>
      <c r="J1129" s="37">
        <v>82515.14</v>
      </c>
      <c r="K1129" s="38">
        <f t="shared" si="70"/>
        <v>-1.4391403688613399E-2</v>
      </c>
      <c r="L1129" s="38">
        <f t="shared" si="71"/>
        <v>-1.0025958622437882E-2</v>
      </c>
    </row>
    <row r="1130" spans="1:12">
      <c r="A1130" s="35">
        <v>44000</v>
      </c>
      <c r="B1130" s="37">
        <v>713.85</v>
      </c>
      <c r="C1130" s="37">
        <v>34731.730000000003</v>
      </c>
      <c r="D1130" s="38">
        <f t="shared" si="68"/>
        <v>-1.1553492375213227E-2</v>
      </c>
      <c r="E1130" s="38">
        <f t="shared" si="69"/>
        <v>5.1574535601446279E-3</v>
      </c>
      <c r="H1130" s="35">
        <v>45820</v>
      </c>
      <c r="I1130" s="37">
        <v>1607.4</v>
      </c>
      <c r="J1130" s="37">
        <v>81691.98</v>
      </c>
      <c r="K1130" s="38">
        <f t="shared" si="70"/>
        <v>-3.6460564861971198E-3</v>
      </c>
      <c r="L1130" s="38">
        <f t="shared" si="71"/>
        <v>-7.0435517215645229E-3</v>
      </c>
    </row>
    <row r="1131" spans="1:12">
      <c r="A1131" s="35">
        <v>44001</v>
      </c>
      <c r="B1131" s="37">
        <v>705.65</v>
      </c>
      <c r="C1131" s="37">
        <v>34911.32</v>
      </c>
      <c r="D1131" s="38">
        <f t="shared" si="68"/>
        <v>-2.8382904174392423E-3</v>
      </c>
      <c r="E1131" s="38">
        <f t="shared" si="69"/>
        <v>1.475992349369506E-2</v>
      </c>
      <c r="H1131" s="35">
        <v>45821</v>
      </c>
      <c r="I1131" s="37">
        <v>1601.55</v>
      </c>
      <c r="J1131" s="37">
        <v>81118.600000000006</v>
      </c>
      <c r="K1131" s="38">
        <f t="shared" si="70"/>
        <v>1.3766378692388274E-2</v>
      </c>
      <c r="L1131" s="38">
        <f t="shared" si="71"/>
        <v>8.3178951750893151E-3</v>
      </c>
    </row>
    <row r="1132" spans="1:12">
      <c r="A1132" s="35">
        <v>44004</v>
      </c>
      <c r="B1132" s="37">
        <v>703.65</v>
      </c>
      <c r="C1132" s="37">
        <v>35430.43</v>
      </c>
      <c r="D1132" s="38">
        <f t="shared" si="68"/>
        <v>2.3594943336366522E-2</v>
      </c>
      <c r="E1132" s="38">
        <f t="shared" si="69"/>
        <v>-1.5973446656993396E-2</v>
      </c>
      <c r="H1132" s="35">
        <v>45824</v>
      </c>
      <c r="I1132" s="37">
        <v>1623.75</v>
      </c>
      <c r="J1132" s="37">
        <v>81796.149999999994</v>
      </c>
      <c r="K1132" s="38">
        <f t="shared" si="70"/>
        <v>1.0049412065545901E-2</v>
      </c>
      <c r="L1132" s="38">
        <f t="shared" si="71"/>
        <v>-2.6055923241490118E-3</v>
      </c>
    </row>
    <row r="1133" spans="1:12">
      <c r="A1133" s="35">
        <v>44005</v>
      </c>
      <c r="B1133" s="37">
        <v>720.45</v>
      </c>
      <c r="C1133" s="37">
        <v>34868.980000000003</v>
      </c>
      <c r="D1133" s="38">
        <f t="shared" si="68"/>
        <v>-8.7129816185950171E-3</v>
      </c>
      <c r="E1133" s="38">
        <f t="shared" si="69"/>
        <v>-7.7118304097955909E-4</v>
      </c>
      <c r="H1133" s="35">
        <v>45825</v>
      </c>
      <c r="I1133" s="37">
        <v>1640.15</v>
      </c>
      <c r="J1133" s="37">
        <v>81583.3</v>
      </c>
      <c r="K1133" s="38">
        <f t="shared" si="70"/>
        <v>-4.4913685547202176E-3</v>
      </c>
      <c r="L1133" s="38">
        <f t="shared" si="71"/>
        <v>-1.700812957741382E-3</v>
      </c>
    </row>
    <row r="1134" spans="1:12">
      <c r="A1134" s="35">
        <v>44006</v>
      </c>
      <c r="B1134" s="37">
        <v>714.2</v>
      </c>
      <c r="C1134" s="37">
        <v>34842.1</v>
      </c>
      <c r="D1134" s="38">
        <f t="shared" si="68"/>
        <v>-2.0654292015901056E-2</v>
      </c>
      <c r="E1134" s="38">
        <f t="shared" si="69"/>
        <v>9.4031304420711097E-3</v>
      </c>
      <c r="H1134" s="35">
        <v>45826</v>
      </c>
      <c r="I1134" s="37">
        <v>1632.8</v>
      </c>
      <c r="J1134" s="37">
        <v>81444.66</v>
      </c>
      <c r="K1134" s="38">
        <f t="shared" si="70"/>
        <v>-8.7965381293359669E-3</v>
      </c>
      <c r="L1134" s="38">
        <f t="shared" si="71"/>
        <v>-1.0170354608778341E-3</v>
      </c>
    </row>
    <row r="1135" spans="1:12">
      <c r="A1135" s="35">
        <v>44007</v>
      </c>
      <c r="B1135" s="37">
        <v>699.6</v>
      </c>
      <c r="C1135" s="37">
        <v>35171.269999999997</v>
      </c>
      <c r="D1135" s="38">
        <f t="shared" si="68"/>
        <v>6.7094749484981231E-2</v>
      </c>
      <c r="E1135" s="38">
        <f t="shared" si="69"/>
        <v>-5.9815280521735787E-3</v>
      </c>
      <c r="H1135" s="35">
        <v>45827</v>
      </c>
      <c r="I1135" s="37">
        <v>1618.5</v>
      </c>
      <c r="J1135" s="37">
        <v>81361.87</v>
      </c>
      <c r="K1135" s="38">
        <f t="shared" si="70"/>
        <v>2.0676786109646416E-3</v>
      </c>
      <c r="L1135" s="38">
        <f t="shared" si="71"/>
        <v>1.2777846742154911E-2</v>
      </c>
    </row>
    <row r="1136" spans="1:12">
      <c r="A1136" s="35">
        <v>44008</v>
      </c>
      <c r="B1136" s="37">
        <v>748.15</v>
      </c>
      <c r="C1136" s="37">
        <v>34961.519999999997</v>
      </c>
      <c r="D1136" s="38">
        <f t="shared" si="68"/>
        <v>-2.2574627205333212E-2</v>
      </c>
      <c r="E1136" s="38">
        <f t="shared" si="69"/>
        <v>-1.3085792793473586E-3</v>
      </c>
      <c r="H1136" s="35">
        <v>45828</v>
      </c>
      <c r="I1136" s="37">
        <v>1621.85</v>
      </c>
      <c r="J1136" s="37">
        <v>82408.17</v>
      </c>
      <c r="K1136" s="38">
        <f t="shared" si="70"/>
        <v>-2.3172358028501046E-2</v>
      </c>
      <c r="L1136" s="38">
        <f t="shared" si="71"/>
        <v>-6.2247865340592512E-3</v>
      </c>
    </row>
    <row r="1137" spans="1:12">
      <c r="A1137" s="35">
        <v>44011</v>
      </c>
      <c r="B1137" s="37">
        <v>731.45</v>
      </c>
      <c r="C1137" s="37">
        <v>34915.800000000003</v>
      </c>
      <c r="D1137" s="38">
        <f t="shared" si="68"/>
        <v>6.0653745084581915E-3</v>
      </c>
      <c r="E1137" s="38">
        <f t="shared" si="69"/>
        <v>1.4180480118692407E-2</v>
      </c>
      <c r="H1137" s="35">
        <v>45831</v>
      </c>
      <c r="I1137" s="37">
        <v>1584.7</v>
      </c>
      <c r="J1137" s="37">
        <v>81896.789999999994</v>
      </c>
      <c r="K1137" s="38">
        <f t="shared" si="70"/>
        <v>-1.9897361479672576E-3</v>
      </c>
      <c r="L1137" s="38">
        <f t="shared" si="71"/>
        <v>1.931298743229152E-3</v>
      </c>
    </row>
    <row r="1138" spans="1:12">
      <c r="A1138" s="35">
        <v>44012</v>
      </c>
      <c r="B1138" s="37">
        <v>735.9</v>
      </c>
      <c r="C1138" s="37">
        <v>35414.449999999997</v>
      </c>
      <c r="D1138" s="38">
        <f t="shared" si="68"/>
        <v>-4.6308990413309386E-3</v>
      </c>
      <c r="E1138" s="38">
        <f t="shared" si="69"/>
        <v>1.2047890442943774E-2</v>
      </c>
      <c r="H1138" s="35">
        <v>45832</v>
      </c>
      <c r="I1138" s="37">
        <v>1581.55</v>
      </c>
      <c r="J1138" s="37">
        <v>82055.11</v>
      </c>
      <c r="K1138" s="38">
        <f t="shared" si="70"/>
        <v>2.1239127463757512E-2</v>
      </c>
      <c r="L1138" s="38">
        <f t="shared" si="71"/>
        <v>8.4995034481868646E-3</v>
      </c>
    </row>
    <row r="1139" spans="1:12">
      <c r="A1139" s="35">
        <v>44013</v>
      </c>
      <c r="B1139" s="37">
        <v>732.5</v>
      </c>
      <c r="C1139" s="37">
        <v>35843.699999999997</v>
      </c>
      <c r="D1139" s="38">
        <f t="shared" si="68"/>
        <v>3.197478197076143E-2</v>
      </c>
      <c r="E1139" s="38">
        <f t="shared" si="69"/>
        <v>4.9459421284527936E-3</v>
      </c>
      <c r="H1139" s="35">
        <v>45833</v>
      </c>
      <c r="I1139" s="37">
        <v>1615.5</v>
      </c>
      <c r="J1139" s="37">
        <v>82755.509999999995</v>
      </c>
      <c r="K1139" s="38">
        <f t="shared" si="70"/>
        <v>-3.0954960779607627E-4</v>
      </c>
      <c r="L1139" s="38">
        <f t="shared" si="71"/>
        <v>1.2015659658121529E-2</v>
      </c>
    </row>
    <row r="1140" spans="1:12">
      <c r="A1140" s="35">
        <v>44014</v>
      </c>
      <c r="B1140" s="37">
        <v>756.3</v>
      </c>
      <c r="C1140" s="37">
        <v>36021.42</v>
      </c>
      <c r="D1140" s="38">
        <f t="shared" si="68"/>
        <v>8.2955245614795958E-3</v>
      </c>
      <c r="E1140" s="38">
        <f t="shared" si="69"/>
        <v>1.2849945186117621E-2</v>
      </c>
      <c r="H1140" s="35">
        <v>45834</v>
      </c>
      <c r="I1140" s="37">
        <v>1615</v>
      </c>
      <c r="J1140" s="37">
        <v>83755.87</v>
      </c>
      <c r="K1140" s="38">
        <f t="shared" si="70"/>
        <v>-3.9707211867883981E-3</v>
      </c>
      <c r="L1140" s="38">
        <f t="shared" si="71"/>
        <v>3.6114857990626678E-3</v>
      </c>
    </row>
    <row r="1141" spans="1:12">
      <c r="A1141" s="35">
        <v>44015</v>
      </c>
      <c r="B1141" s="37">
        <v>762.6</v>
      </c>
      <c r="C1141" s="37">
        <v>36487.279999999999</v>
      </c>
      <c r="D1141" s="38">
        <f t="shared" si="68"/>
        <v>1.5068630623416728E-3</v>
      </c>
      <c r="E1141" s="38">
        <f t="shared" si="69"/>
        <v>5.1185293089259874E-3</v>
      </c>
      <c r="H1141" s="35">
        <v>45835</v>
      </c>
      <c r="I1141" s="37">
        <v>1608.6</v>
      </c>
      <c r="J1141" s="37">
        <v>84058.9</v>
      </c>
      <c r="K1141" s="38">
        <f t="shared" si="70"/>
        <v>-4.5484361415375736E-3</v>
      </c>
      <c r="L1141" s="38">
        <f t="shared" si="71"/>
        <v>-5.396953767773968E-3</v>
      </c>
    </row>
    <row r="1142" spans="1:12">
      <c r="A1142" s="35">
        <v>44018</v>
      </c>
      <c r="B1142" s="37">
        <v>763.75</v>
      </c>
      <c r="C1142" s="37">
        <v>36674.519999999997</v>
      </c>
      <c r="D1142" s="38">
        <f t="shared" si="68"/>
        <v>3.9346602245157812E-2</v>
      </c>
      <c r="E1142" s="38">
        <f t="shared" si="69"/>
        <v>-9.4656403534612212E-3</v>
      </c>
      <c r="H1142" s="35">
        <v>45838</v>
      </c>
      <c r="I1142" s="37">
        <v>1601.3</v>
      </c>
      <c r="J1142" s="37">
        <v>83606.460000000006</v>
      </c>
      <c r="K1142" s="38">
        <f t="shared" si="70"/>
        <v>4.2686506419275742E-3</v>
      </c>
      <c r="L1142" s="38">
        <f t="shared" si="71"/>
        <v>1.0858095998911679E-3</v>
      </c>
    </row>
    <row r="1143" spans="1:12">
      <c r="A1143" s="35">
        <v>44019</v>
      </c>
      <c r="B1143" s="37">
        <v>794.4</v>
      </c>
      <c r="C1143" s="37">
        <v>36329.01</v>
      </c>
      <c r="D1143" s="38">
        <f t="shared" si="68"/>
        <v>-2.5240345650310948E-2</v>
      </c>
      <c r="E1143" s="38">
        <f t="shared" si="69"/>
        <v>1.118660790343806E-2</v>
      </c>
      <c r="H1143" s="35">
        <v>45839</v>
      </c>
      <c r="I1143" s="37">
        <v>1608.15</v>
      </c>
      <c r="J1143" s="37">
        <v>83697.289999999994</v>
      </c>
      <c r="K1143" s="38">
        <f t="shared" si="70"/>
        <v>1.0876152778902446E-3</v>
      </c>
      <c r="L1143" s="38">
        <f t="shared" si="71"/>
        <v>-3.4421097665683171E-3</v>
      </c>
    </row>
    <row r="1144" spans="1:12">
      <c r="A1144" s="35">
        <v>44020</v>
      </c>
      <c r="B1144" s="37">
        <v>774.6</v>
      </c>
      <c r="C1144" s="37">
        <v>36737.69</v>
      </c>
      <c r="D1144" s="38">
        <f t="shared" si="68"/>
        <v>8.9323602608282222E-3</v>
      </c>
      <c r="E1144" s="38">
        <f t="shared" si="69"/>
        <v>-3.9098931853181742E-3</v>
      </c>
      <c r="H1144" s="35">
        <v>45840</v>
      </c>
      <c r="I1144" s="37">
        <v>1609.9</v>
      </c>
      <c r="J1144" s="37">
        <v>83409.69</v>
      </c>
      <c r="K1144" s="38">
        <f t="shared" si="70"/>
        <v>5.1114561188912878E-3</v>
      </c>
      <c r="L1144" s="38">
        <f t="shared" si="71"/>
        <v>-2.0428552918917158E-3</v>
      </c>
    </row>
    <row r="1145" spans="1:12">
      <c r="A1145" s="35">
        <v>44021</v>
      </c>
      <c r="B1145" s="37">
        <v>781.55</v>
      </c>
      <c r="C1145" s="37">
        <v>36594.33</v>
      </c>
      <c r="D1145" s="38">
        <f t="shared" si="68"/>
        <v>3.198260173741871E-4</v>
      </c>
      <c r="E1145" s="38">
        <f t="shared" si="69"/>
        <v>2.7114952996755764E-3</v>
      </c>
      <c r="H1145" s="35">
        <v>45841</v>
      </c>
      <c r="I1145" s="37">
        <v>1618.15</v>
      </c>
      <c r="J1145" s="37">
        <v>83239.47</v>
      </c>
      <c r="K1145" s="38">
        <f t="shared" si="70"/>
        <v>1.353466423517099E-2</v>
      </c>
      <c r="L1145" s="38">
        <f t="shared" si="71"/>
        <v>2.3209617578732696E-3</v>
      </c>
    </row>
    <row r="1146" spans="1:12">
      <c r="A1146" s="35">
        <v>44022</v>
      </c>
      <c r="B1146" s="37">
        <v>781.8</v>
      </c>
      <c r="C1146" s="37">
        <v>36693.69</v>
      </c>
      <c r="D1146" s="38">
        <f t="shared" si="68"/>
        <v>1.887924302746612E-2</v>
      </c>
      <c r="E1146" s="38">
        <f t="shared" si="69"/>
        <v>-1.8167955293806812E-2</v>
      </c>
      <c r="H1146" s="35">
        <v>45842</v>
      </c>
      <c r="I1146" s="37">
        <v>1640.2</v>
      </c>
      <c r="J1146" s="37">
        <v>83432.89</v>
      </c>
      <c r="K1146" s="38">
        <f t="shared" si="70"/>
        <v>-7.7730905195865698E-3</v>
      </c>
      <c r="L1146" s="38">
        <f t="shared" si="71"/>
        <v>1.1517576091502651E-4</v>
      </c>
    </row>
    <row r="1147" spans="1:12">
      <c r="A1147" s="35">
        <v>44025</v>
      </c>
      <c r="B1147" s="37">
        <v>796.7</v>
      </c>
      <c r="C1147" s="37">
        <v>36033.06</v>
      </c>
      <c r="D1147" s="38">
        <f t="shared" si="68"/>
        <v>-1.7090105170019743E-2</v>
      </c>
      <c r="E1147" s="38">
        <f t="shared" si="69"/>
        <v>5.2022013559465557E-4</v>
      </c>
      <c r="H1147" s="35">
        <v>45845</v>
      </c>
      <c r="I1147" s="37">
        <v>1627.5</v>
      </c>
      <c r="J1147" s="37">
        <v>83442.5</v>
      </c>
      <c r="K1147" s="38">
        <f t="shared" si="70"/>
        <v>6.8276370127413723E-3</v>
      </c>
      <c r="L1147" s="38">
        <f t="shared" si="71"/>
        <v>3.2306567998694096E-3</v>
      </c>
    </row>
    <row r="1148" spans="1:12">
      <c r="A1148" s="35">
        <v>44026</v>
      </c>
      <c r="B1148" s="37">
        <v>783.2</v>
      </c>
      <c r="C1148" s="37">
        <v>36051.81</v>
      </c>
      <c r="D1148" s="38">
        <f t="shared" si="68"/>
        <v>5.9783073317622691E-2</v>
      </c>
      <c r="E1148" s="38">
        <f t="shared" si="69"/>
        <v>1.1578998503775348E-2</v>
      </c>
      <c r="H1148" s="35">
        <v>45846</v>
      </c>
      <c r="I1148" s="37">
        <v>1638.65</v>
      </c>
      <c r="J1148" s="37">
        <v>83712.509999999995</v>
      </c>
      <c r="K1148" s="38">
        <f t="shared" si="70"/>
        <v>-2.90293705868771E-3</v>
      </c>
      <c r="L1148" s="38">
        <f t="shared" si="71"/>
        <v>-2.109794353952186E-3</v>
      </c>
    </row>
    <row r="1149" spans="1:12">
      <c r="A1149" s="35">
        <v>44027</v>
      </c>
      <c r="B1149" s="37">
        <v>831.45</v>
      </c>
      <c r="C1149" s="37">
        <v>36471.68</v>
      </c>
      <c r="D1149" s="38">
        <f t="shared" si="68"/>
        <v>9.1261957216840647E-2</v>
      </c>
      <c r="E1149" s="38">
        <f t="shared" si="69"/>
        <v>1.4926019859066312E-2</v>
      </c>
      <c r="H1149" s="35">
        <v>45847</v>
      </c>
      <c r="I1149" s="37">
        <v>1633.9</v>
      </c>
      <c r="J1149" s="37">
        <v>83536.08</v>
      </c>
      <c r="K1149" s="38">
        <f t="shared" si="70"/>
        <v>-1.0551833710075733E-2</v>
      </c>
      <c r="L1149" s="38">
        <f t="shared" si="71"/>
        <v>-4.148120259392798E-3</v>
      </c>
    </row>
    <row r="1150" spans="1:12">
      <c r="A1150" s="35">
        <v>44028</v>
      </c>
      <c r="B1150" s="37">
        <v>910.9</v>
      </c>
      <c r="C1150" s="37">
        <v>37020.14</v>
      </c>
      <c r="D1150" s="38">
        <f t="shared" si="68"/>
        <v>-7.6037613585876167E-3</v>
      </c>
      <c r="E1150" s="38">
        <f t="shared" si="69"/>
        <v>1.0716240689931536E-2</v>
      </c>
      <c r="H1150" s="35">
        <v>45848</v>
      </c>
      <c r="I1150" s="37">
        <v>1616.75</v>
      </c>
      <c r="J1150" s="37">
        <v>83190.28</v>
      </c>
      <c r="K1150" s="38">
        <f t="shared" si="70"/>
        <v>-1.360692299799373E-2</v>
      </c>
      <c r="L1150" s="38">
        <f t="shared" si="71"/>
        <v>-8.3265237851848466E-3</v>
      </c>
    </row>
    <row r="1151" spans="1:12">
      <c r="A1151" s="35">
        <v>44029</v>
      </c>
      <c r="B1151" s="37">
        <v>904</v>
      </c>
      <c r="C1151" s="37">
        <v>37418.99</v>
      </c>
      <c r="D1151" s="38">
        <f t="shared" si="68"/>
        <v>3.2165163019168143E-2</v>
      </c>
      <c r="E1151" s="38">
        <f t="shared" si="69"/>
        <v>1.3572726332507473E-2</v>
      </c>
      <c r="H1151" s="35">
        <v>45849</v>
      </c>
      <c r="I1151" s="37">
        <v>1594.9</v>
      </c>
      <c r="J1151" s="37">
        <v>82500.47</v>
      </c>
      <c r="K1151" s="38">
        <f t="shared" si="70"/>
        <v>-1.544883585140275E-2</v>
      </c>
      <c r="L1151" s="38">
        <f t="shared" si="71"/>
        <v>-2.9985346641082803E-3</v>
      </c>
    </row>
    <row r="1152" spans="1:12">
      <c r="A1152" s="35">
        <v>44032</v>
      </c>
      <c r="B1152" s="37">
        <v>933.55</v>
      </c>
      <c r="C1152" s="37">
        <v>37930.33</v>
      </c>
      <c r="D1152" s="38">
        <f t="shared" si="68"/>
        <v>3.3685368037402585E-3</v>
      </c>
      <c r="E1152" s="38">
        <f t="shared" si="69"/>
        <v>-1.5516774801606122E-3</v>
      </c>
      <c r="H1152" s="35">
        <v>45852</v>
      </c>
      <c r="I1152" s="37">
        <v>1570.45</v>
      </c>
      <c r="J1152" s="37">
        <v>82253.460000000006</v>
      </c>
      <c r="K1152" s="38">
        <f t="shared" si="70"/>
        <v>9.096013907035537E-3</v>
      </c>
      <c r="L1152" s="38">
        <f t="shared" si="71"/>
        <v>3.8519836905301628E-3</v>
      </c>
    </row>
    <row r="1153" spans="1:12">
      <c r="A1153" s="35">
        <v>44033</v>
      </c>
      <c r="B1153" s="37">
        <v>936.7</v>
      </c>
      <c r="C1153" s="37">
        <v>37871.519999999997</v>
      </c>
      <c r="D1153" s="38">
        <f t="shared" si="68"/>
        <v>-1.8641776842957283E-2</v>
      </c>
      <c r="E1153" s="38">
        <f t="shared" si="69"/>
        <v>7.0765446967169148E-3</v>
      </c>
      <c r="H1153" s="35">
        <v>45853</v>
      </c>
      <c r="I1153" s="37">
        <v>1584.8</v>
      </c>
      <c r="J1153" s="37">
        <v>82570.91</v>
      </c>
      <c r="K1153" s="38">
        <f t="shared" si="70"/>
        <v>1.4906019085627324E-2</v>
      </c>
      <c r="L1153" s="38">
        <f t="shared" si="71"/>
        <v>7.6958751936028597E-4</v>
      </c>
    </row>
    <row r="1154" spans="1:12">
      <c r="A1154" s="35">
        <v>44034</v>
      </c>
      <c r="B1154" s="37">
        <v>919.4</v>
      </c>
      <c r="C1154" s="37">
        <v>38140.47</v>
      </c>
      <c r="D1154" s="38">
        <f t="shared" si="68"/>
        <v>-1.1541219313019834E-2</v>
      </c>
      <c r="E1154" s="38">
        <f t="shared" si="69"/>
        <v>-3.0339833903835991E-4</v>
      </c>
      <c r="H1154" s="35">
        <v>45854</v>
      </c>
      <c r="I1154" s="37">
        <v>1608.6</v>
      </c>
      <c r="J1154" s="37">
        <v>82634.48</v>
      </c>
      <c r="K1154" s="38">
        <f t="shared" si="70"/>
        <v>-1.6231986130731096E-2</v>
      </c>
      <c r="L1154" s="38">
        <f t="shared" si="71"/>
        <v>-4.5513030785865978E-3</v>
      </c>
    </row>
    <row r="1155" spans="1:12">
      <c r="A1155" s="35">
        <v>44035</v>
      </c>
      <c r="B1155" s="37">
        <v>908.85</v>
      </c>
      <c r="C1155" s="37">
        <v>38128.9</v>
      </c>
      <c r="D1155" s="38">
        <f t="shared" si="68"/>
        <v>1.5015707064612489E-2</v>
      </c>
      <c r="E1155" s="38">
        <f t="shared" si="69"/>
        <v>-5.1054734507711029E-3</v>
      </c>
      <c r="H1155" s="35">
        <v>45855</v>
      </c>
      <c r="I1155" s="37">
        <v>1582.7</v>
      </c>
      <c r="J1155" s="37">
        <v>82259.240000000005</v>
      </c>
      <c r="K1155" s="38">
        <f t="shared" si="70"/>
        <v>2.4295981029340392E-3</v>
      </c>
      <c r="L1155" s="38">
        <f t="shared" si="71"/>
        <v>-6.1153618792050887E-3</v>
      </c>
    </row>
    <row r="1156" spans="1:12">
      <c r="A1156" s="35">
        <v>44036</v>
      </c>
      <c r="B1156" s="37">
        <v>922.6</v>
      </c>
      <c r="C1156" s="37">
        <v>37934.730000000003</v>
      </c>
      <c r="D1156" s="38">
        <f t="shared" si="68"/>
        <v>2.7105987124327258E-2</v>
      </c>
      <c r="E1156" s="38">
        <f t="shared" si="69"/>
        <v>1.4608056315691422E-2</v>
      </c>
      <c r="H1156" s="35">
        <v>45856</v>
      </c>
      <c r="I1156" s="37">
        <v>1586.55</v>
      </c>
      <c r="J1156" s="37">
        <v>81757.73</v>
      </c>
      <c r="K1156" s="38">
        <f t="shared" si="70"/>
        <v>-1.2298379110301126E-3</v>
      </c>
      <c r="L1156" s="38">
        <f t="shared" si="71"/>
        <v>5.3990764245261651E-3</v>
      </c>
    </row>
    <row r="1157" spans="1:12">
      <c r="A1157" s="35">
        <v>44039</v>
      </c>
      <c r="B1157" s="37">
        <v>947.95</v>
      </c>
      <c r="C1157" s="37">
        <v>38492.949999999997</v>
      </c>
      <c r="D1157" s="38">
        <f t="shared" ref="D1157:D1220" si="72">LN(B1158/B1157)</f>
        <v>1.5492014446970946E-2</v>
      </c>
      <c r="E1157" s="38">
        <f t="shared" ref="E1157:E1220" si="73">LN(C1158/C1157)</f>
        <v>-1.1018855524345006E-2</v>
      </c>
      <c r="H1157" s="35">
        <v>45859</v>
      </c>
      <c r="I1157" s="37">
        <v>1584.6</v>
      </c>
      <c r="J1157" s="37">
        <v>82200.34</v>
      </c>
      <c r="K1157" s="38">
        <f t="shared" ref="K1157:K1220" si="74">LN(I1158/I1157)</f>
        <v>-9.1926979496655906E-3</v>
      </c>
      <c r="L1157" s="38">
        <f t="shared" ref="L1157:L1220" si="75">LN(J1158/J1157)</f>
        <v>-1.6461140704182662E-4</v>
      </c>
    </row>
    <row r="1158" spans="1:12">
      <c r="A1158" s="35">
        <v>44040</v>
      </c>
      <c r="B1158" s="37">
        <v>962.75</v>
      </c>
      <c r="C1158" s="37">
        <v>38071.129999999997</v>
      </c>
      <c r="D1158" s="38">
        <f t="shared" si="72"/>
        <v>-9.2873463134917119E-3</v>
      </c>
      <c r="E1158" s="38">
        <f t="shared" si="73"/>
        <v>-8.8398511455130193E-3</v>
      </c>
      <c r="H1158" s="35">
        <v>45860</v>
      </c>
      <c r="I1158" s="37">
        <v>1570.1</v>
      </c>
      <c r="J1158" s="37">
        <v>82186.81</v>
      </c>
      <c r="K1158" s="38">
        <f t="shared" si="74"/>
        <v>2.7349357165132263E-3</v>
      </c>
      <c r="L1158" s="38">
        <f t="shared" si="75"/>
        <v>6.5468514320486402E-3</v>
      </c>
    </row>
    <row r="1159" spans="1:12">
      <c r="A1159" s="35">
        <v>44041</v>
      </c>
      <c r="B1159" s="37">
        <v>953.85</v>
      </c>
      <c r="C1159" s="37">
        <v>37736.07</v>
      </c>
      <c r="D1159" s="38">
        <f t="shared" si="72"/>
        <v>8.352086970663886E-3</v>
      </c>
      <c r="E1159" s="38">
        <f t="shared" si="73"/>
        <v>-3.4291226833759502E-3</v>
      </c>
      <c r="H1159" s="35">
        <v>45861</v>
      </c>
      <c r="I1159" s="37">
        <v>1574.4</v>
      </c>
      <c r="J1159" s="37">
        <v>82726.64</v>
      </c>
      <c r="K1159" s="38">
        <f t="shared" si="74"/>
        <v>-1.33316125949915E-2</v>
      </c>
      <c r="L1159" s="38">
        <f t="shared" si="75"/>
        <v>-6.5789738906508266E-3</v>
      </c>
    </row>
    <row r="1160" spans="1:12">
      <c r="A1160" s="35">
        <v>44042</v>
      </c>
      <c r="B1160" s="37">
        <v>961.85</v>
      </c>
      <c r="C1160" s="37">
        <v>37606.89</v>
      </c>
      <c r="D1160" s="38">
        <f t="shared" si="72"/>
        <v>4.5640865494413763E-3</v>
      </c>
      <c r="E1160" s="38">
        <f t="shared" si="73"/>
        <v>-1.7903131947307714E-2</v>
      </c>
      <c r="H1160" s="35">
        <v>45862</v>
      </c>
      <c r="I1160" s="37">
        <v>1553.55</v>
      </c>
      <c r="J1160" s="37">
        <v>82184.17</v>
      </c>
      <c r="K1160" s="38">
        <f t="shared" si="74"/>
        <v>-2.4731234558551817E-2</v>
      </c>
      <c r="L1160" s="38">
        <f t="shared" si="75"/>
        <v>-8.8126702124193702E-3</v>
      </c>
    </row>
    <row r="1161" spans="1:12">
      <c r="A1161" s="35">
        <v>44043</v>
      </c>
      <c r="B1161" s="37">
        <v>966.25</v>
      </c>
      <c r="C1161" s="37">
        <v>36939.599999999999</v>
      </c>
      <c r="D1161" s="38">
        <f t="shared" si="72"/>
        <v>-9.253549082417576E-3</v>
      </c>
      <c r="E1161" s="38">
        <f t="shared" si="73"/>
        <v>2.0055207024732919E-2</v>
      </c>
      <c r="H1161" s="35">
        <v>45863</v>
      </c>
      <c r="I1161" s="37">
        <v>1515.6</v>
      </c>
      <c r="J1161" s="37">
        <v>81463.09</v>
      </c>
      <c r="K1161" s="38">
        <f t="shared" si="74"/>
        <v>3.2984794309023349E-4</v>
      </c>
      <c r="L1161" s="38">
        <f t="shared" si="75"/>
        <v>-7.0472175612989168E-3</v>
      </c>
    </row>
    <row r="1162" spans="1:12">
      <c r="A1162" s="35">
        <v>44046</v>
      </c>
      <c r="B1162" s="37">
        <v>957.35</v>
      </c>
      <c r="C1162" s="37">
        <v>37687.910000000003</v>
      </c>
      <c r="D1162" s="38">
        <f t="shared" si="72"/>
        <v>-7.6018086065103192E-3</v>
      </c>
      <c r="E1162" s="38">
        <f t="shared" si="73"/>
        <v>-6.52411317235245E-4</v>
      </c>
      <c r="H1162" s="35">
        <v>45866</v>
      </c>
      <c r="I1162" s="37">
        <v>1516.1</v>
      </c>
      <c r="J1162" s="37">
        <v>80891.02</v>
      </c>
      <c r="K1162" s="38">
        <f t="shared" si="74"/>
        <v>-1.4851732956491987E-3</v>
      </c>
      <c r="L1162" s="38">
        <f t="shared" si="75"/>
        <v>5.509880641996953E-3</v>
      </c>
    </row>
    <row r="1163" spans="1:12">
      <c r="A1163" s="35">
        <v>44047</v>
      </c>
      <c r="B1163" s="37">
        <v>950.1</v>
      </c>
      <c r="C1163" s="37">
        <v>37663.33</v>
      </c>
      <c r="D1163" s="38">
        <f t="shared" si="72"/>
        <v>-5.8056847506870769E-3</v>
      </c>
      <c r="E1163" s="38">
        <f t="shared" si="73"/>
        <v>9.5687303452240934E-3</v>
      </c>
      <c r="H1163" s="35">
        <v>45867</v>
      </c>
      <c r="I1163" s="37">
        <v>1513.85</v>
      </c>
      <c r="J1163" s="37">
        <v>81337.95</v>
      </c>
      <c r="K1163" s="38">
        <f t="shared" si="74"/>
        <v>3.4290646545169687E-3</v>
      </c>
      <c r="L1163" s="38">
        <f t="shared" si="75"/>
        <v>1.7677214765775379E-3</v>
      </c>
    </row>
    <row r="1164" spans="1:12">
      <c r="A1164" s="35">
        <v>44048</v>
      </c>
      <c r="B1164" s="37">
        <v>944.6</v>
      </c>
      <c r="C1164" s="37">
        <v>38025.449999999997</v>
      </c>
      <c r="D1164" s="38">
        <f t="shared" si="72"/>
        <v>2.5709431480353973E-2</v>
      </c>
      <c r="E1164" s="38">
        <f t="shared" si="73"/>
        <v>3.9754939719831945E-4</v>
      </c>
      <c r="H1164" s="35">
        <v>45868</v>
      </c>
      <c r="I1164" s="37">
        <v>1519.05</v>
      </c>
      <c r="J1164" s="37">
        <v>81481.86</v>
      </c>
      <c r="K1164" s="38">
        <f t="shared" si="74"/>
        <v>-6.903071026873246E-3</v>
      </c>
      <c r="L1164" s="38">
        <f t="shared" si="75"/>
        <v>-3.6427735953952745E-3</v>
      </c>
    </row>
    <row r="1165" spans="1:12">
      <c r="A1165" s="35">
        <v>44049</v>
      </c>
      <c r="B1165" s="37">
        <v>969.2</v>
      </c>
      <c r="C1165" s="37">
        <v>38040.57</v>
      </c>
      <c r="D1165" s="38">
        <f t="shared" si="72"/>
        <v>-1.9219842134001679E-2</v>
      </c>
      <c r="E1165" s="38">
        <f t="shared" si="73"/>
        <v>3.713073806334065E-3</v>
      </c>
      <c r="H1165" s="35">
        <v>45869</v>
      </c>
      <c r="I1165" s="37">
        <v>1508.6</v>
      </c>
      <c r="J1165" s="37">
        <v>81185.58</v>
      </c>
      <c r="K1165" s="38">
        <f t="shared" si="74"/>
        <v>-2.5511587657408619E-2</v>
      </c>
      <c r="L1165" s="38">
        <f t="shared" si="75"/>
        <v>-7.2401123037891526E-3</v>
      </c>
    </row>
    <row r="1166" spans="1:12">
      <c r="A1166" s="35">
        <v>44050</v>
      </c>
      <c r="B1166" s="37">
        <v>950.75</v>
      </c>
      <c r="C1166" s="37">
        <v>38182.080000000002</v>
      </c>
      <c r="D1166" s="38">
        <f t="shared" si="72"/>
        <v>3.6806267997083512E-4</v>
      </c>
      <c r="E1166" s="38">
        <f t="shared" si="73"/>
        <v>5.8736994180199741E-3</v>
      </c>
      <c r="H1166" s="35">
        <v>45870</v>
      </c>
      <c r="I1166" s="37">
        <v>1470.6</v>
      </c>
      <c r="J1166" s="37">
        <v>80599.91</v>
      </c>
      <c r="K1166" s="38">
        <f t="shared" si="74"/>
        <v>6.6080655240039615E-3</v>
      </c>
      <c r="L1166" s="38">
        <f t="shared" si="75"/>
        <v>5.1827061948420319E-3</v>
      </c>
    </row>
    <row r="1167" spans="1:12">
      <c r="A1167" s="35">
        <v>44053</v>
      </c>
      <c r="B1167" s="37">
        <v>951.1</v>
      </c>
      <c r="C1167" s="37">
        <v>38407.01</v>
      </c>
      <c r="D1167" s="38">
        <f t="shared" si="72"/>
        <v>-3.0537590203217973E-3</v>
      </c>
      <c r="E1167" s="38">
        <f t="shared" si="73"/>
        <v>-9.737337542647384E-4</v>
      </c>
      <c r="H1167" s="35">
        <v>45873</v>
      </c>
      <c r="I1167" s="37">
        <v>1480.35</v>
      </c>
      <c r="J1167" s="37">
        <v>81018.720000000001</v>
      </c>
      <c r="K1167" s="38">
        <f t="shared" si="74"/>
        <v>-1.4013358122478845E-2</v>
      </c>
      <c r="L1167" s="38">
        <f t="shared" si="75"/>
        <v>-3.8146582404051362E-3</v>
      </c>
    </row>
    <row r="1168" spans="1:12">
      <c r="A1168" s="35">
        <v>44054</v>
      </c>
      <c r="B1168" s="37">
        <v>948.2</v>
      </c>
      <c r="C1168" s="37">
        <v>38369.629999999997</v>
      </c>
      <c r="D1168" s="38">
        <f t="shared" si="72"/>
        <v>7.5123150174665589E-3</v>
      </c>
      <c r="E1168" s="38">
        <f t="shared" si="73"/>
        <v>-1.5425122372317028E-3</v>
      </c>
      <c r="H1168" s="35">
        <v>45874</v>
      </c>
      <c r="I1168" s="37">
        <v>1459.75</v>
      </c>
      <c r="J1168" s="37">
        <v>80710.25</v>
      </c>
      <c r="K1168" s="38">
        <f t="shared" si="74"/>
        <v>-1.6577827419241142E-2</v>
      </c>
      <c r="L1168" s="38">
        <f t="shared" si="75"/>
        <v>-2.0620860439292286E-3</v>
      </c>
    </row>
    <row r="1169" spans="1:12">
      <c r="A1169" s="35">
        <v>44055</v>
      </c>
      <c r="B1169" s="37">
        <v>955.35</v>
      </c>
      <c r="C1169" s="37">
        <v>38310.49</v>
      </c>
      <c r="D1169" s="38">
        <f t="shared" si="72"/>
        <v>-4.3008563095889409E-3</v>
      </c>
      <c r="E1169" s="38">
        <f t="shared" si="73"/>
        <v>-1.1370704925603407E-2</v>
      </c>
      <c r="H1169" s="35">
        <v>45875</v>
      </c>
      <c r="I1169" s="37">
        <v>1435.75</v>
      </c>
      <c r="J1169" s="37">
        <v>80543.990000000005</v>
      </c>
      <c r="K1169" s="38">
        <f t="shared" si="74"/>
        <v>1.3224753093309318E-3</v>
      </c>
      <c r="L1169" s="38">
        <f t="shared" si="75"/>
        <v>9.8369869054918172E-4</v>
      </c>
    </row>
    <row r="1170" spans="1:12">
      <c r="A1170" s="35">
        <v>44056</v>
      </c>
      <c r="B1170" s="37">
        <v>951.25</v>
      </c>
      <c r="C1170" s="37">
        <v>37877.339999999997</v>
      </c>
      <c r="D1170" s="38">
        <f t="shared" si="72"/>
        <v>2.3625158645782175E-3</v>
      </c>
      <c r="E1170" s="38">
        <f t="shared" si="73"/>
        <v>4.5685393412451033E-3</v>
      </c>
      <c r="H1170" s="35">
        <v>45876</v>
      </c>
      <c r="I1170" s="37">
        <v>1437.65</v>
      </c>
      <c r="J1170" s="37">
        <v>80623.259999999995</v>
      </c>
      <c r="K1170" s="38">
        <f t="shared" si="74"/>
        <v>-9.7858398091258993E-3</v>
      </c>
      <c r="L1170" s="38">
        <f t="shared" si="75"/>
        <v>-9.5397656640470712E-3</v>
      </c>
    </row>
    <row r="1171" spans="1:12">
      <c r="A1171" s="35">
        <v>44057</v>
      </c>
      <c r="B1171" s="37">
        <v>953.5</v>
      </c>
      <c r="C1171" s="37">
        <v>38050.78</v>
      </c>
      <c r="D1171" s="38">
        <f t="shared" si="72"/>
        <v>4.1862960143273743E-3</v>
      </c>
      <c r="E1171" s="38">
        <f t="shared" si="73"/>
        <v>1.247197185914869E-2</v>
      </c>
      <c r="H1171" s="35">
        <v>45877</v>
      </c>
      <c r="I1171" s="37">
        <v>1423.65</v>
      </c>
      <c r="J1171" s="37">
        <v>79857.789999999994</v>
      </c>
      <c r="K1171" s="38">
        <f t="shared" si="74"/>
        <v>3.0508676549186992E-3</v>
      </c>
      <c r="L1171" s="38">
        <f t="shared" si="75"/>
        <v>9.3018407551517628E-3</v>
      </c>
    </row>
    <row r="1172" spans="1:12">
      <c r="A1172" s="35">
        <v>44060</v>
      </c>
      <c r="B1172" s="37">
        <v>957.5</v>
      </c>
      <c r="C1172" s="37">
        <v>38528.32</v>
      </c>
      <c r="D1172" s="38">
        <f t="shared" si="72"/>
        <v>1.0027881293305688E-2</v>
      </c>
      <c r="E1172" s="38">
        <f t="shared" si="73"/>
        <v>2.2418084055565541E-3</v>
      </c>
      <c r="H1172" s="35">
        <v>45880</v>
      </c>
      <c r="I1172" s="37">
        <v>1428</v>
      </c>
      <c r="J1172" s="37">
        <v>80604.08</v>
      </c>
      <c r="K1172" s="38">
        <f t="shared" si="74"/>
        <v>-2.7348286741477523E-3</v>
      </c>
      <c r="L1172" s="38">
        <f t="shared" si="75"/>
        <v>-4.5820865551343968E-3</v>
      </c>
    </row>
    <row r="1173" spans="1:12">
      <c r="A1173" s="35">
        <v>44061</v>
      </c>
      <c r="B1173" s="37">
        <v>967.15</v>
      </c>
      <c r="C1173" s="37">
        <v>38614.79</v>
      </c>
      <c r="D1173" s="38">
        <f t="shared" si="72"/>
        <v>-8.1497505242048816E-3</v>
      </c>
      <c r="E1173" s="38">
        <f t="shared" si="73"/>
        <v>-1.0266220863563028E-2</v>
      </c>
      <c r="H1173" s="35">
        <v>45881</v>
      </c>
      <c r="I1173" s="37">
        <v>1424.1</v>
      </c>
      <c r="J1173" s="37">
        <v>80235.59</v>
      </c>
      <c r="K1173" s="38">
        <f t="shared" si="74"/>
        <v>1.3332867488591866E-3</v>
      </c>
      <c r="L1173" s="38">
        <f t="shared" si="75"/>
        <v>3.7856559418433687E-3</v>
      </c>
    </row>
    <row r="1174" spans="1:12">
      <c r="A1174" s="35">
        <v>44062</v>
      </c>
      <c r="B1174" s="37">
        <v>959.3</v>
      </c>
      <c r="C1174" s="37">
        <v>38220.39</v>
      </c>
      <c r="D1174" s="38">
        <f t="shared" si="72"/>
        <v>-4.4401566927579047E-3</v>
      </c>
      <c r="E1174" s="38">
        <f t="shared" si="73"/>
        <v>5.5920749061927153E-3</v>
      </c>
      <c r="H1174" s="35">
        <v>45882</v>
      </c>
      <c r="I1174" s="37">
        <v>1426</v>
      </c>
      <c r="J1174" s="37">
        <v>80539.91</v>
      </c>
      <c r="K1174" s="38">
        <f t="shared" si="74"/>
        <v>1.493006556197457E-2</v>
      </c>
      <c r="L1174" s="38">
        <f t="shared" si="75"/>
        <v>7.1677886755436987E-4</v>
      </c>
    </row>
    <row r="1175" spans="1:12">
      <c r="A1175" s="35">
        <v>44063</v>
      </c>
      <c r="B1175" s="37">
        <v>955.05</v>
      </c>
      <c r="C1175" s="37">
        <v>38434.720000000001</v>
      </c>
      <c r="D1175" s="38">
        <f t="shared" si="72"/>
        <v>-6.512970131156065E-3</v>
      </c>
      <c r="E1175" s="38">
        <f t="shared" si="73"/>
        <v>9.4353172600122968E-3</v>
      </c>
      <c r="H1175" s="35">
        <v>45883</v>
      </c>
      <c r="I1175" s="37">
        <v>1447.45</v>
      </c>
      <c r="J1175" s="37">
        <v>80597.66</v>
      </c>
      <c r="K1175" s="38">
        <f t="shared" si="74"/>
        <v>-8.2205072627636773E-3</v>
      </c>
      <c r="L1175" s="38">
        <f t="shared" si="75"/>
        <v>8.3534693555106579E-3</v>
      </c>
    </row>
    <row r="1176" spans="1:12">
      <c r="A1176" s="35">
        <v>44064</v>
      </c>
      <c r="B1176" s="37">
        <v>948.85</v>
      </c>
      <c r="C1176" s="37">
        <v>38799.08</v>
      </c>
      <c r="D1176" s="38">
        <f t="shared" si="72"/>
        <v>-1.7404608702465492E-3</v>
      </c>
      <c r="E1176" s="38">
        <f t="shared" si="73"/>
        <v>1.1540004392345659E-3</v>
      </c>
      <c r="H1176" s="35">
        <v>45887</v>
      </c>
      <c r="I1176" s="37">
        <v>1435.6</v>
      </c>
      <c r="J1176" s="37">
        <v>81273.75</v>
      </c>
      <c r="K1176" s="38">
        <f t="shared" si="74"/>
        <v>3.0602332965941701E-3</v>
      </c>
      <c r="L1176" s="38">
        <f t="shared" si="75"/>
        <v>4.5500229678224272E-3</v>
      </c>
    </row>
    <row r="1177" spans="1:12">
      <c r="A1177" s="35">
        <v>44067</v>
      </c>
      <c r="B1177" s="37">
        <v>947.2</v>
      </c>
      <c r="C1177" s="37">
        <v>38843.879999999997</v>
      </c>
      <c r="D1177" s="38">
        <f t="shared" si="72"/>
        <v>-9.3872503924596687E-3</v>
      </c>
      <c r="E1177" s="38">
        <f t="shared" si="73"/>
        <v>5.9047013229634147E-3</v>
      </c>
      <c r="H1177" s="35">
        <v>45888</v>
      </c>
      <c r="I1177" s="37">
        <v>1440</v>
      </c>
      <c r="J1177" s="37">
        <v>81644.39</v>
      </c>
      <c r="K1177" s="38">
        <f t="shared" si="74"/>
        <v>3.8051493557587308E-2</v>
      </c>
      <c r="L1177" s="38">
        <f t="shared" si="75"/>
        <v>2.6109750461601536E-3</v>
      </c>
    </row>
    <row r="1178" spans="1:12">
      <c r="A1178" s="35">
        <v>44068</v>
      </c>
      <c r="B1178" s="37">
        <v>938.35</v>
      </c>
      <c r="C1178" s="37">
        <v>39073.919999999998</v>
      </c>
      <c r="D1178" s="38">
        <f t="shared" si="72"/>
        <v>1.3180721748757144E-2</v>
      </c>
      <c r="E1178" s="38">
        <f t="shared" si="73"/>
        <v>1.011672173050612E-3</v>
      </c>
      <c r="H1178" s="35">
        <v>45889</v>
      </c>
      <c r="I1178" s="37">
        <v>1495.85</v>
      </c>
      <c r="J1178" s="37">
        <v>81857.84</v>
      </c>
      <c r="K1178" s="38">
        <f t="shared" si="74"/>
        <v>5.6807740746791786E-4</v>
      </c>
      <c r="L1178" s="38">
        <f t="shared" si="75"/>
        <v>1.7438215607865771E-3</v>
      </c>
    </row>
    <row r="1179" spans="1:12">
      <c r="A1179" s="35">
        <v>44069</v>
      </c>
      <c r="B1179" s="37">
        <v>950.8</v>
      </c>
      <c r="C1179" s="37">
        <v>39113.47</v>
      </c>
      <c r="D1179" s="38">
        <f t="shared" si="72"/>
        <v>-4.6384228218617797E-3</v>
      </c>
      <c r="E1179" s="38">
        <f t="shared" si="73"/>
        <v>9.0058253814646362E-3</v>
      </c>
      <c r="H1179" s="35">
        <v>45890</v>
      </c>
      <c r="I1179" s="37">
        <v>1496.7</v>
      </c>
      <c r="J1179" s="37">
        <v>82000.710000000006</v>
      </c>
      <c r="K1179" s="38">
        <f t="shared" si="74"/>
        <v>-6.0986014841864682E-3</v>
      </c>
      <c r="L1179" s="38">
        <f t="shared" si="75"/>
        <v>-8.4976369163543997E-3</v>
      </c>
    </row>
    <row r="1180" spans="1:12">
      <c r="A1180" s="35">
        <v>44070</v>
      </c>
      <c r="B1180" s="37">
        <v>946.4</v>
      </c>
      <c r="C1180" s="37">
        <v>39467.31</v>
      </c>
      <c r="D1180" s="38">
        <f t="shared" si="72"/>
        <v>-1.2279224052893806E-2</v>
      </c>
      <c r="E1180" s="38">
        <f t="shared" si="73"/>
        <v>-2.1487824740618906E-2</v>
      </c>
      <c r="H1180" s="35">
        <v>45891</v>
      </c>
      <c r="I1180" s="37">
        <v>1487.6</v>
      </c>
      <c r="J1180" s="37">
        <v>81306.850000000006</v>
      </c>
      <c r="K1180" s="38">
        <f t="shared" si="74"/>
        <v>2.9801556485388916E-2</v>
      </c>
      <c r="L1180" s="38">
        <f t="shared" si="75"/>
        <v>4.0389698485176831E-3</v>
      </c>
    </row>
    <row r="1181" spans="1:12">
      <c r="A1181" s="35">
        <v>44071</v>
      </c>
      <c r="B1181" s="37">
        <v>934.85</v>
      </c>
      <c r="C1181" s="37">
        <v>38628.29</v>
      </c>
      <c r="D1181" s="38">
        <f t="shared" si="72"/>
        <v>-6.8157078185227355E-3</v>
      </c>
      <c r="E1181" s="38">
        <f t="shared" si="73"/>
        <v>7.0299063816340601E-3</v>
      </c>
      <c r="H1181" s="35">
        <v>45894</v>
      </c>
      <c r="I1181" s="37">
        <v>1532.6</v>
      </c>
      <c r="J1181" s="37">
        <v>81635.91</v>
      </c>
      <c r="K1181" s="38">
        <f t="shared" si="74"/>
        <v>-1.7959481716671361E-3</v>
      </c>
      <c r="L1181" s="38">
        <f t="shared" si="75"/>
        <v>-1.0458871203565267E-2</v>
      </c>
    </row>
    <row r="1182" spans="1:12">
      <c r="A1182" s="35">
        <v>44074</v>
      </c>
      <c r="B1182" s="37">
        <v>928.5</v>
      </c>
      <c r="C1182" s="37">
        <v>38900.800000000003</v>
      </c>
      <c r="D1182" s="38">
        <f t="shared" si="72"/>
        <v>-1.5411635622379625E-2</v>
      </c>
      <c r="E1182" s="38">
        <f t="shared" si="73"/>
        <v>4.7502981802076674E-3</v>
      </c>
      <c r="H1182" s="35">
        <v>45895</v>
      </c>
      <c r="I1182" s="37">
        <v>1529.85</v>
      </c>
      <c r="J1182" s="37">
        <v>80786.539999999994</v>
      </c>
      <c r="K1182" s="38">
        <f t="shared" si="74"/>
        <v>-1.967125049654524E-2</v>
      </c>
      <c r="L1182" s="38">
        <f t="shared" si="75"/>
        <v>-8.7771146282006121E-3</v>
      </c>
    </row>
    <row r="1183" spans="1:12">
      <c r="A1183" s="35">
        <v>44075</v>
      </c>
      <c r="B1183" s="37">
        <v>914.3</v>
      </c>
      <c r="C1183" s="37">
        <v>39086.03</v>
      </c>
      <c r="D1183" s="38">
        <f t="shared" si="72"/>
        <v>1.0607437561384438E-2</v>
      </c>
      <c r="E1183" s="38">
        <f t="shared" si="73"/>
        <v>-2.4358026961123127E-3</v>
      </c>
      <c r="H1183" s="35">
        <v>45897</v>
      </c>
      <c r="I1183" s="37">
        <v>1500.05</v>
      </c>
      <c r="J1183" s="37">
        <v>80080.570000000007</v>
      </c>
      <c r="K1183" s="38">
        <f t="shared" si="74"/>
        <v>-2.0610259766621179E-2</v>
      </c>
      <c r="L1183" s="38">
        <f t="shared" si="75"/>
        <v>-3.3888284008110831E-3</v>
      </c>
    </row>
    <row r="1184" spans="1:12">
      <c r="A1184" s="35">
        <v>44076</v>
      </c>
      <c r="B1184" s="37">
        <v>924.05</v>
      </c>
      <c r="C1184" s="37">
        <v>38990.94</v>
      </c>
      <c r="D1184" s="38">
        <f t="shared" si="72"/>
        <v>1.2208062560020655E-2</v>
      </c>
      <c r="E1184" s="38">
        <f t="shared" si="73"/>
        <v>-1.6387578213945632E-2</v>
      </c>
      <c r="H1184" s="35">
        <v>45898</v>
      </c>
      <c r="I1184" s="37">
        <v>1469.45</v>
      </c>
      <c r="J1184" s="37">
        <v>79809.649999999994</v>
      </c>
      <c r="K1184" s="38">
        <f t="shared" si="74"/>
        <v>2.0210193083505558E-2</v>
      </c>
      <c r="L1184" s="38">
        <f t="shared" si="75"/>
        <v>6.9279874918637407E-3</v>
      </c>
    </row>
    <row r="1185" spans="1:12">
      <c r="A1185" s="35">
        <v>44077</v>
      </c>
      <c r="B1185" s="37">
        <v>935.4</v>
      </c>
      <c r="C1185" s="37">
        <v>38357.18</v>
      </c>
      <c r="D1185" s="38">
        <f t="shared" si="72"/>
        <v>-1.7416125110404381E-2</v>
      </c>
      <c r="E1185" s="38">
        <f t="shared" si="73"/>
        <v>1.5643236397581291E-3</v>
      </c>
      <c r="H1185" s="35">
        <v>45901</v>
      </c>
      <c r="I1185" s="37">
        <v>1499.45</v>
      </c>
      <c r="J1185" s="37">
        <v>80364.490000000005</v>
      </c>
      <c r="K1185" s="38">
        <f t="shared" si="74"/>
        <v>-1.5684707291850637E-3</v>
      </c>
      <c r="L1185" s="38">
        <f t="shared" si="75"/>
        <v>-2.5742220737683744E-3</v>
      </c>
    </row>
    <row r="1186" spans="1:12">
      <c r="A1186" s="35">
        <v>44078</v>
      </c>
      <c r="B1186" s="37">
        <v>919.25</v>
      </c>
      <c r="C1186" s="37">
        <v>38417.230000000003</v>
      </c>
      <c r="D1186" s="38">
        <f t="shared" si="72"/>
        <v>5.8571673495042059E-3</v>
      </c>
      <c r="E1186" s="38">
        <f t="shared" si="73"/>
        <v>-1.3513483890494047E-3</v>
      </c>
      <c r="H1186" s="35">
        <v>45902</v>
      </c>
      <c r="I1186" s="37">
        <v>1497.1</v>
      </c>
      <c r="J1186" s="37">
        <v>80157.88</v>
      </c>
      <c r="K1186" s="38">
        <f t="shared" si="74"/>
        <v>-1.1960900557600801E-2</v>
      </c>
      <c r="L1186" s="38">
        <f t="shared" si="75"/>
        <v>5.0997590143822026E-3</v>
      </c>
    </row>
    <row r="1187" spans="1:12">
      <c r="A1187" s="35">
        <v>44081</v>
      </c>
      <c r="B1187" s="37">
        <v>924.65</v>
      </c>
      <c r="C1187" s="37">
        <v>38365.35</v>
      </c>
      <c r="D1187" s="38">
        <f t="shared" si="72"/>
        <v>1.6517777807908515E-2</v>
      </c>
      <c r="E1187" s="38">
        <f t="shared" si="73"/>
        <v>-4.4783678452893702E-3</v>
      </c>
      <c r="H1187" s="35">
        <v>45903</v>
      </c>
      <c r="I1187" s="37">
        <v>1479.3</v>
      </c>
      <c r="J1187" s="37">
        <v>80567.710000000006</v>
      </c>
      <c r="K1187" s="38">
        <f t="shared" si="74"/>
        <v>-1.0909013726859786E-2</v>
      </c>
      <c r="L1187" s="38">
        <f t="shared" si="75"/>
        <v>1.8637737241397265E-3</v>
      </c>
    </row>
    <row r="1188" spans="1:12">
      <c r="A1188" s="35">
        <v>44082</v>
      </c>
      <c r="B1188" s="37">
        <v>940.05</v>
      </c>
      <c r="C1188" s="37">
        <v>38193.919999999998</v>
      </c>
      <c r="D1188" s="38">
        <f t="shared" si="72"/>
        <v>-1.2578108932907247E-2</v>
      </c>
      <c r="E1188" s="38">
        <f t="shared" si="73"/>
        <v>1.6782541676922721E-2</v>
      </c>
      <c r="H1188" s="35">
        <v>45904</v>
      </c>
      <c r="I1188" s="37">
        <v>1463.25</v>
      </c>
      <c r="J1188" s="37">
        <v>80718.009999999995</v>
      </c>
      <c r="K1188" s="38">
        <f t="shared" si="74"/>
        <v>-1.300059581692767E-2</v>
      </c>
      <c r="L1188" s="38">
        <f t="shared" si="75"/>
        <v>-8.9822898419889517E-5</v>
      </c>
    </row>
    <row r="1189" spans="1:12">
      <c r="A1189" s="35">
        <v>44083</v>
      </c>
      <c r="B1189" s="37">
        <v>928.3</v>
      </c>
      <c r="C1189" s="37">
        <v>38840.32</v>
      </c>
      <c r="D1189" s="38">
        <f t="shared" si="72"/>
        <v>1.2471725954083584E-2</v>
      </c>
      <c r="E1189" s="38">
        <f t="shared" si="73"/>
        <v>3.6630475497586668E-4</v>
      </c>
      <c r="H1189" s="35">
        <v>45905</v>
      </c>
      <c r="I1189" s="37">
        <v>1444.35</v>
      </c>
      <c r="J1189" s="37">
        <v>80710.759999999995</v>
      </c>
      <c r="K1189" s="38">
        <f t="shared" si="74"/>
        <v>-8.1335172055461962E-3</v>
      </c>
      <c r="L1189" s="38">
        <f t="shared" si="75"/>
        <v>9.4787523429988769E-4</v>
      </c>
    </row>
    <row r="1190" spans="1:12">
      <c r="A1190" s="35">
        <v>44084</v>
      </c>
      <c r="B1190" s="37">
        <v>939.95</v>
      </c>
      <c r="C1190" s="37">
        <v>38854.550000000003</v>
      </c>
      <c r="D1190" s="38">
        <f t="shared" si="72"/>
        <v>5.7814359991653847E-3</v>
      </c>
      <c r="E1190" s="38">
        <f t="shared" si="73"/>
        <v>-2.5233491349337615E-3</v>
      </c>
      <c r="H1190" s="35">
        <v>45908</v>
      </c>
      <c r="I1190" s="37">
        <v>1432.65</v>
      </c>
      <c r="J1190" s="37">
        <v>80787.3</v>
      </c>
      <c r="K1190" s="38">
        <f t="shared" si="74"/>
        <v>4.9100895279023948E-2</v>
      </c>
      <c r="L1190" s="38">
        <f t="shared" si="75"/>
        <v>3.879462235693484E-3</v>
      </c>
    </row>
    <row r="1191" spans="1:12">
      <c r="A1191" s="35">
        <v>44085</v>
      </c>
      <c r="B1191" s="37">
        <v>945.4</v>
      </c>
      <c r="C1191" s="37">
        <v>38756.629999999997</v>
      </c>
      <c r="D1191" s="38">
        <f t="shared" si="72"/>
        <v>3.3850425624390834E-2</v>
      </c>
      <c r="E1191" s="38">
        <f t="shared" si="73"/>
        <v>7.3963415798408922E-3</v>
      </c>
      <c r="H1191" s="35">
        <v>45909</v>
      </c>
      <c r="I1191" s="37">
        <v>1504.75</v>
      </c>
      <c r="J1191" s="37">
        <v>81101.320000000007</v>
      </c>
      <c r="K1191" s="38">
        <f t="shared" si="74"/>
        <v>1.8371491874840534E-2</v>
      </c>
      <c r="L1191" s="38">
        <f t="shared" si="75"/>
        <v>3.9849561555301656E-3</v>
      </c>
    </row>
    <row r="1192" spans="1:12">
      <c r="A1192" s="35">
        <v>44088</v>
      </c>
      <c r="B1192" s="37">
        <v>977.95</v>
      </c>
      <c r="C1192" s="37">
        <v>39044.35</v>
      </c>
      <c r="D1192" s="38">
        <f t="shared" si="72"/>
        <v>4.0309261917177144E-3</v>
      </c>
      <c r="E1192" s="38">
        <f t="shared" si="73"/>
        <v>6.5988558117966133E-3</v>
      </c>
      <c r="H1192" s="35">
        <v>45910</v>
      </c>
      <c r="I1192" s="37">
        <v>1532.65</v>
      </c>
      <c r="J1192" s="37">
        <v>81425.149999999994</v>
      </c>
      <c r="K1192" s="38">
        <f t="shared" si="74"/>
        <v>-1.5219793155827187E-2</v>
      </c>
      <c r="L1192" s="38">
        <f t="shared" si="75"/>
        <v>1.5165623311634705E-3</v>
      </c>
    </row>
    <row r="1193" spans="1:12">
      <c r="A1193" s="35">
        <v>44089</v>
      </c>
      <c r="B1193" s="37">
        <v>981.9</v>
      </c>
      <c r="C1193" s="37">
        <v>39302.85</v>
      </c>
      <c r="D1193" s="38">
        <f t="shared" si="72"/>
        <v>1.9315257942463998E-2</v>
      </c>
      <c r="E1193" s="38">
        <f t="shared" si="73"/>
        <v>-8.252189385037384E-3</v>
      </c>
      <c r="H1193" s="35">
        <v>45911</v>
      </c>
      <c r="I1193" s="37">
        <v>1509.5</v>
      </c>
      <c r="J1193" s="37">
        <v>81548.73</v>
      </c>
      <c r="K1193" s="38">
        <f t="shared" si="74"/>
        <v>1.0576530611675756E-2</v>
      </c>
      <c r="L1193" s="38">
        <f t="shared" si="75"/>
        <v>4.3556205920120611E-3</v>
      </c>
    </row>
    <row r="1194" spans="1:12">
      <c r="A1194" s="35">
        <v>44090</v>
      </c>
      <c r="B1194" s="37">
        <v>1001.05</v>
      </c>
      <c r="C1194" s="37">
        <v>38979.85</v>
      </c>
      <c r="D1194" s="38">
        <f t="shared" si="72"/>
        <v>9.5442390752986158E-3</v>
      </c>
      <c r="E1194" s="38">
        <f t="shared" si="73"/>
        <v>-3.4443682272778642E-3</v>
      </c>
      <c r="H1194" s="35">
        <v>45912</v>
      </c>
      <c r="I1194" s="37">
        <v>1525.55</v>
      </c>
      <c r="J1194" s="37">
        <v>81904.7</v>
      </c>
      <c r="K1194" s="38">
        <f t="shared" si="74"/>
        <v>-1.1537575241658724E-2</v>
      </c>
      <c r="L1194" s="38">
        <f t="shared" si="75"/>
        <v>-1.4534754863242108E-3</v>
      </c>
    </row>
    <row r="1195" spans="1:12">
      <c r="A1195" s="35">
        <v>44091</v>
      </c>
      <c r="B1195" s="37">
        <v>1010.65</v>
      </c>
      <c r="C1195" s="37">
        <v>38845.82</v>
      </c>
      <c r="D1195" s="38">
        <f t="shared" si="72"/>
        <v>-8.0469339442939859E-3</v>
      </c>
      <c r="E1195" s="38">
        <f t="shared" si="73"/>
        <v>-2.1116300277104007E-2</v>
      </c>
      <c r="H1195" s="35">
        <v>45915</v>
      </c>
      <c r="I1195" s="37">
        <v>1508.05</v>
      </c>
      <c r="J1195" s="37">
        <v>81785.740000000005</v>
      </c>
      <c r="K1195" s="38">
        <f t="shared" si="74"/>
        <v>2.1858656116791777E-3</v>
      </c>
      <c r="L1195" s="38">
        <f t="shared" si="75"/>
        <v>7.2481640087189237E-3</v>
      </c>
    </row>
    <row r="1196" spans="1:12">
      <c r="A1196" s="35">
        <v>44092</v>
      </c>
      <c r="B1196" s="37">
        <v>1002.55</v>
      </c>
      <c r="C1196" s="37">
        <v>38034.14</v>
      </c>
      <c r="D1196" s="38">
        <f t="shared" si="72"/>
        <v>6.7102669961009677E-3</v>
      </c>
      <c r="E1196" s="38">
        <f t="shared" si="73"/>
        <v>-7.9205125493249581E-3</v>
      </c>
      <c r="H1196" s="35">
        <v>45916</v>
      </c>
      <c r="I1196" s="37">
        <v>1511.35</v>
      </c>
      <c r="J1196" s="37">
        <v>82380.69</v>
      </c>
      <c r="K1196" s="38">
        <f t="shared" si="74"/>
        <v>7.678782766572018E-3</v>
      </c>
      <c r="L1196" s="38">
        <f t="shared" si="75"/>
        <v>3.7924763037424682E-3</v>
      </c>
    </row>
    <row r="1197" spans="1:12">
      <c r="A1197" s="35">
        <v>44095</v>
      </c>
      <c r="B1197" s="37">
        <v>1009.3</v>
      </c>
      <c r="C1197" s="37">
        <v>37734.080000000002</v>
      </c>
      <c r="D1197" s="38">
        <f t="shared" si="72"/>
        <v>-2.0828175146763313E-3</v>
      </c>
      <c r="E1197" s="38">
        <f t="shared" si="73"/>
        <v>-1.7415872576176273E-3</v>
      </c>
      <c r="H1197" s="35">
        <v>45917</v>
      </c>
      <c r="I1197" s="37">
        <v>1523</v>
      </c>
      <c r="J1197" s="37">
        <v>82693.710000000006</v>
      </c>
      <c r="K1197" s="38">
        <f t="shared" si="74"/>
        <v>1.1262666999518283E-2</v>
      </c>
      <c r="L1197" s="38">
        <f t="shared" si="75"/>
        <v>3.8652453288902824E-3</v>
      </c>
    </row>
    <row r="1198" spans="1:12">
      <c r="A1198" s="35">
        <v>44096</v>
      </c>
      <c r="B1198" s="37">
        <v>1007.2</v>
      </c>
      <c r="C1198" s="37">
        <v>37668.42</v>
      </c>
      <c r="D1198" s="38">
        <f t="shared" si="72"/>
        <v>1.2285227408218696E-2</v>
      </c>
      <c r="E1198" s="38">
        <f t="shared" si="73"/>
        <v>-3.0042401075950482E-2</v>
      </c>
      <c r="H1198" s="35">
        <v>45918</v>
      </c>
      <c r="I1198" s="37">
        <v>1540.25</v>
      </c>
      <c r="J1198" s="37">
        <v>83013.960000000006</v>
      </c>
      <c r="K1198" s="38">
        <f t="shared" si="74"/>
        <v>3.2461735731925564E-5</v>
      </c>
      <c r="L1198" s="38">
        <f t="shared" si="75"/>
        <v>-4.681601828264853E-3</v>
      </c>
    </row>
    <row r="1199" spans="1:12">
      <c r="A1199" s="35">
        <v>44097</v>
      </c>
      <c r="B1199" s="37">
        <v>1019.65</v>
      </c>
      <c r="C1199" s="37">
        <v>36553.599999999999</v>
      </c>
      <c r="D1199" s="38">
        <f t="shared" si="72"/>
        <v>-4.4418329197414438E-2</v>
      </c>
      <c r="E1199" s="38">
        <f t="shared" si="73"/>
        <v>2.2587773329837496E-2</v>
      </c>
      <c r="H1199" s="35">
        <v>45919</v>
      </c>
      <c r="I1199" s="37">
        <v>1540.3</v>
      </c>
      <c r="J1199" s="37">
        <v>82626.23</v>
      </c>
      <c r="K1199" s="38">
        <f t="shared" si="74"/>
        <v>-2.6445430095567348E-2</v>
      </c>
      <c r="L1199" s="38">
        <f t="shared" si="75"/>
        <v>-5.6589841175509392E-3</v>
      </c>
    </row>
    <row r="1200" spans="1:12">
      <c r="A1200" s="35">
        <v>44098</v>
      </c>
      <c r="B1200" s="37">
        <v>975.35</v>
      </c>
      <c r="C1200" s="37">
        <v>37388.660000000003</v>
      </c>
      <c r="D1200" s="38">
        <f t="shared" si="72"/>
        <v>3.5948292840796994E-2</v>
      </c>
      <c r="E1200" s="38">
        <f t="shared" si="73"/>
        <v>1.5735171900797276E-2</v>
      </c>
      <c r="H1200" s="35">
        <v>45922</v>
      </c>
      <c r="I1200" s="37">
        <v>1500.1</v>
      </c>
      <c r="J1200" s="37">
        <v>82159.97</v>
      </c>
      <c r="K1200" s="38">
        <f t="shared" si="74"/>
        <v>-1.5677905708102386E-3</v>
      </c>
      <c r="L1200" s="38">
        <f t="shared" si="75"/>
        <v>-7.0460578506305132E-4</v>
      </c>
    </row>
    <row r="1201" spans="1:12">
      <c r="A1201" s="35">
        <v>44099</v>
      </c>
      <c r="B1201" s="37">
        <v>1011.05</v>
      </c>
      <c r="C1201" s="37">
        <v>37981.629999999997</v>
      </c>
      <c r="D1201" s="38">
        <f t="shared" si="72"/>
        <v>-1.5342360288464342E-3</v>
      </c>
      <c r="E1201" s="38">
        <f t="shared" si="73"/>
        <v>-2.21447347585148E-4</v>
      </c>
      <c r="H1201" s="35">
        <v>45923</v>
      </c>
      <c r="I1201" s="37">
        <v>1497.75</v>
      </c>
      <c r="J1201" s="37">
        <v>82102.100000000006</v>
      </c>
      <c r="K1201" s="38">
        <f t="shared" si="74"/>
        <v>-2.3730354223334446E-3</v>
      </c>
      <c r="L1201" s="38">
        <f t="shared" si="75"/>
        <v>-4.7183014558664325E-3</v>
      </c>
    </row>
    <row r="1202" spans="1:12">
      <c r="A1202" s="35">
        <v>44102</v>
      </c>
      <c r="B1202" s="37">
        <v>1009.5</v>
      </c>
      <c r="C1202" s="37">
        <v>37973.22</v>
      </c>
      <c r="D1202" s="38">
        <f t="shared" si="72"/>
        <v>7.4266620569086799E-4</v>
      </c>
      <c r="E1202" s="38">
        <f t="shared" si="73"/>
        <v>2.4910209531135014E-3</v>
      </c>
      <c r="H1202" s="35">
        <v>45924</v>
      </c>
      <c r="I1202" s="37">
        <v>1494.2</v>
      </c>
      <c r="J1202" s="37">
        <v>81715.63</v>
      </c>
      <c r="K1202" s="38">
        <f t="shared" si="74"/>
        <v>-6.4118923198996794E-3</v>
      </c>
      <c r="L1202" s="38">
        <f t="shared" si="75"/>
        <v>-6.8267211172575379E-3</v>
      </c>
    </row>
    <row r="1203" spans="1:12">
      <c r="A1203" s="35">
        <v>44103</v>
      </c>
      <c r="B1203" s="37">
        <v>1010.25</v>
      </c>
      <c r="C1203" s="37">
        <v>38067.93</v>
      </c>
      <c r="D1203" s="38">
        <f t="shared" si="72"/>
        <v>-2.2296553272690921E-3</v>
      </c>
      <c r="E1203" s="38">
        <f t="shared" si="73"/>
        <v>1.6391174346446415E-2</v>
      </c>
      <c r="H1203" s="35">
        <v>45925</v>
      </c>
      <c r="I1203" s="37">
        <v>1484.65</v>
      </c>
      <c r="J1203" s="37">
        <v>81159.679999999993</v>
      </c>
      <c r="K1203" s="38">
        <f t="shared" si="74"/>
        <v>-2.4581481460575698E-2</v>
      </c>
      <c r="L1203" s="38">
        <f t="shared" si="75"/>
        <v>-9.0753456013282496E-3</v>
      </c>
    </row>
    <row r="1204" spans="1:12">
      <c r="A1204" s="35">
        <v>44104</v>
      </c>
      <c r="B1204" s="37">
        <v>1008</v>
      </c>
      <c r="C1204" s="37">
        <v>38697.050000000003</v>
      </c>
      <c r="D1204" s="38">
        <f t="shared" si="72"/>
        <v>9.5770095665720194E-3</v>
      </c>
      <c r="E1204" s="38">
        <f t="shared" si="73"/>
        <v>7.1236899328984788E-3</v>
      </c>
      <c r="H1204" s="35">
        <v>45926</v>
      </c>
      <c r="I1204" s="37">
        <v>1448.6</v>
      </c>
      <c r="J1204" s="37">
        <v>80426.460000000006</v>
      </c>
      <c r="K1204" s="38">
        <f t="shared" si="74"/>
        <v>-5.7461475562212419E-3</v>
      </c>
      <c r="L1204" s="38">
        <f t="shared" si="75"/>
        <v>-7.6521509237366294E-4</v>
      </c>
    </row>
    <row r="1205" spans="1:12">
      <c r="A1205" s="35">
        <v>44105</v>
      </c>
      <c r="B1205" s="37">
        <v>1017.7</v>
      </c>
      <c r="C1205" s="37">
        <v>38973.699999999997</v>
      </c>
      <c r="D1205" s="38">
        <f t="shared" si="72"/>
        <v>2.9529228170180114E-2</v>
      </c>
      <c r="E1205" s="38">
        <f t="shared" si="73"/>
        <v>1.5299680589690855E-2</v>
      </c>
      <c r="H1205" s="35">
        <v>45929</v>
      </c>
      <c r="I1205" s="37">
        <v>1440.3</v>
      </c>
      <c r="J1205" s="37">
        <v>80364.94</v>
      </c>
      <c r="K1205" s="38">
        <f t="shared" si="74"/>
        <v>1.214287102558778E-3</v>
      </c>
      <c r="L1205" s="38">
        <f t="shared" si="75"/>
        <v>-1.2117096547230334E-3</v>
      </c>
    </row>
    <row r="1206" spans="1:12">
      <c r="A1206" s="35">
        <v>44109</v>
      </c>
      <c r="B1206" s="37">
        <v>1048.2</v>
      </c>
      <c r="C1206" s="37">
        <v>39574.57</v>
      </c>
      <c r="D1206" s="38">
        <f t="shared" si="72"/>
        <v>7.1770074459870442E-3</v>
      </c>
      <c r="E1206" s="38">
        <f t="shared" si="73"/>
        <v>7.6618754973731759E-3</v>
      </c>
      <c r="H1206" s="35">
        <v>45930</v>
      </c>
      <c r="I1206" s="37">
        <v>1442.05</v>
      </c>
      <c r="J1206" s="37">
        <v>80267.62</v>
      </c>
      <c r="K1206" s="38">
        <f t="shared" si="74"/>
        <v>2.4933350867583507E-3</v>
      </c>
      <c r="L1206" s="38">
        <f t="shared" si="75"/>
        <v>8.8767822861958393E-3</v>
      </c>
    </row>
    <row r="1207" spans="1:12">
      <c r="A1207" s="35">
        <v>44110</v>
      </c>
      <c r="B1207" s="37">
        <v>1055.75</v>
      </c>
      <c r="C1207" s="37">
        <v>39878.949999999997</v>
      </c>
      <c r="D1207" s="38">
        <f t="shared" si="72"/>
        <v>1.017772532377369E-2</v>
      </c>
      <c r="E1207" s="38">
        <f t="shared" si="73"/>
        <v>7.5871923895897619E-3</v>
      </c>
      <c r="H1207" s="35">
        <v>45931</v>
      </c>
      <c r="I1207" s="37">
        <v>1445.65</v>
      </c>
      <c r="J1207" s="37">
        <v>80983.31</v>
      </c>
      <c r="K1207" s="38">
        <f t="shared" si="74"/>
        <v>6.2236361873331482E-4</v>
      </c>
      <c r="L1207" s="38">
        <f t="shared" si="75"/>
        <v>2.7604597033519807E-3</v>
      </c>
    </row>
    <row r="1208" spans="1:12">
      <c r="A1208" s="35">
        <v>44111</v>
      </c>
      <c r="B1208" s="37">
        <v>1066.55</v>
      </c>
      <c r="C1208" s="37">
        <v>40182.67</v>
      </c>
      <c r="D1208" s="38">
        <f t="shared" si="72"/>
        <v>2.5411563844099812E-2</v>
      </c>
      <c r="E1208" s="38">
        <f t="shared" si="73"/>
        <v>8.1004595016204682E-3</v>
      </c>
      <c r="H1208" s="35">
        <v>45933</v>
      </c>
      <c r="I1208" s="37">
        <v>1446.55</v>
      </c>
      <c r="J1208" s="37">
        <v>81207.17</v>
      </c>
      <c r="K1208" s="38">
        <f t="shared" si="74"/>
        <v>1.9578268505542451E-2</v>
      </c>
      <c r="L1208" s="38">
        <f t="shared" si="75"/>
        <v>7.1529101558482841E-3</v>
      </c>
    </row>
    <row r="1209" spans="1:12">
      <c r="A1209" s="35">
        <v>44112</v>
      </c>
      <c r="B1209" s="37">
        <v>1094</v>
      </c>
      <c r="C1209" s="37">
        <v>40509.49</v>
      </c>
      <c r="D1209" s="38">
        <f t="shared" si="72"/>
        <v>1.2309664645143553E-2</v>
      </c>
      <c r="E1209" s="38">
        <f t="shared" si="73"/>
        <v>2.0790779355466492E-3</v>
      </c>
      <c r="H1209" s="35">
        <v>45936</v>
      </c>
      <c r="I1209" s="37">
        <v>1475.15</v>
      </c>
      <c r="J1209" s="37">
        <v>81790.12</v>
      </c>
      <c r="K1209" s="38">
        <f t="shared" si="74"/>
        <v>-1.2998050801738357E-2</v>
      </c>
      <c r="L1209" s="38">
        <f t="shared" si="75"/>
        <v>1.6691014398185714E-3</v>
      </c>
    </row>
    <row r="1210" spans="1:12">
      <c r="A1210" s="35">
        <v>44113</v>
      </c>
      <c r="B1210" s="37">
        <v>1107.55</v>
      </c>
      <c r="C1210" s="37">
        <v>40593.800000000003</v>
      </c>
      <c r="D1210" s="38">
        <f t="shared" si="72"/>
        <v>2.2100593692923574E-2</v>
      </c>
      <c r="E1210" s="38">
        <f t="shared" si="73"/>
        <v>7.8084883043686804E-4</v>
      </c>
      <c r="H1210" s="35">
        <v>45937</v>
      </c>
      <c r="I1210" s="37">
        <v>1456.1</v>
      </c>
      <c r="J1210" s="37">
        <v>81926.75</v>
      </c>
      <c r="K1210" s="38">
        <f t="shared" si="74"/>
        <v>2.6331132732584302E-2</v>
      </c>
      <c r="L1210" s="38">
        <f t="shared" si="75"/>
        <v>-1.8703684936314496E-3</v>
      </c>
    </row>
    <row r="1211" spans="1:12">
      <c r="A1211" s="35">
        <v>44116</v>
      </c>
      <c r="B1211" s="37">
        <v>1132.3</v>
      </c>
      <c r="C1211" s="37">
        <v>40625.51</v>
      </c>
      <c r="D1211" s="38">
        <f t="shared" si="72"/>
        <v>2.2443416812946766E-2</v>
      </c>
      <c r="E1211" s="38">
        <f t="shared" si="73"/>
        <v>4.1569571131321766E-3</v>
      </c>
      <c r="H1211" s="35">
        <v>45938</v>
      </c>
      <c r="I1211" s="37">
        <v>1494.95</v>
      </c>
      <c r="J1211" s="37">
        <v>81773.66</v>
      </c>
      <c r="K1211" s="38">
        <f t="shared" si="74"/>
        <v>9.6194594013250187E-3</v>
      </c>
      <c r="L1211" s="38">
        <f t="shared" si="75"/>
        <v>4.8606415250531665E-3</v>
      </c>
    </row>
    <row r="1212" spans="1:12">
      <c r="A1212" s="35">
        <v>44117</v>
      </c>
      <c r="B1212" s="37">
        <v>1158</v>
      </c>
      <c r="C1212" s="37">
        <v>40794.74</v>
      </c>
      <c r="D1212" s="38">
        <f t="shared" si="72"/>
        <v>-1.9093034557081764E-2</v>
      </c>
      <c r="E1212" s="38">
        <f t="shared" si="73"/>
        <v>-2.6486602640625592E-2</v>
      </c>
      <c r="H1212" s="35">
        <v>45939</v>
      </c>
      <c r="I1212" s="37">
        <v>1509.4</v>
      </c>
      <c r="J1212" s="37">
        <v>82172.100000000006</v>
      </c>
      <c r="K1212" s="38">
        <f t="shared" si="74"/>
        <v>3.2080460102884953E-3</v>
      </c>
      <c r="L1212" s="38">
        <f t="shared" si="75"/>
        <v>3.9924042961068202E-3</v>
      </c>
    </row>
    <row r="1213" spans="1:12">
      <c r="A1213" s="35">
        <v>44118</v>
      </c>
      <c r="B1213" s="37">
        <v>1136.0999999999999</v>
      </c>
      <c r="C1213" s="37">
        <v>39728.410000000003</v>
      </c>
      <c r="D1213" s="38">
        <f t="shared" si="72"/>
        <v>-2.5044756268629641E-2</v>
      </c>
      <c r="E1213" s="38">
        <f t="shared" si="73"/>
        <v>6.3873146733609085E-3</v>
      </c>
      <c r="H1213" s="35">
        <v>45940</v>
      </c>
      <c r="I1213" s="37">
        <v>1514.25</v>
      </c>
      <c r="J1213" s="37">
        <v>82500.820000000007</v>
      </c>
      <c r="K1213" s="38">
        <f t="shared" si="74"/>
        <v>-1.4132748321866133E-2</v>
      </c>
      <c r="L1213" s="38">
        <f t="shared" si="75"/>
        <v>-2.1085034269835499E-3</v>
      </c>
    </row>
    <row r="1214" spans="1:12">
      <c r="A1214" s="35">
        <v>44119</v>
      </c>
      <c r="B1214" s="37">
        <v>1108</v>
      </c>
      <c r="C1214" s="37">
        <v>39982.980000000003</v>
      </c>
      <c r="D1214" s="38">
        <f t="shared" si="72"/>
        <v>1.7534891932728176E-2</v>
      </c>
      <c r="E1214" s="38">
        <f t="shared" si="73"/>
        <v>1.1157793879839136E-2</v>
      </c>
      <c r="H1214" s="35">
        <v>45943</v>
      </c>
      <c r="I1214" s="37">
        <v>1493</v>
      </c>
      <c r="J1214" s="37">
        <v>82327.05</v>
      </c>
      <c r="K1214" s="38">
        <f t="shared" si="74"/>
        <v>-2.1456357970144808E-3</v>
      </c>
      <c r="L1214" s="38">
        <f t="shared" si="75"/>
        <v>-3.6149390568061346E-3</v>
      </c>
    </row>
    <row r="1215" spans="1:12">
      <c r="A1215" s="35">
        <v>44120</v>
      </c>
      <c r="B1215" s="37">
        <v>1127.5999999999999</v>
      </c>
      <c r="C1215" s="37">
        <v>40431.599999999999</v>
      </c>
      <c r="D1215" s="38">
        <f t="shared" si="72"/>
        <v>-1.8196751797850161E-3</v>
      </c>
      <c r="E1215" s="38">
        <f t="shared" si="73"/>
        <v>2.785272542048748E-3</v>
      </c>
      <c r="H1215" s="35">
        <v>45944</v>
      </c>
      <c r="I1215" s="37">
        <v>1489.8</v>
      </c>
      <c r="J1215" s="37">
        <v>82029.98</v>
      </c>
      <c r="K1215" s="38">
        <f t="shared" si="74"/>
        <v>-1.07299338994636E-2</v>
      </c>
      <c r="L1215" s="38">
        <f t="shared" si="75"/>
        <v>6.9906266636516109E-3</v>
      </c>
    </row>
    <row r="1216" spans="1:12">
      <c r="A1216" s="35">
        <v>44123</v>
      </c>
      <c r="B1216" s="37">
        <v>1125.55</v>
      </c>
      <c r="C1216" s="37">
        <v>40544.370000000003</v>
      </c>
      <c r="D1216" s="38">
        <f t="shared" si="72"/>
        <v>1.0165384097265766E-2</v>
      </c>
      <c r="E1216" s="38">
        <f t="shared" si="73"/>
        <v>4.0107532157593511E-3</v>
      </c>
      <c r="H1216" s="35">
        <v>45945</v>
      </c>
      <c r="I1216" s="37">
        <v>1473.9</v>
      </c>
      <c r="J1216" s="37">
        <v>82605.429999999993</v>
      </c>
      <c r="K1216" s="38">
        <f t="shared" si="74"/>
        <v>-7.8054744091562078E-4</v>
      </c>
      <c r="L1216" s="38">
        <f t="shared" si="75"/>
        <v>1.0383834580443209E-2</v>
      </c>
    </row>
    <row r="1217" spans="1:12">
      <c r="A1217" s="35">
        <v>44124</v>
      </c>
      <c r="B1217" s="37">
        <v>1137.05</v>
      </c>
      <c r="C1217" s="37">
        <v>40707.31</v>
      </c>
      <c r="D1217" s="38">
        <f t="shared" si="72"/>
        <v>9.845398624705284E-3</v>
      </c>
      <c r="E1217" s="38">
        <f t="shared" si="73"/>
        <v>-3.6625534076969147E-3</v>
      </c>
      <c r="H1217" s="35">
        <v>45946</v>
      </c>
      <c r="I1217" s="37">
        <v>1472.75</v>
      </c>
      <c r="J1217" s="37">
        <v>83467.66</v>
      </c>
      <c r="K1217" s="38">
        <f t="shared" si="74"/>
        <v>-2.1585917312739684E-2</v>
      </c>
      <c r="L1217" s="38">
        <f t="shared" si="75"/>
        <v>5.7882186943284744E-3</v>
      </c>
    </row>
    <row r="1218" spans="1:12">
      <c r="A1218" s="35">
        <v>44125</v>
      </c>
      <c r="B1218" s="37">
        <v>1148.3</v>
      </c>
      <c r="C1218" s="37">
        <v>40558.49</v>
      </c>
      <c r="D1218" s="38">
        <f t="shared" si="72"/>
        <v>-1.5932220522545927E-2</v>
      </c>
      <c r="E1218" s="38">
        <f t="shared" si="73"/>
        <v>3.1266338216302089E-3</v>
      </c>
      <c r="H1218" s="35">
        <v>45947</v>
      </c>
      <c r="I1218" s="37">
        <v>1441.3</v>
      </c>
      <c r="J1218" s="37">
        <v>83952.19</v>
      </c>
      <c r="K1218" s="38">
        <f t="shared" si="74"/>
        <v>1.3917821462243551E-2</v>
      </c>
      <c r="L1218" s="38">
        <f t="shared" si="75"/>
        <v>4.8858325154465254E-3</v>
      </c>
    </row>
    <row r="1219" spans="1:12">
      <c r="A1219" s="35">
        <v>44126</v>
      </c>
      <c r="B1219" s="37">
        <v>1130.1500000000001</v>
      </c>
      <c r="C1219" s="37">
        <v>40685.5</v>
      </c>
      <c r="D1219" s="38">
        <f t="shared" si="72"/>
        <v>-7.2375601769559374E-3</v>
      </c>
      <c r="E1219" s="38">
        <f t="shared" si="73"/>
        <v>-1.3361409204454073E-2</v>
      </c>
      <c r="H1219" s="35">
        <v>45950</v>
      </c>
      <c r="I1219" s="37">
        <v>1461.5</v>
      </c>
      <c r="J1219" s="37">
        <v>84363.37</v>
      </c>
      <c r="K1219" s="38">
        <f t="shared" si="74"/>
        <v>7.158714737520968E-3</v>
      </c>
      <c r="L1219" s="38">
        <f t="shared" si="75"/>
        <v>7.4613556621878842E-4</v>
      </c>
    </row>
    <row r="1220" spans="1:12">
      <c r="A1220" s="35">
        <v>44127</v>
      </c>
      <c r="B1220" s="37">
        <v>1122</v>
      </c>
      <c r="C1220" s="37">
        <v>40145.5</v>
      </c>
      <c r="D1220" s="38">
        <f t="shared" si="72"/>
        <v>-8.8626872578454301E-3</v>
      </c>
      <c r="E1220" s="38">
        <f t="shared" si="73"/>
        <v>9.3371498859352673E-3</v>
      </c>
      <c r="H1220" s="35">
        <v>45951</v>
      </c>
      <c r="I1220" s="37">
        <v>1472</v>
      </c>
      <c r="J1220" s="37">
        <v>84426.34</v>
      </c>
      <c r="K1220" s="38">
        <f t="shared" si="74"/>
        <v>3.7893798492280403E-2</v>
      </c>
      <c r="L1220" s="38">
        <f t="shared" si="75"/>
        <v>1.5393291135152578E-3</v>
      </c>
    </row>
    <row r="1221" spans="1:12">
      <c r="A1221" s="35">
        <v>44130</v>
      </c>
      <c r="B1221" s="37">
        <v>1112.0999999999999</v>
      </c>
      <c r="C1221" s="37">
        <v>40522.1</v>
      </c>
      <c r="D1221" s="38">
        <f t="shared" ref="D1221:D1284" si="76">LN(B1222/B1221)</f>
        <v>-1.8101889315966287E-2</v>
      </c>
      <c r="E1221" s="38">
        <f t="shared" ref="E1221:E1284" si="77">LN(C1222/C1221)</f>
        <v>-1.4908431505064192E-2</v>
      </c>
      <c r="H1221" s="35">
        <v>45953</v>
      </c>
      <c r="I1221" s="37">
        <v>1528.85</v>
      </c>
      <c r="J1221" s="37">
        <v>84556.4</v>
      </c>
      <c r="K1221" s="38">
        <f t="shared" ref="K1221:K1242" si="78">LN(I1222/I1221)</f>
        <v>-2.259148050963659E-3</v>
      </c>
      <c r="L1221" s="38">
        <f t="shared" ref="L1221:L1242" si="79">LN(J1222/J1221)</f>
        <v>-4.0827634027628332E-3</v>
      </c>
    </row>
    <row r="1222" spans="1:12">
      <c r="A1222" s="35">
        <v>44131</v>
      </c>
      <c r="B1222" s="37">
        <v>1092.1500000000001</v>
      </c>
      <c r="C1222" s="37">
        <v>39922.46</v>
      </c>
      <c r="D1222" s="38">
        <f t="shared" si="76"/>
        <v>-1.434030338197306E-2</v>
      </c>
      <c r="E1222" s="38">
        <f t="shared" si="77"/>
        <v>-4.3330052828067008E-3</v>
      </c>
      <c r="H1222" s="35">
        <v>45954</v>
      </c>
      <c r="I1222" s="37">
        <v>1525.4</v>
      </c>
      <c r="J1222" s="37">
        <v>84211.88</v>
      </c>
      <c r="K1222" s="38">
        <f t="shared" si="78"/>
        <v>-1.3596671743317659E-2</v>
      </c>
      <c r="L1222" s="38">
        <f t="shared" si="79"/>
        <v>6.709979426373169E-3</v>
      </c>
    </row>
    <row r="1223" spans="1:12">
      <c r="A1223" s="35">
        <v>44132</v>
      </c>
      <c r="B1223" s="37">
        <v>1076.5999999999999</v>
      </c>
      <c r="C1223" s="37">
        <v>39749.85</v>
      </c>
      <c r="D1223" s="38">
        <f t="shared" si="76"/>
        <v>-1.6733293855206528E-3</v>
      </c>
      <c r="E1223" s="38">
        <f t="shared" si="77"/>
        <v>-3.4217093227517626E-3</v>
      </c>
      <c r="H1223" s="35">
        <v>45957</v>
      </c>
      <c r="I1223" s="37">
        <v>1504.8</v>
      </c>
      <c r="J1223" s="37">
        <v>84778.84</v>
      </c>
      <c r="K1223" s="38">
        <f t="shared" si="78"/>
        <v>-2.7949708751923413E-3</v>
      </c>
      <c r="L1223" s="38">
        <f t="shared" si="79"/>
        <v>-1.7789116121045042E-3</v>
      </c>
    </row>
    <row r="1224" spans="1:12">
      <c r="A1224" s="35">
        <v>44133</v>
      </c>
      <c r="B1224" s="37">
        <v>1074.8</v>
      </c>
      <c r="C1224" s="37">
        <v>39614.07</v>
      </c>
      <c r="D1224" s="38">
        <f t="shared" si="76"/>
        <v>-1.3299812038306571E-2</v>
      </c>
      <c r="E1224" s="38">
        <f t="shared" si="77"/>
        <v>3.6161565593021356E-3</v>
      </c>
      <c r="H1224" s="35">
        <v>45958</v>
      </c>
      <c r="I1224" s="37">
        <v>1500.6</v>
      </c>
      <c r="J1224" s="37">
        <v>84628.160000000003</v>
      </c>
      <c r="K1224" s="38">
        <f t="shared" si="78"/>
        <v>6.7742837266733932E-3</v>
      </c>
      <c r="L1224" s="38">
        <f t="shared" si="79"/>
        <v>4.3504194678941725E-3</v>
      </c>
    </row>
    <row r="1225" spans="1:12">
      <c r="A1225" s="35">
        <v>44134</v>
      </c>
      <c r="B1225" s="37">
        <v>1060.5999999999999</v>
      </c>
      <c r="C1225" s="37">
        <v>39757.58</v>
      </c>
      <c r="D1225" s="38">
        <f t="shared" si="76"/>
        <v>1.0691276927717808E-2</v>
      </c>
      <c r="E1225" s="38">
        <f t="shared" si="77"/>
        <v>1.2585972633747734E-2</v>
      </c>
      <c r="H1225" s="35">
        <v>45959</v>
      </c>
      <c r="I1225" s="37">
        <v>1510.8</v>
      </c>
      <c r="J1225" s="37">
        <v>84997.13</v>
      </c>
      <c r="K1225" s="38">
        <f t="shared" si="78"/>
        <v>-1.1449998610788992E-2</v>
      </c>
      <c r="L1225" s="38">
        <f t="shared" si="79"/>
        <v>-6.9972474067602954E-3</v>
      </c>
    </row>
    <row r="1226" spans="1:12">
      <c r="A1226" s="35">
        <v>44137</v>
      </c>
      <c r="B1226" s="37">
        <v>1072</v>
      </c>
      <c r="C1226" s="37">
        <v>40261.129999999997</v>
      </c>
      <c r="D1226" s="38">
        <f t="shared" si="76"/>
        <v>-9.419221916491527E-3</v>
      </c>
      <c r="E1226" s="38">
        <f t="shared" si="77"/>
        <v>8.7790371780103339E-3</v>
      </c>
      <c r="H1226" s="35">
        <v>45960</v>
      </c>
      <c r="I1226" s="37">
        <v>1493.6</v>
      </c>
      <c r="J1226" s="37">
        <v>84404.46</v>
      </c>
      <c r="K1226" s="38">
        <f t="shared" si="78"/>
        <v>-7.4594613556322308E-3</v>
      </c>
      <c r="L1226" s="38">
        <f t="shared" si="79"/>
        <v>-5.5333541403649166E-3</v>
      </c>
    </row>
    <row r="1227" spans="1:12">
      <c r="A1227" s="35">
        <v>44138</v>
      </c>
      <c r="B1227" s="37">
        <v>1061.95</v>
      </c>
      <c r="C1227" s="37">
        <v>40616.14</v>
      </c>
      <c r="D1227" s="38">
        <f t="shared" si="76"/>
        <v>2.9733863267670781E-2</v>
      </c>
      <c r="E1227" s="38">
        <f t="shared" si="77"/>
        <v>1.7668900033002009E-2</v>
      </c>
      <c r="H1227" s="35">
        <v>45961</v>
      </c>
      <c r="I1227" s="37">
        <v>1482.5</v>
      </c>
      <c r="J1227" s="37">
        <v>83938.71</v>
      </c>
      <c r="K1227" s="38">
        <f t="shared" si="78"/>
        <v>1.9205828300295699E-3</v>
      </c>
      <c r="L1227" s="38">
        <f t="shared" si="79"/>
        <v>4.7380495558743983E-4</v>
      </c>
    </row>
    <row r="1228" spans="1:12">
      <c r="A1228" s="35">
        <v>44139</v>
      </c>
      <c r="B1228" s="37">
        <v>1094</v>
      </c>
      <c r="C1228" s="37">
        <v>41340.160000000003</v>
      </c>
      <c r="D1228" s="38">
        <f t="shared" si="76"/>
        <v>9.0086600423796639E-3</v>
      </c>
      <c r="E1228" s="38">
        <f t="shared" si="77"/>
        <v>1.3285756161662159E-2</v>
      </c>
      <c r="H1228" s="35">
        <v>45964</v>
      </c>
      <c r="I1228" s="37">
        <v>1485.35</v>
      </c>
      <c r="J1228" s="37">
        <v>83978.49</v>
      </c>
      <c r="K1228" s="38">
        <f t="shared" si="78"/>
        <v>-1.1749504527449054E-2</v>
      </c>
      <c r="L1228" s="38">
        <f t="shared" si="79"/>
        <v>-6.2034040308422394E-3</v>
      </c>
    </row>
    <row r="1229" spans="1:12">
      <c r="A1229" s="35">
        <v>44140</v>
      </c>
      <c r="B1229" s="37">
        <v>1103.9000000000001</v>
      </c>
      <c r="C1229" s="37">
        <v>41893.06</v>
      </c>
      <c r="D1229" s="38">
        <f t="shared" si="76"/>
        <v>8.5690327251013668E-3</v>
      </c>
      <c r="E1229" s="38">
        <f t="shared" si="77"/>
        <v>1.6673742065693841E-2</v>
      </c>
      <c r="H1229" s="35">
        <v>45965</v>
      </c>
      <c r="I1229" s="37">
        <v>1468</v>
      </c>
      <c r="J1229" s="37">
        <v>83459.149999999994</v>
      </c>
      <c r="K1229" s="38">
        <f t="shared" si="78"/>
        <v>-1.1928092067757107E-3</v>
      </c>
      <c r="L1229" s="38">
        <f t="shared" si="79"/>
        <v>-1.7765772841330171E-3</v>
      </c>
    </row>
    <row r="1230" spans="1:12">
      <c r="A1230" s="35">
        <v>44141</v>
      </c>
      <c r="B1230" s="37">
        <v>1113.4000000000001</v>
      </c>
      <c r="C1230" s="37">
        <v>42597.43</v>
      </c>
      <c r="D1230" s="38">
        <f t="shared" si="76"/>
        <v>2.0270964373618985E-2</v>
      </c>
      <c r="E1230" s="38">
        <f t="shared" si="77"/>
        <v>1.5842412650034114E-2</v>
      </c>
      <c r="H1230" s="35">
        <v>45967</v>
      </c>
      <c r="I1230" s="37">
        <v>1466.25</v>
      </c>
      <c r="J1230" s="37">
        <v>83311.009999999995</v>
      </c>
      <c r="K1230" s="38">
        <f t="shared" si="78"/>
        <v>7.5418213161357146E-3</v>
      </c>
      <c r="L1230" s="38">
        <f t="shared" si="79"/>
        <v>-1.1377115452741084E-3</v>
      </c>
    </row>
    <row r="1231" spans="1:12">
      <c r="A1231" s="35">
        <v>44144</v>
      </c>
      <c r="B1231" s="37">
        <v>1136.2</v>
      </c>
      <c r="C1231" s="37">
        <v>43277.65</v>
      </c>
      <c r="D1231" s="38">
        <f t="shared" si="76"/>
        <v>-4.0640484854367089E-2</v>
      </c>
      <c r="E1231" s="38">
        <f t="shared" si="77"/>
        <v>7.2756208615917632E-3</v>
      </c>
      <c r="H1231" s="35">
        <v>45968</v>
      </c>
      <c r="I1231" s="37">
        <v>1477.35</v>
      </c>
      <c r="J1231" s="37">
        <v>83216.28</v>
      </c>
      <c r="K1231" s="38">
        <f t="shared" si="78"/>
        <v>2.4901435395901315E-2</v>
      </c>
      <c r="L1231" s="38">
        <f t="shared" si="79"/>
        <v>3.8268937988953956E-3</v>
      </c>
    </row>
    <row r="1232" spans="1:12">
      <c r="A1232" s="35">
        <v>44145</v>
      </c>
      <c r="B1232" s="37">
        <v>1090.95</v>
      </c>
      <c r="C1232" s="37">
        <v>43593.67</v>
      </c>
      <c r="D1232" s="38">
        <f t="shared" si="76"/>
        <v>2.8598547239439512E-2</v>
      </c>
      <c r="E1232" s="38">
        <f t="shared" si="77"/>
        <v>-5.4394075702966505E-3</v>
      </c>
      <c r="H1232" s="35">
        <v>45971</v>
      </c>
      <c r="I1232" s="37">
        <v>1514.6</v>
      </c>
      <c r="J1232" s="37">
        <v>83535.350000000006</v>
      </c>
      <c r="K1232" s="38">
        <f t="shared" si="78"/>
        <v>1.0508437696098416E-2</v>
      </c>
      <c r="L1232" s="38">
        <f t="shared" si="79"/>
        <v>4.0138239541054836E-3</v>
      </c>
    </row>
    <row r="1233" spans="1:12">
      <c r="A1233" s="35">
        <v>44146</v>
      </c>
      <c r="B1233" s="37">
        <v>1122.5999999999999</v>
      </c>
      <c r="C1233" s="37">
        <v>43357.19</v>
      </c>
      <c r="D1233" s="38">
        <f t="shared" si="76"/>
        <v>-4.3296873940088755E-3</v>
      </c>
      <c r="E1233" s="38">
        <f t="shared" si="77"/>
        <v>1.9771852562642956E-3</v>
      </c>
      <c r="H1233" s="35">
        <v>45972</v>
      </c>
      <c r="I1233" s="37">
        <v>1530.6</v>
      </c>
      <c r="J1233" s="37">
        <v>83871.320000000007</v>
      </c>
      <c r="K1233" s="38">
        <f t="shared" si="78"/>
        <v>1.3497933680950576E-2</v>
      </c>
      <c r="L1233" s="38">
        <f t="shared" si="79"/>
        <v>7.0714049265424477E-3</v>
      </c>
    </row>
    <row r="1234" spans="1:12">
      <c r="A1234" s="35">
        <v>44147</v>
      </c>
      <c r="B1234" s="37">
        <v>1117.75</v>
      </c>
      <c r="C1234" s="37">
        <v>43443</v>
      </c>
      <c r="D1234" s="38">
        <f t="shared" si="76"/>
        <v>5.4870434101314007E-3</v>
      </c>
      <c r="E1234" s="38">
        <f t="shared" si="77"/>
        <v>4.4781380696319907E-3</v>
      </c>
      <c r="H1234" s="35">
        <v>45973</v>
      </c>
      <c r="I1234" s="37">
        <v>1551.4</v>
      </c>
      <c r="J1234" s="37">
        <v>84466.51</v>
      </c>
      <c r="K1234" s="38">
        <f t="shared" si="78"/>
        <v>-5.8505217383809415E-3</v>
      </c>
      <c r="L1234" s="38">
        <f t="shared" si="79"/>
        <v>1.4395202066147319E-4</v>
      </c>
    </row>
    <row r="1235" spans="1:12">
      <c r="A1235" s="35">
        <v>44148</v>
      </c>
      <c r="B1235" s="37">
        <v>1123.9000000000001</v>
      </c>
      <c r="C1235" s="37">
        <v>43637.98</v>
      </c>
      <c r="D1235" s="38">
        <f t="shared" si="76"/>
        <v>8.4612992903129475E-3</v>
      </c>
      <c r="E1235" s="38">
        <f t="shared" si="77"/>
        <v>7.1864111244033758E-3</v>
      </c>
      <c r="H1235" s="35">
        <v>45974</v>
      </c>
      <c r="I1235" s="37">
        <v>1542.35</v>
      </c>
      <c r="J1235" s="37">
        <v>84478.67</v>
      </c>
      <c r="K1235" s="38">
        <f t="shared" si="78"/>
        <v>-2.6176839909027649E-2</v>
      </c>
      <c r="L1235" s="38">
        <f t="shared" si="79"/>
        <v>9.9514062309826704E-4</v>
      </c>
    </row>
    <row r="1236" spans="1:12">
      <c r="A1236" s="35">
        <v>44149</v>
      </c>
      <c r="B1236" s="37">
        <v>1133.45</v>
      </c>
      <c r="C1236" s="37">
        <v>43952.71</v>
      </c>
      <c r="D1236" s="38">
        <f t="shared" si="76"/>
        <v>-8.5057882236982286E-3</v>
      </c>
      <c r="E1236" s="38">
        <f t="shared" si="77"/>
        <v>5.1590465165365536E-3</v>
      </c>
      <c r="H1236" s="35">
        <v>45975</v>
      </c>
      <c r="I1236" s="37">
        <v>1502.5</v>
      </c>
      <c r="J1236" s="37">
        <v>84562.78</v>
      </c>
      <c r="K1236" s="38">
        <f t="shared" si="78"/>
        <v>3.3885949836175672E-3</v>
      </c>
      <c r="L1236" s="38">
        <f t="shared" si="79"/>
        <v>4.5798140183542606E-3</v>
      </c>
    </row>
    <row r="1237" spans="1:12">
      <c r="A1237" s="35">
        <v>44152</v>
      </c>
      <c r="B1237" s="37">
        <v>1123.8499999999999</v>
      </c>
      <c r="C1237" s="37">
        <v>44180.05</v>
      </c>
      <c r="D1237" s="38">
        <f t="shared" si="76"/>
        <v>-1.1859880783329394E-2</v>
      </c>
      <c r="E1237" s="38">
        <f t="shared" si="77"/>
        <v>-1.3217096801771841E-2</v>
      </c>
      <c r="H1237" s="35">
        <v>45978</v>
      </c>
      <c r="I1237" s="37">
        <v>1507.6</v>
      </c>
      <c r="J1237" s="37">
        <v>84950.95</v>
      </c>
      <c r="K1237" s="38">
        <f t="shared" si="78"/>
        <v>-1.466659548573887E-2</v>
      </c>
      <c r="L1237" s="38">
        <f t="shared" si="79"/>
        <v>-3.2770161990704075E-3</v>
      </c>
    </row>
    <row r="1238" spans="1:12">
      <c r="A1238" s="35">
        <v>44153</v>
      </c>
      <c r="B1238" s="37">
        <v>1110.5999999999999</v>
      </c>
      <c r="C1238" s="37">
        <v>43599.96</v>
      </c>
      <c r="D1238" s="38">
        <f t="shared" si="76"/>
        <v>-1.2822721624461717E-2</v>
      </c>
      <c r="E1238" s="38">
        <f t="shared" si="77"/>
        <v>6.4536773769141194E-3</v>
      </c>
      <c r="H1238" s="35">
        <v>45979</v>
      </c>
      <c r="I1238" s="37">
        <v>1485.65</v>
      </c>
      <c r="J1238" s="37">
        <v>84673.02</v>
      </c>
      <c r="K1238" s="38">
        <f t="shared" si="78"/>
        <v>3.6741388571312775E-2</v>
      </c>
      <c r="L1238" s="38">
        <f t="shared" si="79"/>
        <v>6.0456035026732564E-3</v>
      </c>
    </row>
    <row r="1239" spans="1:12">
      <c r="A1239" s="35">
        <v>44154</v>
      </c>
      <c r="B1239" s="37">
        <v>1096.45</v>
      </c>
      <c r="C1239" s="37">
        <v>43882.25</v>
      </c>
      <c r="D1239" s="38">
        <f t="shared" si="76"/>
        <v>6.0013819587268844E-3</v>
      </c>
      <c r="E1239" s="38">
        <f t="shared" si="77"/>
        <v>4.4315972817203265E-3</v>
      </c>
      <c r="H1239" s="35">
        <v>45980</v>
      </c>
      <c r="I1239" s="37">
        <v>1541.25</v>
      </c>
      <c r="J1239" s="37">
        <v>85186.47</v>
      </c>
      <c r="K1239" s="38">
        <f t="shared" si="78"/>
        <v>-2.9239786914352006E-3</v>
      </c>
      <c r="L1239" s="38">
        <f t="shared" si="79"/>
        <v>5.2243675829646459E-3</v>
      </c>
    </row>
    <row r="1240" spans="1:12">
      <c r="A1240" s="35">
        <v>44155</v>
      </c>
      <c r="B1240" s="37">
        <v>1103.05</v>
      </c>
      <c r="C1240" s="37">
        <v>44077.15</v>
      </c>
      <c r="D1240" s="38">
        <f t="shared" si="76"/>
        <v>3.3168466450037799E-2</v>
      </c>
      <c r="E1240" s="38">
        <f t="shared" si="77"/>
        <v>1.0064851205708882E-2</v>
      </c>
      <c r="H1240" s="35">
        <v>45981</v>
      </c>
      <c r="I1240" s="37">
        <v>1536.75</v>
      </c>
      <c r="J1240" s="37">
        <v>85632.68</v>
      </c>
      <c r="K1240" s="38">
        <f t="shared" si="78"/>
        <v>5.0951803480445267E-3</v>
      </c>
      <c r="L1240" s="38">
        <f t="shared" si="79"/>
        <v>-4.6909744312330325E-3</v>
      </c>
    </row>
    <row r="1241" spans="1:12">
      <c r="A1241" s="35">
        <v>44158</v>
      </c>
      <c r="B1241" s="37">
        <v>1140.25</v>
      </c>
      <c r="C1241" s="37">
        <v>44523.02</v>
      </c>
      <c r="D1241" s="38">
        <f t="shared" si="76"/>
        <v>-9.6516634675061536E-4</v>
      </c>
      <c r="E1241" s="38">
        <f t="shared" si="77"/>
        <v>-1.5731194600738317E-2</v>
      </c>
      <c r="H1241" s="35">
        <v>45982</v>
      </c>
      <c r="I1241" s="37">
        <v>1544.6</v>
      </c>
      <c r="J1241" s="37">
        <v>85231.92</v>
      </c>
      <c r="K1241" s="38">
        <f t="shared" si="78"/>
        <v>3.102782062638676E-3</v>
      </c>
      <c r="L1241" s="38">
        <f t="shared" si="79"/>
        <v>-3.8935554975232821E-3</v>
      </c>
    </row>
    <row r="1242" spans="1:12">
      <c r="A1242" s="35">
        <v>44159</v>
      </c>
      <c r="B1242" s="37">
        <v>1139.1500000000001</v>
      </c>
      <c r="C1242" s="37">
        <v>43828.1</v>
      </c>
      <c r="D1242" s="38">
        <f t="shared" si="76"/>
        <v>-2.0352310890725978E-2</v>
      </c>
      <c r="E1242" s="38">
        <f t="shared" si="77"/>
        <v>9.800296039997821E-3</v>
      </c>
      <c r="H1242" s="35">
        <v>45985</v>
      </c>
      <c r="I1242" s="37">
        <v>1549.4</v>
      </c>
      <c r="J1242" s="37">
        <v>84900.71</v>
      </c>
      <c r="K1242" s="38">
        <f t="shared" si="78"/>
        <v>-1.2600023811321075E-2</v>
      </c>
      <c r="L1242" s="38">
        <f t="shared" si="79"/>
        <v>-3.7017473385971399E-3</v>
      </c>
    </row>
    <row r="1243" spans="1:12">
      <c r="A1243" s="35">
        <v>44160</v>
      </c>
      <c r="B1243" s="37">
        <v>1116.2</v>
      </c>
      <c r="C1243" s="37">
        <v>44259.74</v>
      </c>
      <c r="D1243" s="38">
        <f t="shared" si="76"/>
        <v>-2.2871503568395817E-3</v>
      </c>
      <c r="E1243" s="38">
        <f t="shared" si="77"/>
        <v>-2.488875212974508E-3</v>
      </c>
      <c r="H1243" s="35">
        <v>45986</v>
      </c>
      <c r="I1243" s="37">
        <v>1530</v>
      </c>
      <c r="J1243" s="37">
        <v>84587.01</v>
      </c>
      <c r="K1243" s="38"/>
      <c r="L1243" s="38"/>
    </row>
    <row r="1244" spans="1:12">
      <c r="A1244" s="35">
        <v>44161</v>
      </c>
      <c r="B1244" s="37">
        <v>1113.6500000000001</v>
      </c>
      <c r="C1244" s="37">
        <v>44149.72</v>
      </c>
      <c r="D1244" s="38">
        <f t="shared" si="76"/>
        <v>-1.183285416938064E-2</v>
      </c>
      <c r="E1244" s="38">
        <f t="shared" si="77"/>
        <v>1.1389551393199497E-2</v>
      </c>
    </row>
    <row r="1245" spans="1:12">
      <c r="A1245" s="35">
        <v>44162</v>
      </c>
      <c r="B1245" s="37">
        <v>1100.55</v>
      </c>
      <c r="C1245" s="37">
        <v>44655.44</v>
      </c>
      <c r="D1245" s="38">
        <f t="shared" si="76"/>
        <v>3.2803012622000645E-2</v>
      </c>
      <c r="E1245" s="38">
        <f t="shared" si="77"/>
        <v>-8.378748579759255E-4</v>
      </c>
    </row>
    <row r="1246" spans="1:12">
      <c r="A1246" s="35">
        <v>44166</v>
      </c>
      <c r="B1246" s="37">
        <v>1137.25</v>
      </c>
      <c r="C1246" s="37">
        <v>44618.04</v>
      </c>
      <c r="D1246" s="38">
        <f t="shared" si="76"/>
        <v>3.3358236613063403E-3</v>
      </c>
      <c r="E1246" s="38">
        <f t="shared" si="77"/>
        <v>3.2739242980650286E-4</v>
      </c>
    </row>
    <row r="1247" spans="1:12">
      <c r="A1247" s="35">
        <v>44167</v>
      </c>
      <c r="B1247" s="37">
        <v>1141.05</v>
      </c>
      <c r="C1247" s="37">
        <v>44632.65</v>
      </c>
      <c r="D1247" s="38">
        <f t="shared" si="76"/>
        <v>-1.2789025960025163E-2</v>
      </c>
      <c r="E1247" s="38">
        <f t="shared" si="77"/>
        <v>9.9630528889481963E-3</v>
      </c>
    </row>
    <row r="1248" spans="1:12">
      <c r="A1248" s="35">
        <v>44168</v>
      </c>
      <c r="B1248" s="37">
        <v>1126.55</v>
      </c>
      <c r="C1248" s="37">
        <v>45079.55</v>
      </c>
      <c r="D1248" s="38">
        <f t="shared" si="76"/>
        <v>7.1643681642367864E-3</v>
      </c>
      <c r="E1248" s="38">
        <f t="shared" si="77"/>
        <v>7.6772746632036157E-3</v>
      </c>
    </row>
    <row r="1249" spans="1:5">
      <c r="A1249" s="35">
        <v>44169</v>
      </c>
      <c r="B1249" s="37">
        <v>1134.6500000000001</v>
      </c>
      <c r="C1249" s="37">
        <v>45426.97</v>
      </c>
      <c r="D1249" s="38">
        <f t="shared" si="76"/>
        <v>8.2503649627258761E-3</v>
      </c>
      <c r="E1249" s="38">
        <f t="shared" si="77"/>
        <v>3.9883403843030719E-3</v>
      </c>
    </row>
    <row r="1250" spans="1:5">
      <c r="A1250" s="35">
        <v>44172</v>
      </c>
      <c r="B1250" s="37">
        <v>1144.05</v>
      </c>
      <c r="C1250" s="37">
        <v>45608.51</v>
      </c>
      <c r="D1250" s="38">
        <f t="shared" si="76"/>
        <v>8.5295786722308451E-3</v>
      </c>
      <c r="E1250" s="38">
        <f t="shared" si="77"/>
        <v>1.0794547114085994E-2</v>
      </c>
    </row>
    <row r="1251" spans="1:5">
      <c r="A1251" s="35">
        <v>44173</v>
      </c>
      <c r="B1251" s="37">
        <v>1153.8499999999999</v>
      </c>
      <c r="C1251" s="37">
        <v>46103.5</v>
      </c>
      <c r="D1251" s="38">
        <f t="shared" si="76"/>
        <v>1.8291622054349407E-2</v>
      </c>
      <c r="E1251" s="38">
        <f t="shared" si="77"/>
        <v>-3.1200270184854081E-3</v>
      </c>
    </row>
    <row r="1252" spans="1:5">
      <c r="A1252" s="35">
        <v>44174</v>
      </c>
      <c r="B1252" s="37">
        <v>1175.1500000000001</v>
      </c>
      <c r="C1252" s="37">
        <v>45959.88</v>
      </c>
      <c r="D1252" s="38">
        <f t="shared" si="76"/>
        <v>-6.5310884618850727E-3</v>
      </c>
      <c r="E1252" s="38">
        <f t="shared" si="77"/>
        <v>3.0226327066919189E-3</v>
      </c>
    </row>
    <row r="1253" spans="1:5">
      <c r="A1253" s="35">
        <v>44175</v>
      </c>
      <c r="B1253" s="37">
        <v>1167.5</v>
      </c>
      <c r="C1253" s="37">
        <v>46099.01</v>
      </c>
      <c r="D1253" s="38">
        <f t="shared" si="76"/>
        <v>-3.8188456871357697E-3</v>
      </c>
      <c r="E1253" s="38">
        <f t="shared" si="77"/>
        <v>3.3447972532752229E-3</v>
      </c>
    </row>
    <row r="1254" spans="1:5">
      <c r="A1254" s="35">
        <v>44176</v>
      </c>
      <c r="B1254" s="37">
        <v>1163.05</v>
      </c>
      <c r="C1254" s="37">
        <v>46253.46</v>
      </c>
      <c r="D1254" s="38">
        <f t="shared" si="76"/>
        <v>1.2888814294997307E-3</v>
      </c>
      <c r="E1254" s="38">
        <f t="shared" si="77"/>
        <v>2.0990820862485851E-4</v>
      </c>
    </row>
    <row r="1255" spans="1:5">
      <c r="A1255" s="35">
        <v>44179</v>
      </c>
      <c r="B1255" s="37">
        <v>1164.55</v>
      </c>
      <c r="C1255" s="37">
        <v>46263.17</v>
      </c>
      <c r="D1255" s="38">
        <f t="shared" si="76"/>
        <v>-8.7540178257551459E-3</v>
      </c>
      <c r="E1255" s="38">
        <f t="shared" si="77"/>
        <v>8.6795251802792572E-3</v>
      </c>
    </row>
    <row r="1256" spans="1:5">
      <c r="A1256" s="35">
        <v>44180</v>
      </c>
      <c r="B1256" s="37">
        <v>1154.4000000000001</v>
      </c>
      <c r="C1256" s="37">
        <v>46666.46</v>
      </c>
      <c r="D1256" s="38">
        <f t="shared" si="76"/>
        <v>9.7839282287690479E-3</v>
      </c>
      <c r="E1256" s="38">
        <f t="shared" si="77"/>
        <v>4.7859787282557992E-3</v>
      </c>
    </row>
    <row r="1257" spans="1:5">
      <c r="A1257" s="35">
        <v>44181</v>
      </c>
      <c r="B1257" s="37">
        <v>1165.75</v>
      </c>
      <c r="C1257" s="37">
        <v>46890.34</v>
      </c>
      <c r="D1257" s="38">
        <f t="shared" si="76"/>
        <v>-5.7208147937309606E-3</v>
      </c>
      <c r="E1257" s="38">
        <f t="shared" si="77"/>
        <v>1.4991846797270001E-3</v>
      </c>
    </row>
    <row r="1258" spans="1:5">
      <c r="A1258" s="35">
        <v>44182</v>
      </c>
      <c r="B1258" s="37">
        <v>1159.0999999999999</v>
      </c>
      <c r="C1258" s="37">
        <v>46960.69</v>
      </c>
      <c r="D1258" s="38">
        <f t="shared" si="76"/>
        <v>2.6099359106520659E-2</v>
      </c>
      <c r="E1258" s="38">
        <f t="shared" si="77"/>
        <v>-3.041331140942052E-2</v>
      </c>
    </row>
    <row r="1259" spans="1:5">
      <c r="A1259" s="35">
        <v>44183</v>
      </c>
      <c r="B1259" s="37">
        <v>1189.75</v>
      </c>
      <c r="C1259" s="37">
        <v>45553.96</v>
      </c>
      <c r="D1259" s="38">
        <f t="shared" si="76"/>
        <v>-1.136928203482422E-2</v>
      </c>
      <c r="E1259" s="38">
        <f t="shared" si="77"/>
        <v>9.8892633385691056E-3</v>
      </c>
    </row>
    <row r="1260" spans="1:5">
      <c r="A1260" s="35">
        <v>44186</v>
      </c>
      <c r="B1260" s="37">
        <v>1176.3</v>
      </c>
      <c r="C1260" s="37">
        <v>46006.69</v>
      </c>
      <c r="D1260" s="38">
        <f t="shared" si="76"/>
        <v>3.7091504975374126E-2</v>
      </c>
      <c r="E1260" s="38">
        <f t="shared" si="77"/>
        <v>9.4643406953320297E-3</v>
      </c>
    </row>
    <row r="1261" spans="1:5">
      <c r="A1261" s="35">
        <v>44187</v>
      </c>
      <c r="B1261" s="37">
        <v>1220.75</v>
      </c>
      <c r="C1261" s="37">
        <v>46444.18</v>
      </c>
      <c r="D1261" s="38">
        <f t="shared" si="76"/>
        <v>2.6035346928255404E-2</v>
      </c>
      <c r="E1261" s="38">
        <f t="shared" si="77"/>
        <v>1.133330306220692E-2</v>
      </c>
    </row>
    <row r="1262" spans="1:5">
      <c r="A1262" s="35">
        <v>44188</v>
      </c>
      <c r="B1262" s="37">
        <v>1252.95</v>
      </c>
      <c r="C1262" s="37">
        <v>46973.54</v>
      </c>
      <c r="D1262" s="38">
        <f t="shared" si="76"/>
        <v>-1.3337280416841396E-2</v>
      </c>
      <c r="E1262" s="38">
        <f t="shared" si="77"/>
        <v>8.0615495071847017E-3</v>
      </c>
    </row>
    <row r="1263" spans="1:5">
      <c r="A1263" s="35">
        <v>44189</v>
      </c>
      <c r="B1263" s="37">
        <v>1236.3499999999999</v>
      </c>
      <c r="C1263" s="37">
        <v>47353.75</v>
      </c>
      <c r="D1263" s="38">
        <f t="shared" si="76"/>
        <v>3.0285310555429735E-3</v>
      </c>
      <c r="E1263" s="38">
        <f t="shared" si="77"/>
        <v>5.4614994436921506E-3</v>
      </c>
    </row>
    <row r="1264" spans="1:5">
      <c r="A1264" s="35">
        <v>44193</v>
      </c>
      <c r="B1264" s="37">
        <v>1240.0999999999999</v>
      </c>
      <c r="C1264" s="37">
        <v>47613.08</v>
      </c>
      <c r="D1264" s="38">
        <f t="shared" si="76"/>
        <v>8.0715225881961648E-3</v>
      </c>
      <c r="E1264" s="38">
        <f t="shared" si="77"/>
        <v>2.7923880840669663E-3</v>
      </c>
    </row>
    <row r="1265" spans="1:5">
      <c r="A1265" s="35">
        <v>44194</v>
      </c>
      <c r="B1265" s="37">
        <v>1250.1500000000001</v>
      </c>
      <c r="C1265" s="37">
        <v>47746.22</v>
      </c>
      <c r="D1265" s="38">
        <f t="shared" si="76"/>
        <v>-3.164622986801183E-3</v>
      </c>
      <c r="E1265" s="38">
        <f t="shared" si="77"/>
        <v>1.0701845240794921E-4</v>
      </c>
    </row>
    <row r="1266" spans="1:5">
      <c r="A1266" s="35">
        <v>44195</v>
      </c>
      <c r="B1266" s="37">
        <v>1246.2</v>
      </c>
      <c r="C1266" s="37">
        <v>47751.33</v>
      </c>
      <c r="D1266" s="38">
        <f t="shared" si="76"/>
        <v>7.7137130344874759E-3</v>
      </c>
      <c r="E1266" s="38">
        <f t="shared" si="77"/>
        <v>2.46077552704662E-3</v>
      </c>
    </row>
    <row r="1267" spans="1:5">
      <c r="A1267" s="35">
        <v>44196</v>
      </c>
      <c r="B1267" s="37">
        <v>1255.8499999999999</v>
      </c>
      <c r="C1267" s="37">
        <v>47868.98</v>
      </c>
      <c r="D1267" s="38">
        <f t="shared" si="76"/>
        <v>3.6164967385104337E-3</v>
      </c>
      <c r="E1267" s="38">
        <f t="shared" si="77"/>
        <v>6.4098819112863538E-3</v>
      </c>
    </row>
    <row r="1268" spans="1:5">
      <c r="A1268" s="35">
        <v>44197</v>
      </c>
      <c r="B1268" s="37">
        <v>1260.4000000000001</v>
      </c>
      <c r="C1268" s="37">
        <v>48176.800000000003</v>
      </c>
      <c r="D1268" s="38">
        <f t="shared" si="76"/>
        <v>2.2088424268209585E-2</v>
      </c>
      <c r="E1268" s="38">
        <f t="shared" si="77"/>
        <v>5.4025103617045848E-3</v>
      </c>
    </row>
    <row r="1269" spans="1:5">
      <c r="A1269" s="35">
        <v>44200</v>
      </c>
      <c r="B1269" s="37">
        <v>1288.55</v>
      </c>
      <c r="C1269" s="37">
        <v>48437.78</v>
      </c>
      <c r="D1269" s="38">
        <f t="shared" si="76"/>
        <v>3.8341674747546508E-3</v>
      </c>
      <c r="E1269" s="38">
        <f t="shared" si="77"/>
        <v>-5.4593858270763724E-3</v>
      </c>
    </row>
    <row r="1270" spans="1:5">
      <c r="A1270" s="35">
        <v>44201</v>
      </c>
      <c r="B1270" s="37">
        <v>1293.5</v>
      </c>
      <c r="C1270" s="37">
        <v>48174.06</v>
      </c>
      <c r="D1270" s="38">
        <f t="shared" si="76"/>
        <v>-9.2424253119891726E-3</v>
      </c>
      <c r="E1270" s="38">
        <f t="shared" si="77"/>
        <v>-1.6774117864551438E-3</v>
      </c>
    </row>
    <row r="1271" spans="1:5">
      <c r="A1271" s="35">
        <v>44202</v>
      </c>
      <c r="B1271" s="37">
        <v>1281.5999999999999</v>
      </c>
      <c r="C1271" s="37">
        <v>48093.32</v>
      </c>
      <c r="D1271" s="38">
        <f t="shared" si="76"/>
        <v>-1.5451153649162398E-2</v>
      </c>
      <c r="E1271" s="38">
        <f t="shared" si="77"/>
        <v>1.4228556850052339E-2</v>
      </c>
    </row>
    <row r="1272" spans="1:5">
      <c r="A1272" s="35">
        <v>44203</v>
      </c>
      <c r="B1272" s="37">
        <v>1261.95</v>
      </c>
      <c r="C1272" s="37">
        <v>48782.51</v>
      </c>
      <c r="D1272" s="38">
        <f t="shared" si="76"/>
        <v>3.8742096194702799E-2</v>
      </c>
      <c r="E1272" s="38">
        <f t="shared" si="77"/>
        <v>9.9297279801621816E-3</v>
      </c>
    </row>
    <row r="1273" spans="1:5">
      <c r="A1273" s="35">
        <v>44204</v>
      </c>
      <c r="B1273" s="37">
        <v>1311.8</v>
      </c>
      <c r="C1273" s="37">
        <v>49269.32</v>
      </c>
      <c r="D1273" s="38">
        <f t="shared" si="76"/>
        <v>4.7853171411600809E-2</v>
      </c>
      <c r="E1273" s="38">
        <f t="shared" si="77"/>
        <v>5.0166914561312094E-3</v>
      </c>
    </row>
    <row r="1274" spans="1:5">
      <c r="A1274" s="35">
        <v>44207</v>
      </c>
      <c r="B1274" s="37">
        <v>1376.1</v>
      </c>
      <c r="C1274" s="37">
        <v>49517.11</v>
      </c>
      <c r="D1274" s="38">
        <f t="shared" si="76"/>
        <v>-3.093217408369096E-3</v>
      </c>
      <c r="E1274" s="38">
        <f t="shared" si="77"/>
        <v>-5.0076039258137198E-4</v>
      </c>
    </row>
    <row r="1275" spans="1:5">
      <c r="A1275" s="35">
        <v>44208</v>
      </c>
      <c r="B1275" s="37">
        <v>1371.85</v>
      </c>
      <c r="C1275" s="37">
        <v>49492.32</v>
      </c>
      <c r="D1275" s="38">
        <f t="shared" si="76"/>
        <v>1.1487506514097958E-2</v>
      </c>
      <c r="E1275" s="38">
        <f t="shared" si="77"/>
        <v>1.8539218653046649E-3</v>
      </c>
    </row>
    <row r="1276" spans="1:5">
      <c r="A1276" s="35">
        <v>44209</v>
      </c>
      <c r="B1276" s="37">
        <v>1387.7</v>
      </c>
      <c r="C1276" s="37">
        <v>49584.160000000003</v>
      </c>
      <c r="D1276" s="38">
        <f t="shared" si="76"/>
        <v>-1.2399100225241594E-2</v>
      </c>
      <c r="E1276" s="38">
        <f t="shared" si="77"/>
        <v>-1.1143828952734134E-2</v>
      </c>
    </row>
    <row r="1277" spans="1:5">
      <c r="A1277" s="35">
        <v>44210</v>
      </c>
      <c r="B1277" s="37">
        <v>1370.6</v>
      </c>
      <c r="C1277" s="37">
        <v>49034.67</v>
      </c>
      <c r="D1277" s="38">
        <f t="shared" si="76"/>
        <v>-1.878024043718747E-2</v>
      </c>
      <c r="E1277" s="38">
        <f t="shared" si="77"/>
        <v>-9.6395235947159229E-3</v>
      </c>
    </row>
    <row r="1278" spans="1:5">
      <c r="A1278" s="35">
        <v>44211</v>
      </c>
      <c r="B1278" s="37">
        <v>1345.1</v>
      </c>
      <c r="C1278" s="37">
        <v>48564.27</v>
      </c>
      <c r="D1278" s="38">
        <f t="shared" si="76"/>
        <v>-2.5182473092174772E-2</v>
      </c>
      <c r="E1278" s="38">
        <f t="shared" si="77"/>
        <v>1.7027732870028803E-2</v>
      </c>
    </row>
    <row r="1279" spans="1:5">
      <c r="A1279" s="35">
        <v>44214</v>
      </c>
      <c r="B1279" s="37">
        <v>1311.65</v>
      </c>
      <c r="C1279" s="37">
        <v>49398.29</v>
      </c>
      <c r="D1279" s="38">
        <f t="shared" si="76"/>
        <v>4.1085004723986169E-3</v>
      </c>
      <c r="E1279" s="38">
        <f t="shared" si="77"/>
        <v>7.9409303685940274E-3</v>
      </c>
    </row>
    <row r="1280" spans="1:5">
      <c r="A1280" s="35">
        <v>44215</v>
      </c>
      <c r="B1280" s="37">
        <v>1317.05</v>
      </c>
      <c r="C1280" s="37">
        <v>49792.12</v>
      </c>
      <c r="D1280" s="38">
        <f t="shared" si="76"/>
        <v>1.686469483226501E-2</v>
      </c>
      <c r="E1280" s="38">
        <f t="shared" si="77"/>
        <v>-3.366835855109899E-3</v>
      </c>
    </row>
    <row r="1281" spans="1:5">
      <c r="A1281" s="35">
        <v>44216</v>
      </c>
      <c r="B1281" s="37">
        <v>1339.45</v>
      </c>
      <c r="C1281" s="37">
        <v>49624.76</v>
      </c>
      <c r="D1281" s="38">
        <f t="shared" si="76"/>
        <v>-1.4932616595491837E-4</v>
      </c>
      <c r="E1281" s="38">
        <f t="shared" si="77"/>
        <v>-1.515145737347208E-2</v>
      </c>
    </row>
    <row r="1282" spans="1:5">
      <c r="A1282" s="35">
        <v>44217</v>
      </c>
      <c r="B1282" s="37">
        <v>1339.25</v>
      </c>
      <c r="C1282" s="37">
        <v>48878.54</v>
      </c>
      <c r="D1282" s="38">
        <f t="shared" si="76"/>
        <v>8.9562270419383616E-4</v>
      </c>
      <c r="E1282" s="38">
        <f t="shared" si="77"/>
        <v>-1.0922069574216877E-2</v>
      </c>
    </row>
    <row r="1283" spans="1:5">
      <c r="A1283" s="35">
        <v>44218</v>
      </c>
      <c r="B1283" s="37">
        <v>1340.45</v>
      </c>
      <c r="C1283" s="37">
        <v>48347.59</v>
      </c>
      <c r="D1283" s="38">
        <f t="shared" si="76"/>
        <v>-1.3405882224701611E-2</v>
      </c>
      <c r="E1283" s="38">
        <f t="shared" si="77"/>
        <v>-1.9584675344748361E-2</v>
      </c>
    </row>
    <row r="1284" spans="1:5">
      <c r="A1284" s="35">
        <v>44221</v>
      </c>
      <c r="B1284" s="37">
        <v>1322.6</v>
      </c>
      <c r="C1284" s="37">
        <v>47409.93</v>
      </c>
      <c r="D1284" s="38">
        <f t="shared" si="76"/>
        <v>-1.5889983197553432E-2</v>
      </c>
      <c r="E1284" s="38">
        <f t="shared" si="77"/>
        <v>-1.1360869567148102E-2</v>
      </c>
    </row>
    <row r="1285" spans="1:5">
      <c r="A1285" s="35">
        <v>44223</v>
      </c>
      <c r="B1285" s="37">
        <v>1301.75</v>
      </c>
      <c r="C1285" s="37">
        <v>46874.36</v>
      </c>
      <c r="D1285" s="38">
        <f t="shared" ref="D1285:D1348" si="80">LN(B1286/B1285)</f>
        <v>-1.9744246054363434E-2</v>
      </c>
      <c r="E1285" s="38">
        <f t="shared" ref="E1285:E1348" si="81">LN(C1286/C1285)</f>
        <v>-1.2636260424038752E-2</v>
      </c>
    </row>
    <row r="1286" spans="1:5">
      <c r="A1286" s="35">
        <v>44224</v>
      </c>
      <c r="B1286" s="37">
        <v>1276.3</v>
      </c>
      <c r="C1286" s="37">
        <v>46285.77</v>
      </c>
      <c r="D1286" s="38">
        <f t="shared" si="80"/>
        <v>-2.9136185296383409E-2</v>
      </c>
      <c r="E1286" s="38">
        <f t="shared" si="81"/>
        <v>4.8801511828013282E-2</v>
      </c>
    </row>
    <row r="1287" spans="1:5">
      <c r="A1287" s="35">
        <v>44225</v>
      </c>
      <c r="B1287" s="37">
        <v>1239.6500000000001</v>
      </c>
      <c r="C1287" s="37">
        <v>48600.61</v>
      </c>
      <c r="D1287" s="38">
        <f t="shared" si="80"/>
        <v>1.7432771248613053E-2</v>
      </c>
      <c r="E1287" s="38">
        <f t="shared" si="81"/>
        <v>2.4333117581988854E-2</v>
      </c>
    </row>
    <row r="1288" spans="1:5">
      <c r="A1288" s="35">
        <v>44228</v>
      </c>
      <c r="B1288" s="37">
        <v>1261.45</v>
      </c>
      <c r="C1288" s="37">
        <v>49797.72</v>
      </c>
      <c r="D1288" s="38">
        <f t="shared" si="80"/>
        <v>7.384770454486364E-3</v>
      </c>
      <c r="E1288" s="38">
        <f t="shared" si="81"/>
        <v>9.1557684035158127E-3</v>
      </c>
    </row>
    <row r="1289" spans="1:5">
      <c r="A1289" s="35">
        <v>44229</v>
      </c>
      <c r="B1289" s="37">
        <v>1270.8</v>
      </c>
      <c r="C1289" s="37">
        <v>50255.75</v>
      </c>
      <c r="D1289" s="38">
        <f t="shared" si="80"/>
        <v>1.1967759876680039E-2</v>
      </c>
      <c r="E1289" s="38">
        <f t="shared" si="81"/>
        <v>7.1089792366011897E-3</v>
      </c>
    </row>
    <row r="1290" spans="1:5">
      <c r="A1290" s="35">
        <v>44230</v>
      </c>
      <c r="B1290" s="37">
        <v>1286.0999999999999</v>
      </c>
      <c r="C1290" s="37">
        <v>50614.29</v>
      </c>
      <c r="D1290" s="38">
        <f t="shared" si="80"/>
        <v>-4.9887078284907172E-3</v>
      </c>
      <c r="E1290" s="38">
        <f t="shared" si="81"/>
        <v>2.315634461318427E-3</v>
      </c>
    </row>
    <row r="1291" spans="1:5">
      <c r="A1291" s="35">
        <v>44231</v>
      </c>
      <c r="B1291" s="37">
        <v>1279.7</v>
      </c>
      <c r="C1291" s="37">
        <v>50731.63</v>
      </c>
      <c r="D1291" s="38">
        <f t="shared" si="80"/>
        <v>-5.7993892948955874E-3</v>
      </c>
      <c r="E1291" s="38">
        <f t="shared" si="81"/>
        <v>1.2091400874322453E-2</v>
      </c>
    </row>
    <row r="1292" spans="1:5">
      <c r="A1292" s="35">
        <v>44232</v>
      </c>
      <c r="B1292" s="37">
        <v>1272.3</v>
      </c>
      <c r="C1292" s="37">
        <v>51348.77</v>
      </c>
      <c r="D1292" s="38">
        <f t="shared" si="80"/>
        <v>2.4878546231765691E-2</v>
      </c>
      <c r="E1292" s="38">
        <f t="shared" si="81"/>
        <v>-3.8352965593558657E-4</v>
      </c>
    </row>
    <row r="1293" spans="1:5">
      <c r="A1293" s="35">
        <v>44235</v>
      </c>
      <c r="B1293" s="37">
        <v>1304.3499999999999</v>
      </c>
      <c r="C1293" s="37">
        <v>51329.08</v>
      </c>
      <c r="D1293" s="38">
        <f t="shared" si="80"/>
        <v>4.9820837637330393E-4</v>
      </c>
      <c r="E1293" s="38">
        <f t="shared" si="81"/>
        <v>-3.8367680737148656E-4</v>
      </c>
    </row>
    <row r="1294" spans="1:5">
      <c r="A1294" s="35">
        <v>44236</v>
      </c>
      <c r="B1294" s="37">
        <v>1305</v>
      </c>
      <c r="C1294" s="37">
        <v>51309.39</v>
      </c>
      <c r="D1294" s="38">
        <f t="shared" si="80"/>
        <v>-6.8432853274645001E-3</v>
      </c>
      <c r="E1294" s="38">
        <f t="shared" si="81"/>
        <v>4.3198829228124234E-3</v>
      </c>
    </row>
    <row r="1295" spans="1:5">
      <c r="A1295" s="35">
        <v>44237</v>
      </c>
      <c r="B1295" s="37">
        <v>1296.0999999999999</v>
      </c>
      <c r="C1295" s="37">
        <v>51531.519999999997</v>
      </c>
      <c r="D1295" s="38">
        <f t="shared" si="80"/>
        <v>-3.1683500867821777E-3</v>
      </c>
      <c r="E1295" s="38">
        <f t="shared" si="81"/>
        <v>2.4797280420364265E-4</v>
      </c>
    </row>
    <row r="1296" spans="1:5">
      <c r="A1296" s="35">
        <v>44238</v>
      </c>
      <c r="B1296" s="37">
        <v>1292</v>
      </c>
      <c r="C1296" s="37">
        <v>51544.3</v>
      </c>
      <c r="D1296" s="38">
        <f t="shared" si="80"/>
        <v>1.3530341714377838E-2</v>
      </c>
      <c r="E1296" s="38">
        <f t="shared" si="81"/>
        <v>1.1761740852460538E-2</v>
      </c>
    </row>
    <row r="1297" spans="1:5">
      <c r="A1297" s="35">
        <v>44239</v>
      </c>
      <c r="B1297" s="37">
        <v>1309.5999999999999</v>
      </c>
      <c r="C1297" s="37">
        <v>52154.13</v>
      </c>
      <c r="D1297" s="38">
        <f t="shared" si="80"/>
        <v>7.6356278432187298E-5</v>
      </c>
      <c r="E1297" s="38">
        <f t="shared" si="81"/>
        <v>-9.5838899778832528E-4</v>
      </c>
    </row>
    <row r="1298" spans="1:5">
      <c r="A1298" s="35">
        <v>44242</v>
      </c>
      <c r="B1298" s="37">
        <v>1309.7</v>
      </c>
      <c r="C1298" s="37">
        <v>52104.17</v>
      </c>
      <c r="D1298" s="38">
        <f t="shared" si="80"/>
        <v>-1.5078368604266444E-2</v>
      </c>
      <c r="E1298" s="38">
        <f t="shared" si="81"/>
        <v>-7.7131239357211426E-3</v>
      </c>
    </row>
    <row r="1299" spans="1:5">
      <c r="A1299" s="35">
        <v>44243</v>
      </c>
      <c r="B1299" s="37">
        <v>1290.0999999999999</v>
      </c>
      <c r="C1299" s="37">
        <v>51703.83</v>
      </c>
      <c r="D1299" s="38">
        <f t="shared" si="80"/>
        <v>-6.2983762504755141E-3</v>
      </c>
      <c r="E1299" s="38">
        <f t="shared" si="81"/>
        <v>-7.3599370632072844E-3</v>
      </c>
    </row>
    <row r="1300" spans="1:5">
      <c r="A1300" s="35">
        <v>44244</v>
      </c>
      <c r="B1300" s="37">
        <v>1282</v>
      </c>
      <c r="C1300" s="37">
        <v>51324.69</v>
      </c>
      <c r="D1300" s="38">
        <f t="shared" si="80"/>
        <v>8.0409080085565351E-3</v>
      </c>
      <c r="E1300" s="38">
        <f t="shared" si="81"/>
        <v>-8.5101984098216923E-3</v>
      </c>
    </row>
    <row r="1301" spans="1:5">
      <c r="A1301" s="35">
        <v>44245</v>
      </c>
      <c r="B1301" s="37">
        <v>1292.3499999999999</v>
      </c>
      <c r="C1301" s="37">
        <v>50889.760000000002</v>
      </c>
      <c r="D1301" s="38">
        <f t="shared" si="80"/>
        <v>-7.740837170985244E-4</v>
      </c>
      <c r="E1301" s="38">
        <f t="shared" si="81"/>
        <v>-2.2765438303043766E-2</v>
      </c>
    </row>
    <row r="1302" spans="1:5">
      <c r="A1302" s="35">
        <v>44246</v>
      </c>
      <c r="B1302" s="37">
        <v>1291.3499999999999</v>
      </c>
      <c r="C1302" s="37">
        <v>49744.32</v>
      </c>
      <c r="D1302" s="38">
        <f t="shared" si="80"/>
        <v>-2.0853242886142515E-2</v>
      </c>
      <c r="E1302" s="38">
        <f t="shared" si="81"/>
        <v>1.4251867918363227E-4</v>
      </c>
    </row>
    <row r="1303" spans="1:5">
      <c r="A1303" s="35">
        <v>44249</v>
      </c>
      <c r="B1303" s="37">
        <v>1264.7</v>
      </c>
      <c r="C1303" s="37">
        <v>49751.41</v>
      </c>
      <c r="D1303" s="38">
        <f t="shared" si="80"/>
        <v>1.2248366769623273E-3</v>
      </c>
      <c r="E1303" s="38">
        <f t="shared" si="81"/>
        <v>2.0497051630432448E-2</v>
      </c>
    </row>
    <row r="1304" spans="1:5">
      <c r="A1304" s="35">
        <v>44250</v>
      </c>
      <c r="B1304" s="37">
        <v>1266.25</v>
      </c>
      <c r="C1304" s="37">
        <v>50781.69</v>
      </c>
      <c r="D1304" s="38">
        <f t="shared" si="80"/>
        <v>6.1802704244419875E-3</v>
      </c>
      <c r="E1304" s="38">
        <f t="shared" si="81"/>
        <v>5.0602635944185965E-3</v>
      </c>
    </row>
    <row r="1305" spans="1:5">
      <c r="A1305" s="35">
        <v>44251</v>
      </c>
      <c r="B1305" s="37">
        <v>1274.0999999999999</v>
      </c>
      <c r="C1305" s="37">
        <v>51039.31</v>
      </c>
      <c r="D1305" s="38">
        <f t="shared" si="80"/>
        <v>5.1003394792995048E-4</v>
      </c>
      <c r="E1305" s="38">
        <f t="shared" si="81"/>
        <v>-3.8737289001910653E-2</v>
      </c>
    </row>
    <row r="1306" spans="1:5">
      <c r="A1306" s="35">
        <v>44252</v>
      </c>
      <c r="B1306" s="37">
        <v>1274.75</v>
      </c>
      <c r="C1306" s="37">
        <v>49099.99</v>
      </c>
      <c r="D1306" s="38">
        <f t="shared" si="80"/>
        <v>-1.7728294627146063E-2</v>
      </c>
      <c r="E1306" s="38">
        <f t="shared" si="81"/>
        <v>1.5156455639343468E-2</v>
      </c>
    </row>
    <row r="1307" spans="1:5">
      <c r="A1307" s="35">
        <v>44253</v>
      </c>
      <c r="B1307" s="37">
        <v>1252.3499999999999</v>
      </c>
      <c r="C1307" s="37">
        <v>49849.84</v>
      </c>
      <c r="D1307" s="38">
        <f t="shared" si="80"/>
        <v>1.2970967838433631E-2</v>
      </c>
      <c r="E1307" s="38">
        <f t="shared" si="81"/>
        <v>8.9279593945457893E-3</v>
      </c>
    </row>
    <row r="1308" spans="1:5">
      <c r="A1308" s="35">
        <v>44256</v>
      </c>
      <c r="B1308" s="37">
        <v>1268.7</v>
      </c>
      <c r="C1308" s="37">
        <v>50296.89</v>
      </c>
      <c r="D1308" s="38">
        <f t="shared" si="80"/>
        <v>2.7482052163232268E-2</v>
      </c>
      <c r="E1308" s="38">
        <f t="shared" si="81"/>
        <v>2.2563226254022045E-2</v>
      </c>
    </row>
    <row r="1309" spans="1:5">
      <c r="A1309" s="35">
        <v>44257</v>
      </c>
      <c r="B1309" s="37">
        <v>1304.05</v>
      </c>
      <c r="C1309" s="37">
        <v>51444.65</v>
      </c>
      <c r="D1309" s="38">
        <f t="shared" si="80"/>
        <v>2.9877772428352645E-2</v>
      </c>
      <c r="E1309" s="38">
        <f t="shared" si="81"/>
        <v>-1.1703442378214567E-2</v>
      </c>
    </row>
    <row r="1310" spans="1:5">
      <c r="A1310" s="35">
        <v>44258</v>
      </c>
      <c r="B1310" s="37">
        <v>1343.6</v>
      </c>
      <c r="C1310" s="37">
        <v>50846.080000000002</v>
      </c>
      <c r="D1310" s="38">
        <f t="shared" si="80"/>
        <v>-9.948098048277584E-3</v>
      </c>
      <c r="E1310" s="38">
        <f t="shared" si="81"/>
        <v>-8.7063049818801447E-3</v>
      </c>
    </row>
    <row r="1311" spans="1:5">
      <c r="A1311" s="35">
        <v>44259</v>
      </c>
      <c r="B1311" s="37">
        <v>1330.3</v>
      </c>
      <c r="C1311" s="37">
        <v>50405.32</v>
      </c>
      <c r="D1311" s="38">
        <f t="shared" si="80"/>
        <v>-1.080764780459745E-2</v>
      </c>
      <c r="E1311" s="38">
        <f t="shared" si="81"/>
        <v>7.0899913219644528E-4</v>
      </c>
    </row>
    <row r="1312" spans="1:5">
      <c r="A1312" s="35">
        <v>44260</v>
      </c>
      <c r="B1312" s="37">
        <v>1316</v>
      </c>
      <c r="C1312" s="37">
        <v>50441.07</v>
      </c>
      <c r="D1312" s="38">
        <f t="shared" si="80"/>
        <v>1.5307767901752596E-2</v>
      </c>
      <c r="E1312" s="38">
        <f t="shared" si="81"/>
        <v>1.151939161053853E-2</v>
      </c>
    </row>
    <row r="1313" spans="1:5">
      <c r="A1313" s="35">
        <v>44263</v>
      </c>
      <c r="B1313" s="37">
        <v>1336.3</v>
      </c>
      <c r="C1313" s="37">
        <v>51025.48</v>
      </c>
      <c r="D1313" s="38">
        <f t="shared" si="80"/>
        <v>7.0097229604805531E-3</v>
      </c>
      <c r="E1313" s="38">
        <f t="shared" si="81"/>
        <v>4.9661413795287082E-3</v>
      </c>
    </row>
    <row r="1314" spans="1:5">
      <c r="A1314" s="35">
        <v>44264</v>
      </c>
      <c r="B1314" s="37">
        <v>1345.7</v>
      </c>
      <c r="C1314" s="37">
        <v>51279.51</v>
      </c>
      <c r="D1314" s="38">
        <f t="shared" si="80"/>
        <v>1.6508592178572597E-2</v>
      </c>
      <c r="E1314" s="38">
        <f t="shared" si="81"/>
        <v>-9.5508202664488073E-3</v>
      </c>
    </row>
    <row r="1315" spans="1:5">
      <c r="A1315" s="35">
        <v>44265</v>
      </c>
      <c r="B1315" s="37">
        <v>1368.1</v>
      </c>
      <c r="C1315" s="37">
        <v>50792.08</v>
      </c>
      <c r="D1315" s="38">
        <f t="shared" si="80"/>
        <v>4.7398637614364655E-3</v>
      </c>
      <c r="E1315" s="38">
        <f t="shared" si="81"/>
        <v>-7.8468856534430528E-3</v>
      </c>
    </row>
    <row r="1316" spans="1:5">
      <c r="A1316" s="35">
        <v>44267</v>
      </c>
      <c r="B1316" s="37">
        <v>1374.6</v>
      </c>
      <c r="C1316" s="37">
        <v>50395.08</v>
      </c>
      <c r="D1316" s="38">
        <f t="shared" si="80"/>
        <v>-1.091822359798689E-3</v>
      </c>
      <c r="E1316" s="38">
        <f t="shared" si="81"/>
        <v>-6.1771134360814699E-4</v>
      </c>
    </row>
    <row r="1317" spans="1:5">
      <c r="A1317" s="35">
        <v>44270</v>
      </c>
      <c r="B1317" s="37">
        <v>1373.1</v>
      </c>
      <c r="C1317" s="37">
        <v>50363.96</v>
      </c>
      <c r="D1317" s="38">
        <f t="shared" si="80"/>
        <v>8.0875193753704444E-3</v>
      </c>
      <c r="E1317" s="38">
        <f t="shared" si="81"/>
        <v>-1.1228326299050058E-2</v>
      </c>
    </row>
    <row r="1318" spans="1:5">
      <c r="A1318" s="35">
        <v>44271</v>
      </c>
      <c r="B1318" s="37">
        <v>1384.25</v>
      </c>
      <c r="C1318" s="37">
        <v>49801.62</v>
      </c>
      <c r="D1318" s="38">
        <f t="shared" si="80"/>
        <v>2.1288503232008179E-3</v>
      </c>
      <c r="E1318" s="38">
        <f t="shared" si="81"/>
        <v>-1.1818174124933046E-2</v>
      </c>
    </row>
    <row r="1319" spans="1:5">
      <c r="A1319" s="35">
        <v>44272</v>
      </c>
      <c r="B1319" s="37">
        <v>1387.2</v>
      </c>
      <c r="C1319" s="37">
        <v>49216.52</v>
      </c>
      <c r="D1319" s="38">
        <f t="shared" si="80"/>
        <v>-3.742014368702249E-2</v>
      </c>
      <c r="E1319" s="38">
        <f t="shared" si="81"/>
        <v>1.2954439138586923E-2</v>
      </c>
    </row>
    <row r="1320" spans="1:5">
      <c r="A1320" s="35">
        <v>44273</v>
      </c>
      <c r="B1320" s="37">
        <v>1336.25</v>
      </c>
      <c r="C1320" s="37">
        <v>49858.239999999998</v>
      </c>
      <c r="D1320" s="38">
        <f t="shared" si="80"/>
        <v>6.7870188928667108E-3</v>
      </c>
      <c r="E1320" s="38">
        <f t="shared" si="81"/>
        <v>-1.7454668726340466E-3</v>
      </c>
    </row>
    <row r="1321" spans="1:5">
      <c r="A1321" s="35">
        <v>44274</v>
      </c>
      <c r="B1321" s="37">
        <v>1345.35</v>
      </c>
      <c r="C1321" s="37">
        <v>49771.29</v>
      </c>
      <c r="D1321" s="38">
        <f t="shared" si="80"/>
        <v>1.8521434510718714E-2</v>
      </c>
      <c r="E1321" s="38">
        <f t="shared" si="81"/>
        <v>5.6129648131006587E-3</v>
      </c>
    </row>
    <row r="1322" spans="1:5">
      <c r="A1322" s="35">
        <v>44277</v>
      </c>
      <c r="B1322" s="37">
        <v>1370.5</v>
      </c>
      <c r="C1322" s="37">
        <v>50051.44</v>
      </c>
      <c r="D1322" s="38">
        <f t="shared" si="80"/>
        <v>5.1063210067492761E-4</v>
      </c>
      <c r="E1322" s="38">
        <f t="shared" si="81"/>
        <v>-1.7557936432580839E-2</v>
      </c>
    </row>
    <row r="1323" spans="1:5">
      <c r="A1323" s="35">
        <v>44278</v>
      </c>
      <c r="B1323" s="37">
        <v>1371.2</v>
      </c>
      <c r="C1323" s="37">
        <v>49180.31</v>
      </c>
      <c r="D1323" s="38">
        <f t="shared" si="80"/>
        <v>-1.2770815769008107E-2</v>
      </c>
      <c r="E1323" s="38">
        <f t="shared" si="81"/>
        <v>-1.5164944170218384E-2</v>
      </c>
    </row>
    <row r="1324" spans="1:5">
      <c r="A1324" s="35">
        <v>44279</v>
      </c>
      <c r="B1324" s="37">
        <v>1353.8</v>
      </c>
      <c r="C1324" s="37">
        <v>48440.12</v>
      </c>
      <c r="D1324" s="38">
        <f t="shared" si="80"/>
        <v>-1.4920929458544138E-2</v>
      </c>
      <c r="E1324" s="38">
        <f t="shared" si="81"/>
        <v>1.166535648098963E-2</v>
      </c>
    </row>
    <row r="1325" spans="1:5">
      <c r="A1325" s="35">
        <v>44280</v>
      </c>
      <c r="B1325" s="37">
        <v>1333.75</v>
      </c>
      <c r="C1325" s="37">
        <v>49008.5</v>
      </c>
      <c r="D1325" s="38">
        <f t="shared" si="80"/>
        <v>1.910077171052135E-3</v>
      </c>
      <c r="E1325" s="38">
        <f t="shared" si="81"/>
        <v>2.2757128934740779E-2</v>
      </c>
    </row>
    <row r="1326" spans="1:5">
      <c r="A1326" s="35">
        <v>44281</v>
      </c>
      <c r="B1326" s="37">
        <v>1336.3</v>
      </c>
      <c r="C1326" s="37">
        <v>50136.58</v>
      </c>
      <c r="D1326" s="38">
        <f t="shared" si="80"/>
        <v>3.6192571919713624E-2</v>
      </c>
      <c r="E1326" s="38">
        <f t="shared" si="81"/>
        <v>-1.2593380411931034E-2</v>
      </c>
    </row>
    <row r="1327" spans="1:5">
      <c r="A1327" s="35">
        <v>44285</v>
      </c>
      <c r="B1327" s="37">
        <v>1385.55</v>
      </c>
      <c r="C1327" s="37">
        <v>49509.15</v>
      </c>
      <c r="D1327" s="38">
        <f t="shared" si="80"/>
        <v>-1.2930118762793394E-2</v>
      </c>
      <c r="E1327" s="38">
        <f t="shared" si="81"/>
        <v>1.0461926556000251E-2</v>
      </c>
    </row>
    <row r="1328" spans="1:5">
      <c r="A1328" s="35">
        <v>44286</v>
      </c>
      <c r="B1328" s="37">
        <v>1367.75</v>
      </c>
      <c r="C1328" s="37">
        <v>50029.83</v>
      </c>
      <c r="D1328" s="38">
        <f t="shared" si="80"/>
        <v>1.2749668719897958E-2</v>
      </c>
      <c r="E1328" s="38">
        <f t="shared" si="81"/>
        <v>-1.7552975315003674E-2</v>
      </c>
    </row>
    <row r="1329" spans="1:5">
      <c r="A1329" s="35">
        <v>44287</v>
      </c>
      <c r="B1329" s="37">
        <v>1385.3</v>
      </c>
      <c r="C1329" s="37">
        <v>49159.32</v>
      </c>
      <c r="D1329" s="38">
        <f t="shared" si="80"/>
        <v>1.7779359028836299E-2</v>
      </c>
      <c r="E1329" s="38">
        <f t="shared" si="81"/>
        <v>8.5542291358799193E-4</v>
      </c>
    </row>
    <row r="1330" spans="1:5">
      <c r="A1330" s="35">
        <v>44291</v>
      </c>
      <c r="B1330" s="37">
        <v>1410.15</v>
      </c>
      <c r="C1330" s="37">
        <v>49201.39</v>
      </c>
      <c r="D1330" s="38">
        <f t="shared" si="80"/>
        <v>7.0889309316809861E-4</v>
      </c>
      <c r="E1330" s="38">
        <f t="shared" si="81"/>
        <v>9.3133453190934051E-3</v>
      </c>
    </row>
    <row r="1331" spans="1:5">
      <c r="A1331" s="35">
        <v>44292</v>
      </c>
      <c r="B1331" s="37">
        <v>1411.15</v>
      </c>
      <c r="C1331" s="37">
        <v>49661.760000000002</v>
      </c>
      <c r="D1331" s="38">
        <f t="shared" si="80"/>
        <v>1.3444279362800576E-2</v>
      </c>
      <c r="E1331" s="38">
        <f t="shared" si="81"/>
        <v>1.6990593473715941E-3</v>
      </c>
    </row>
    <row r="1332" spans="1:5">
      <c r="A1332" s="35">
        <v>44293</v>
      </c>
      <c r="B1332" s="37">
        <v>1430.25</v>
      </c>
      <c r="C1332" s="37">
        <v>49746.21</v>
      </c>
      <c r="D1332" s="38">
        <f t="shared" si="80"/>
        <v>6.6549608865643086E-3</v>
      </c>
      <c r="E1332" s="38">
        <f t="shared" si="81"/>
        <v>-3.1184613815715911E-3</v>
      </c>
    </row>
    <row r="1333" spans="1:5">
      <c r="A1333" s="35">
        <v>44294</v>
      </c>
      <c r="B1333" s="37">
        <v>1439.8</v>
      </c>
      <c r="C1333" s="37">
        <v>49591.32</v>
      </c>
      <c r="D1333" s="38">
        <f t="shared" si="80"/>
        <v>6.5959628157314038E-4</v>
      </c>
      <c r="E1333" s="38">
        <f t="shared" si="81"/>
        <v>-3.5047347068861347E-2</v>
      </c>
    </row>
    <row r="1334" spans="1:5">
      <c r="A1334" s="35">
        <v>44295</v>
      </c>
      <c r="B1334" s="37">
        <v>1440.75</v>
      </c>
      <c r="C1334" s="37">
        <v>47883.38</v>
      </c>
      <c r="D1334" s="38">
        <f t="shared" si="80"/>
        <v>-1.0430751633247703E-2</v>
      </c>
      <c r="E1334" s="38">
        <f t="shared" si="81"/>
        <v>1.370336780971371E-2</v>
      </c>
    </row>
    <row r="1335" spans="1:5">
      <c r="A1335" s="35">
        <v>44298</v>
      </c>
      <c r="B1335" s="37">
        <v>1425.8</v>
      </c>
      <c r="C1335" s="37">
        <v>48544.06</v>
      </c>
      <c r="D1335" s="38">
        <f t="shared" si="80"/>
        <v>-1.9261323413761716E-2</v>
      </c>
      <c r="E1335" s="38">
        <f t="shared" si="81"/>
        <v>5.333880694540852E-3</v>
      </c>
    </row>
    <row r="1336" spans="1:5">
      <c r="A1336" s="35">
        <v>44299</v>
      </c>
      <c r="B1336" s="37">
        <v>1398.6</v>
      </c>
      <c r="C1336" s="37">
        <v>48803.68</v>
      </c>
      <c r="D1336" s="38">
        <f t="shared" si="80"/>
        <v>-2.688470315595206E-2</v>
      </c>
      <c r="E1336" s="38">
        <f t="shared" si="81"/>
        <v>5.8073016105990142E-4</v>
      </c>
    </row>
    <row r="1337" spans="1:5">
      <c r="A1337" s="35">
        <v>44301</v>
      </c>
      <c r="B1337" s="37">
        <v>1361.5</v>
      </c>
      <c r="C1337" s="37">
        <v>48832.03</v>
      </c>
      <c r="D1337" s="38">
        <f t="shared" si="80"/>
        <v>-6.5953334997888805E-3</v>
      </c>
      <c r="E1337" s="38">
        <f t="shared" si="81"/>
        <v>-1.8239744690021143E-2</v>
      </c>
    </row>
    <row r="1338" spans="1:5">
      <c r="A1338" s="35">
        <v>44302</v>
      </c>
      <c r="B1338" s="37">
        <v>1352.55</v>
      </c>
      <c r="C1338" s="37">
        <v>47949.42</v>
      </c>
      <c r="D1338" s="38">
        <f t="shared" si="80"/>
        <v>7.4029397255424099E-3</v>
      </c>
      <c r="E1338" s="38">
        <f t="shared" si="81"/>
        <v>-5.0937215291918577E-3</v>
      </c>
    </row>
    <row r="1339" spans="1:5">
      <c r="A1339" s="35">
        <v>44305</v>
      </c>
      <c r="B1339" s="37">
        <v>1362.6</v>
      </c>
      <c r="C1339" s="37">
        <v>47705.8</v>
      </c>
      <c r="D1339" s="38">
        <f t="shared" si="80"/>
        <v>-8.7716627728491939E-3</v>
      </c>
      <c r="E1339" s="38">
        <f t="shared" si="81"/>
        <v>7.8272414441772856E-3</v>
      </c>
    </row>
    <row r="1340" spans="1:5">
      <c r="A1340" s="35">
        <v>44306</v>
      </c>
      <c r="B1340" s="37">
        <v>1350.7</v>
      </c>
      <c r="C1340" s="37">
        <v>48080.67</v>
      </c>
      <c r="D1340" s="38">
        <f t="shared" si="80"/>
        <v>2.5909133114304997E-4</v>
      </c>
      <c r="E1340" s="38">
        <f t="shared" si="81"/>
        <v>-4.2147176704060976E-3</v>
      </c>
    </row>
    <row r="1341" spans="1:5">
      <c r="A1341" s="35">
        <v>44308</v>
      </c>
      <c r="B1341" s="37">
        <v>1351.05</v>
      </c>
      <c r="C1341" s="37">
        <v>47878.45</v>
      </c>
      <c r="D1341" s="38">
        <f t="shared" si="80"/>
        <v>-1.2812570522679038E-2</v>
      </c>
      <c r="E1341" s="38">
        <f t="shared" si="81"/>
        <v>1.0555548297353584E-2</v>
      </c>
    </row>
    <row r="1342" spans="1:5">
      <c r="A1342" s="35">
        <v>44309</v>
      </c>
      <c r="B1342" s="37">
        <v>1333.85</v>
      </c>
      <c r="C1342" s="37">
        <v>48386.51</v>
      </c>
      <c r="D1342" s="38">
        <f t="shared" si="80"/>
        <v>7.3202941269375245E-3</v>
      </c>
      <c r="E1342" s="38">
        <f t="shared" si="81"/>
        <v>1.1458591951396105E-2</v>
      </c>
    </row>
    <row r="1343" spans="1:5">
      <c r="A1343" s="35">
        <v>44312</v>
      </c>
      <c r="B1343" s="37">
        <v>1343.65</v>
      </c>
      <c r="C1343" s="37">
        <v>48944.14</v>
      </c>
      <c r="D1343" s="38">
        <f t="shared" si="80"/>
        <v>3.3805779172185412E-3</v>
      </c>
      <c r="E1343" s="38">
        <f t="shared" si="81"/>
        <v>1.6005938900861171E-2</v>
      </c>
    </row>
    <row r="1344" spans="1:5">
      <c r="A1344" s="35">
        <v>44313</v>
      </c>
      <c r="B1344" s="37">
        <v>1348.2</v>
      </c>
      <c r="C1344" s="37">
        <v>49733.84</v>
      </c>
      <c r="D1344" s="38">
        <f t="shared" si="80"/>
        <v>5.6581944931910948E-3</v>
      </c>
      <c r="E1344" s="38">
        <f t="shared" si="81"/>
        <v>6.4522757967214119E-4</v>
      </c>
    </row>
    <row r="1345" spans="1:5">
      <c r="A1345" s="35">
        <v>44314</v>
      </c>
      <c r="B1345" s="37">
        <v>1355.85</v>
      </c>
      <c r="C1345" s="37">
        <v>49765.94</v>
      </c>
      <c r="D1345" s="38">
        <f t="shared" si="80"/>
        <v>-2.2128789645509459E-4</v>
      </c>
      <c r="E1345" s="38">
        <f t="shared" si="81"/>
        <v>-1.996204219560806E-2</v>
      </c>
    </row>
    <row r="1346" spans="1:5">
      <c r="A1346" s="35">
        <v>44315</v>
      </c>
      <c r="B1346" s="37">
        <v>1355.55</v>
      </c>
      <c r="C1346" s="37">
        <v>48782.36</v>
      </c>
      <c r="D1346" s="38">
        <f t="shared" si="80"/>
        <v>-1.2179595150091603E-3</v>
      </c>
      <c r="E1346" s="38">
        <f t="shared" si="81"/>
        <v>-1.3095268293590962E-3</v>
      </c>
    </row>
    <row r="1347" spans="1:5">
      <c r="A1347" s="35">
        <v>44316</v>
      </c>
      <c r="B1347" s="37">
        <v>1353.9</v>
      </c>
      <c r="C1347" s="37">
        <v>48718.52</v>
      </c>
      <c r="D1347" s="38">
        <f t="shared" si="80"/>
        <v>-1.5522788348115424E-3</v>
      </c>
      <c r="E1347" s="38">
        <f t="shared" si="81"/>
        <v>-9.5906740188077128E-3</v>
      </c>
    </row>
    <row r="1348" spans="1:5">
      <c r="A1348" s="35">
        <v>44319</v>
      </c>
      <c r="B1348" s="37">
        <v>1351.8</v>
      </c>
      <c r="C1348" s="37">
        <v>48253.51</v>
      </c>
      <c r="D1348" s="38">
        <f t="shared" si="80"/>
        <v>-1.659649856699235E-2</v>
      </c>
      <c r="E1348" s="38">
        <f t="shared" si="81"/>
        <v>8.7493669226068587E-3</v>
      </c>
    </row>
    <row r="1349" spans="1:5">
      <c r="A1349" s="35">
        <v>44320</v>
      </c>
      <c r="B1349" s="37">
        <v>1329.55</v>
      </c>
      <c r="C1349" s="37">
        <v>48677.55</v>
      </c>
      <c r="D1349" s="38">
        <f t="shared" ref="D1349:D1412" si="82">LN(B1350/B1349)</f>
        <v>9.0223924097376958E-3</v>
      </c>
      <c r="E1349" s="38">
        <f t="shared" ref="E1349:E1412" si="83">LN(C1350/C1349)</f>
        <v>5.5765278265722052E-3</v>
      </c>
    </row>
    <row r="1350" spans="1:5">
      <c r="A1350" s="35">
        <v>44321</v>
      </c>
      <c r="B1350" s="37">
        <v>1341.6</v>
      </c>
      <c r="C1350" s="37">
        <v>48949.760000000002</v>
      </c>
      <c r="D1350" s="38">
        <f t="shared" si="82"/>
        <v>1.4466999148070554E-2</v>
      </c>
      <c r="E1350" s="38">
        <f t="shared" si="83"/>
        <v>5.2306529151080697E-3</v>
      </c>
    </row>
    <row r="1351" spans="1:5">
      <c r="A1351" s="35">
        <v>44322</v>
      </c>
      <c r="B1351" s="37">
        <v>1361.15</v>
      </c>
      <c r="C1351" s="37">
        <v>49206.47</v>
      </c>
      <c r="D1351" s="38">
        <f t="shared" si="82"/>
        <v>-6.4491388233386742E-3</v>
      </c>
      <c r="E1351" s="38">
        <f t="shared" si="83"/>
        <v>5.9962363407630023E-3</v>
      </c>
    </row>
    <row r="1352" spans="1:5">
      <c r="A1352" s="35">
        <v>44323</v>
      </c>
      <c r="B1352" s="37">
        <v>1352.4</v>
      </c>
      <c r="C1352" s="37">
        <v>49502.41</v>
      </c>
      <c r="D1352" s="38">
        <f t="shared" si="82"/>
        <v>-9.5843818490675848E-3</v>
      </c>
      <c r="E1352" s="38">
        <f t="shared" si="83"/>
        <v>-6.9042526864486198E-3</v>
      </c>
    </row>
    <row r="1353" spans="1:5">
      <c r="A1353" s="35">
        <v>44326</v>
      </c>
      <c r="B1353" s="37">
        <v>1339.5</v>
      </c>
      <c r="C1353" s="37">
        <v>49161.81</v>
      </c>
      <c r="D1353" s="38">
        <f t="shared" si="82"/>
        <v>-6.5912904349666266E-3</v>
      </c>
      <c r="E1353" s="38">
        <f t="shared" si="83"/>
        <v>-9.6270020335473515E-3</v>
      </c>
    </row>
    <row r="1354" spans="1:5">
      <c r="A1354" s="35">
        <v>44327</v>
      </c>
      <c r="B1354" s="37">
        <v>1330.7</v>
      </c>
      <c r="C1354" s="37">
        <v>48690.8</v>
      </c>
      <c r="D1354" s="38">
        <f t="shared" si="82"/>
        <v>-2.8220439024915522E-3</v>
      </c>
      <c r="E1354" s="38">
        <f t="shared" si="83"/>
        <v>8.5708410880503587E-4</v>
      </c>
    </row>
    <row r="1355" spans="1:5">
      <c r="A1355" s="35">
        <v>44328</v>
      </c>
      <c r="B1355" s="37">
        <v>1326.95</v>
      </c>
      <c r="C1355" s="37">
        <v>48732.55</v>
      </c>
      <c r="D1355" s="38">
        <f t="shared" si="82"/>
        <v>-7.6785247243999575E-3</v>
      </c>
      <c r="E1355" s="38">
        <f t="shared" si="83"/>
        <v>1.7255065530581603E-2</v>
      </c>
    </row>
    <row r="1356" spans="1:5">
      <c r="A1356" s="35">
        <v>44330</v>
      </c>
      <c r="B1356" s="37">
        <v>1316.8</v>
      </c>
      <c r="C1356" s="37">
        <v>49580.73</v>
      </c>
      <c r="D1356" s="38">
        <f t="shared" si="82"/>
        <v>9.335089238615835E-3</v>
      </c>
      <c r="E1356" s="38">
        <f t="shared" si="83"/>
        <v>1.2279899166427492E-2</v>
      </c>
    </row>
    <row r="1357" spans="1:5">
      <c r="A1357" s="35">
        <v>44333</v>
      </c>
      <c r="B1357" s="37">
        <v>1329.15</v>
      </c>
      <c r="C1357" s="37">
        <v>50193.33</v>
      </c>
      <c r="D1357" s="38">
        <f t="shared" si="82"/>
        <v>8.0926596545365312E-3</v>
      </c>
      <c r="E1357" s="38">
        <f t="shared" si="83"/>
        <v>-5.808242174349402E-3</v>
      </c>
    </row>
    <row r="1358" spans="1:5">
      <c r="A1358" s="35">
        <v>44334</v>
      </c>
      <c r="B1358" s="37">
        <v>1339.95</v>
      </c>
      <c r="C1358" s="37">
        <v>49902.64</v>
      </c>
      <c r="D1358" s="38">
        <f t="shared" si="82"/>
        <v>-2.5406327882414098E-3</v>
      </c>
      <c r="E1358" s="38">
        <f t="shared" si="83"/>
        <v>-6.7917922625534656E-3</v>
      </c>
    </row>
    <row r="1359" spans="1:5">
      <c r="A1359" s="35">
        <v>44335</v>
      </c>
      <c r="B1359" s="37">
        <v>1336.55</v>
      </c>
      <c r="C1359" s="37">
        <v>49564.86</v>
      </c>
      <c r="D1359" s="38">
        <f t="shared" si="82"/>
        <v>2.1674148993081773E-3</v>
      </c>
      <c r="E1359" s="38">
        <f t="shared" si="83"/>
        <v>1.9492484435648178E-2</v>
      </c>
    </row>
    <row r="1360" spans="1:5">
      <c r="A1360" s="35">
        <v>44336</v>
      </c>
      <c r="B1360" s="37">
        <v>1339.45</v>
      </c>
      <c r="C1360" s="37">
        <v>50540.480000000003</v>
      </c>
      <c r="D1360" s="38">
        <f t="shared" si="82"/>
        <v>1.1320945659666227E-2</v>
      </c>
      <c r="E1360" s="38">
        <f t="shared" si="83"/>
        <v>2.2021429879795569E-3</v>
      </c>
    </row>
    <row r="1361" spans="1:5">
      <c r="A1361" s="35">
        <v>44337</v>
      </c>
      <c r="B1361" s="37">
        <v>1354.7</v>
      </c>
      <c r="C1361" s="37">
        <v>50651.9</v>
      </c>
      <c r="D1361" s="38">
        <f t="shared" si="82"/>
        <v>-4.8467453407575172E-3</v>
      </c>
      <c r="E1361" s="38">
        <f t="shared" si="83"/>
        <v>-2.8374135576466529E-4</v>
      </c>
    </row>
    <row r="1362" spans="1:5">
      <c r="A1362" s="35">
        <v>44340</v>
      </c>
      <c r="B1362" s="37">
        <v>1348.15</v>
      </c>
      <c r="C1362" s="37">
        <v>50637.53</v>
      </c>
      <c r="D1362" s="38">
        <f t="shared" si="82"/>
        <v>1.0147501328978572E-2</v>
      </c>
      <c r="E1362" s="38">
        <f t="shared" si="83"/>
        <v>7.4761021684292507E-3</v>
      </c>
    </row>
    <row r="1363" spans="1:5">
      <c r="A1363" s="35">
        <v>44341</v>
      </c>
      <c r="B1363" s="37">
        <v>1361.9</v>
      </c>
      <c r="C1363" s="37">
        <v>51017.52</v>
      </c>
      <c r="D1363" s="38">
        <f t="shared" si="82"/>
        <v>2.5696802167640823E-2</v>
      </c>
      <c r="E1363" s="38">
        <f t="shared" si="83"/>
        <v>1.9131970766893488E-3</v>
      </c>
    </row>
    <row r="1364" spans="1:5">
      <c r="A1364" s="35">
        <v>44342</v>
      </c>
      <c r="B1364" s="37">
        <v>1397.35</v>
      </c>
      <c r="C1364" s="37">
        <v>51115.22</v>
      </c>
      <c r="D1364" s="38">
        <f t="shared" si="82"/>
        <v>5.2105756718792704E-3</v>
      </c>
      <c r="E1364" s="38">
        <f t="shared" si="83"/>
        <v>6.0009093841068223E-3</v>
      </c>
    </row>
    <row r="1365" spans="1:5">
      <c r="A1365" s="35">
        <v>44343</v>
      </c>
      <c r="B1365" s="37">
        <v>1404.65</v>
      </c>
      <c r="C1365" s="37">
        <v>51422.879999999997</v>
      </c>
      <c r="D1365" s="38">
        <f t="shared" si="82"/>
        <v>1.0678246642040425E-4</v>
      </c>
      <c r="E1365" s="38">
        <f t="shared" si="83"/>
        <v>9.9567077761743127E-3</v>
      </c>
    </row>
    <row r="1366" spans="1:5">
      <c r="A1366" s="35">
        <v>44344</v>
      </c>
      <c r="B1366" s="37">
        <v>1404.8</v>
      </c>
      <c r="C1366" s="37">
        <v>51937.440000000002</v>
      </c>
      <c r="D1366" s="38">
        <f t="shared" si="82"/>
        <v>-7.9687391254209677E-3</v>
      </c>
      <c r="E1366" s="38">
        <f t="shared" si="83"/>
        <v>-4.9291283770728784E-5</v>
      </c>
    </row>
    <row r="1367" spans="1:5">
      <c r="A1367" s="35">
        <v>44347</v>
      </c>
      <c r="B1367" s="37">
        <v>1393.65</v>
      </c>
      <c r="C1367" s="37">
        <v>51934.879999999997</v>
      </c>
      <c r="D1367" s="38">
        <f t="shared" si="82"/>
        <v>-4.4947128042302767E-3</v>
      </c>
      <c r="E1367" s="38">
        <f t="shared" si="83"/>
        <v>-1.6457204009301637E-3</v>
      </c>
    </row>
    <row r="1368" spans="1:5">
      <c r="A1368" s="35">
        <v>44348</v>
      </c>
      <c r="B1368" s="37">
        <v>1387.4</v>
      </c>
      <c r="C1368" s="37">
        <v>51849.48</v>
      </c>
      <c r="D1368" s="38">
        <f t="shared" si="82"/>
        <v>-5.5291686315903695E-3</v>
      </c>
      <c r="E1368" s="38">
        <f t="shared" si="83"/>
        <v>7.3586606559525262E-3</v>
      </c>
    </row>
    <row r="1369" spans="1:5">
      <c r="A1369" s="35">
        <v>44349</v>
      </c>
      <c r="B1369" s="37">
        <v>1379.75</v>
      </c>
      <c r="C1369" s="37">
        <v>52232.43</v>
      </c>
      <c r="D1369" s="38">
        <f t="shared" si="82"/>
        <v>7.0416468629478117E-3</v>
      </c>
      <c r="E1369" s="38">
        <f t="shared" si="83"/>
        <v>-2.5376578998351496E-3</v>
      </c>
    </row>
    <row r="1370" spans="1:5">
      <c r="A1370" s="35">
        <v>44350</v>
      </c>
      <c r="B1370" s="37">
        <v>1389.5</v>
      </c>
      <c r="C1370" s="37">
        <v>52100.05</v>
      </c>
      <c r="D1370" s="38">
        <f t="shared" si="82"/>
        <v>-3.0994366542914631E-3</v>
      </c>
      <c r="E1370" s="38">
        <f t="shared" si="83"/>
        <v>4.3754383758333485E-3</v>
      </c>
    </row>
    <row r="1371" spans="1:5">
      <c r="A1371" s="35">
        <v>44351</v>
      </c>
      <c r="B1371" s="37">
        <v>1385.2</v>
      </c>
      <c r="C1371" s="37">
        <v>52328.51</v>
      </c>
      <c r="D1371" s="38">
        <f t="shared" si="82"/>
        <v>3.1714023986281481E-3</v>
      </c>
      <c r="E1371" s="38">
        <f t="shared" si="83"/>
        <v>-1.0121976985973543E-3</v>
      </c>
    </row>
    <row r="1372" spans="1:5">
      <c r="A1372" s="35">
        <v>44354</v>
      </c>
      <c r="B1372" s="37">
        <v>1389.6</v>
      </c>
      <c r="C1372" s="37">
        <v>52275.57</v>
      </c>
      <c r="D1372" s="38">
        <f t="shared" si="82"/>
        <v>1.666378142736813E-2</v>
      </c>
      <c r="E1372" s="38">
        <f t="shared" si="83"/>
        <v>-6.408368498760619E-3</v>
      </c>
    </row>
    <row r="1373" spans="1:5">
      <c r="A1373" s="35">
        <v>44355</v>
      </c>
      <c r="B1373" s="37">
        <v>1412.95</v>
      </c>
      <c r="C1373" s="37">
        <v>51941.64</v>
      </c>
      <c r="D1373" s="38">
        <f t="shared" si="82"/>
        <v>1.2377771106254921E-3</v>
      </c>
      <c r="E1373" s="38">
        <f t="shared" si="83"/>
        <v>6.8845770159421038E-3</v>
      </c>
    </row>
    <row r="1374" spans="1:5">
      <c r="A1374" s="35">
        <v>44356</v>
      </c>
      <c r="B1374" s="37">
        <v>1414.7</v>
      </c>
      <c r="C1374" s="37">
        <v>52300.47</v>
      </c>
      <c r="D1374" s="38">
        <f t="shared" si="82"/>
        <v>6.9384798921824477E-3</v>
      </c>
      <c r="E1374" s="38">
        <f t="shared" si="83"/>
        <v>3.3269344435818342E-3</v>
      </c>
    </row>
    <row r="1375" spans="1:5">
      <c r="A1375" s="35">
        <v>44357</v>
      </c>
      <c r="B1375" s="37">
        <v>1424.55</v>
      </c>
      <c r="C1375" s="37">
        <v>52474.76</v>
      </c>
      <c r="D1375" s="38">
        <f t="shared" si="82"/>
        <v>1.5463687096876967E-2</v>
      </c>
      <c r="E1375" s="38">
        <f t="shared" si="83"/>
        <v>1.4619199378136166E-3</v>
      </c>
    </row>
    <row r="1376" spans="1:5">
      <c r="A1376" s="35">
        <v>44358</v>
      </c>
      <c r="B1376" s="37">
        <v>1446.75</v>
      </c>
      <c r="C1376" s="37">
        <v>52551.53</v>
      </c>
      <c r="D1376" s="38">
        <f t="shared" si="82"/>
        <v>1.0075218903169399E-2</v>
      </c>
      <c r="E1376" s="38">
        <f t="shared" si="83"/>
        <v>4.2064317110479593E-3</v>
      </c>
    </row>
    <row r="1377" spans="1:5">
      <c r="A1377" s="35">
        <v>44361</v>
      </c>
      <c r="B1377" s="37">
        <v>1461.4</v>
      </c>
      <c r="C1377" s="37">
        <v>52773.05</v>
      </c>
      <c r="D1377" s="38">
        <f t="shared" si="82"/>
        <v>7.8044189262913427E-3</v>
      </c>
      <c r="E1377" s="38">
        <f t="shared" si="83"/>
        <v>-5.1497605664932843E-3</v>
      </c>
    </row>
    <row r="1378" spans="1:5">
      <c r="A1378" s="35">
        <v>44362</v>
      </c>
      <c r="B1378" s="37">
        <v>1472.85</v>
      </c>
      <c r="C1378" s="37">
        <v>52501.98</v>
      </c>
      <c r="D1378" s="38">
        <f t="shared" si="82"/>
        <v>5.045470636037456E-3</v>
      </c>
      <c r="E1378" s="38">
        <f t="shared" si="83"/>
        <v>-3.4085312595634643E-3</v>
      </c>
    </row>
    <row r="1379" spans="1:5">
      <c r="A1379" s="35">
        <v>44363</v>
      </c>
      <c r="B1379" s="37">
        <v>1480.3</v>
      </c>
      <c r="C1379" s="37">
        <v>52323.33</v>
      </c>
      <c r="D1379" s="38">
        <f t="shared" si="82"/>
        <v>1.125173507601036E-2</v>
      </c>
      <c r="E1379" s="38">
        <f t="shared" si="83"/>
        <v>4.0356259178589253E-4</v>
      </c>
    </row>
    <row r="1380" spans="1:5">
      <c r="A1380" s="35">
        <v>44364</v>
      </c>
      <c r="B1380" s="37">
        <v>1497.05</v>
      </c>
      <c r="C1380" s="37">
        <v>52344.45</v>
      </c>
      <c r="D1380" s="38">
        <f t="shared" si="82"/>
        <v>4.9641120746430232E-3</v>
      </c>
      <c r="E1380" s="38">
        <f t="shared" si="83"/>
        <v>4.3845359902974978E-3</v>
      </c>
    </row>
    <row r="1381" spans="1:5">
      <c r="A1381" s="35">
        <v>44365</v>
      </c>
      <c r="B1381" s="37">
        <v>1504.5</v>
      </c>
      <c r="C1381" s="37">
        <v>52574.46</v>
      </c>
      <c r="D1381" s="38">
        <f t="shared" si="82"/>
        <v>-2.762202864453593E-3</v>
      </c>
      <c r="E1381" s="38">
        <f t="shared" si="83"/>
        <v>2.7100742754749939E-4</v>
      </c>
    </row>
    <row r="1382" spans="1:5">
      <c r="A1382" s="35">
        <v>44368</v>
      </c>
      <c r="B1382" s="37">
        <v>1500.35</v>
      </c>
      <c r="C1382" s="37">
        <v>52588.71</v>
      </c>
      <c r="D1382" s="38">
        <f t="shared" si="82"/>
        <v>7.5364311490159269E-3</v>
      </c>
      <c r="E1382" s="38">
        <f t="shared" si="83"/>
        <v>-5.3888412180447482E-3</v>
      </c>
    </row>
    <row r="1383" spans="1:5">
      <c r="A1383" s="35">
        <v>44369</v>
      </c>
      <c r="B1383" s="37">
        <v>1511.7</v>
      </c>
      <c r="C1383" s="37">
        <v>52306.080000000002</v>
      </c>
      <c r="D1383" s="38">
        <f t="shared" si="82"/>
        <v>-5.8715399812805233E-3</v>
      </c>
      <c r="E1383" s="38">
        <f t="shared" si="83"/>
        <v>7.4838633310652849E-3</v>
      </c>
    </row>
    <row r="1384" spans="1:5">
      <c r="A1384" s="35">
        <v>44370</v>
      </c>
      <c r="B1384" s="37">
        <v>1502.85</v>
      </c>
      <c r="C1384" s="37">
        <v>52699</v>
      </c>
      <c r="D1384" s="38">
        <f t="shared" si="82"/>
        <v>3.6777495578749375E-2</v>
      </c>
      <c r="E1384" s="38">
        <f t="shared" si="83"/>
        <v>4.280092771919224E-3</v>
      </c>
    </row>
    <row r="1385" spans="1:5">
      <c r="A1385" s="35">
        <v>44371</v>
      </c>
      <c r="B1385" s="37">
        <v>1559.15</v>
      </c>
      <c r="C1385" s="37">
        <v>52925.04</v>
      </c>
      <c r="D1385" s="38">
        <f t="shared" si="82"/>
        <v>9.7652039716605195E-3</v>
      </c>
      <c r="E1385" s="38">
        <f t="shared" si="83"/>
        <v>-3.5860131255920683E-3</v>
      </c>
    </row>
    <row r="1386" spans="1:5">
      <c r="A1386" s="35">
        <v>44372</v>
      </c>
      <c r="B1386" s="37">
        <v>1574.45</v>
      </c>
      <c r="C1386" s="37">
        <v>52735.59</v>
      </c>
      <c r="D1386" s="38">
        <f t="shared" si="82"/>
        <v>-1.8436114567079592E-3</v>
      </c>
      <c r="E1386" s="38">
        <f t="shared" si="83"/>
        <v>-3.5319324080563155E-3</v>
      </c>
    </row>
    <row r="1387" spans="1:5">
      <c r="A1387" s="35">
        <v>44375</v>
      </c>
      <c r="B1387" s="37">
        <v>1571.55</v>
      </c>
      <c r="C1387" s="37">
        <v>52549.66</v>
      </c>
      <c r="D1387" s="38">
        <f t="shared" si="82"/>
        <v>-5.7112929044397338E-3</v>
      </c>
      <c r="E1387" s="38">
        <f t="shared" si="83"/>
        <v>-1.2748452513722519E-3</v>
      </c>
    </row>
    <row r="1388" spans="1:5">
      <c r="A1388" s="35">
        <v>44376</v>
      </c>
      <c r="B1388" s="37">
        <v>1562.6</v>
      </c>
      <c r="C1388" s="37">
        <v>52482.71</v>
      </c>
      <c r="D1388" s="38">
        <f t="shared" si="82"/>
        <v>1.1864572913186482E-2</v>
      </c>
      <c r="E1388" s="38">
        <f t="shared" si="83"/>
        <v>-3.1318336409682825E-3</v>
      </c>
    </row>
    <row r="1389" spans="1:5">
      <c r="A1389" s="35">
        <v>44377</v>
      </c>
      <c r="B1389" s="37">
        <v>1581.25</v>
      </c>
      <c r="C1389" s="37">
        <v>52318.6</v>
      </c>
      <c r="D1389" s="38">
        <f t="shared" si="82"/>
        <v>-1.3241432290816431E-2</v>
      </c>
      <c r="E1389" s="38">
        <f t="shared" si="83"/>
        <v>3.1691785761324828E-3</v>
      </c>
    </row>
    <row r="1390" spans="1:5">
      <c r="A1390" s="35">
        <v>44378</v>
      </c>
      <c r="B1390" s="37">
        <v>1560.45</v>
      </c>
      <c r="C1390" s="37">
        <v>52484.67</v>
      </c>
      <c r="D1390" s="38">
        <f t="shared" si="82"/>
        <v>4.4439544337503117E-3</v>
      </c>
      <c r="E1390" s="38">
        <f t="shared" si="83"/>
        <v>7.5040685861537245E-3</v>
      </c>
    </row>
    <row r="1391" spans="1:5">
      <c r="A1391" s="35">
        <v>44379</v>
      </c>
      <c r="B1391" s="37">
        <v>1567.4</v>
      </c>
      <c r="C1391" s="37">
        <v>52880</v>
      </c>
      <c r="D1391" s="38">
        <f t="shared" si="82"/>
        <v>7.4368688538331588E-3</v>
      </c>
      <c r="E1391" s="38">
        <f t="shared" si="83"/>
        <v>-3.5596349877549095E-4</v>
      </c>
    </row>
    <row r="1392" spans="1:5">
      <c r="A1392" s="35">
        <v>44382</v>
      </c>
      <c r="B1392" s="37">
        <v>1579.1</v>
      </c>
      <c r="C1392" s="37">
        <v>52861.18</v>
      </c>
      <c r="D1392" s="38">
        <f t="shared" si="82"/>
        <v>-1.0567961862040915E-2</v>
      </c>
      <c r="E1392" s="38">
        <f t="shared" si="83"/>
        <v>3.655355663089672E-3</v>
      </c>
    </row>
    <row r="1393" spans="1:5">
      <c r="A1393" s="35">
        <v>44383</v>
      </c>
      <c r="B1393" s="37">
        <v>1562.5</v>
      </c>
      <c r="C1393" s="37">
        <v>53054.76</v>
      </c>
      <c r="D1393" s="38">
        <f t="shared" si="82"/>
        <v>8.3165407985701947E-4</v>
      </c>
      <c r="E1393" s="38">
        <f t="shared" si="83"/>
        <v>-9.1991366710782955E-3</v>
      </c>
    </row>
    <row r="1394" spans="1:5">
      <c r="A1394" s="35">
        <v>44384</v>
      </c>
      <c r="B1394" s="37">
        <v>1563.8</v>
      </c>
      <c r="C1394" s="37">
        <v>52568.94</v>
      </c>
      <c r="D1394" s="38">
        <f t="shared" si="82"/>
        <v>-2.1124739795794368E-3</v>
      </c>
      <c r="E1394" s="38">
        <f t="shared" si="83"/>
        <v>-3.4824440632947587E-3</v>
      </c>
    </row>
    <row r="1395" spans="1:5">
      <c r="A1395" s="35">
        <v>44385</v>
      </c>
      <c r="B1395" s="37">
        <v>1560.5</v>
      </c>
      <c r="C1395" s="37">
        <v>52386.19</v>
      </c>
      <c r="D1395" s="38">
        <f t="shared" si="82"/>
        <v>1.440807101087587E-3</v>
      </c>
      <c r="E1395" s="38">
        <f t="shared" si="83"/>
        <v>-2.5773471565812935E-4</v>
      </c>
    </row>
    <row r="1396" spans="1:5">
      <c r="A1396" s="35">
        <v>44386</v>
      </c>
      <c r="B1396" s="37">
        <v>1562.75</v>
      </c>
      <c r="C1396" s="37">
        <v>52372.69</v>
      </c>
      <c r="D1396" s="38">
        <f t="shared" si="82"/>
        <v>-9.5156149254992366E-3</v>
      </c>
      <c r="E1396" s="38">
        <f t="shared" si="83"/>
        <v>7.5524586032823847E-3</v>
      </c>
    </row>
    <row r="1397" spans="1:5">
      <c r="A1397" s="35">
        <v>44389</v>
      </c>
      <c r="B1397" s="37">
        <v>1547.95</v>
      </c>
      <c r="C1397" s="37">
        <v>52769.73</v>
      </c>
      <c r="D1397" s="38">
        <f t="shared" si="82"/>
        <v>-1.972291568418473E-3</v>
      </c>
      <c r="E1397" s="38">
        <f t="shared" si="83"/>
        <v>2.5421646190386658E-3</v>
      </c>
    </row>
    <row r="1398" spans="1:5">
      <c r="A1398" s="35">
        <v>44390</v>
      </c>
      <c r="B1398" s="37">
        <v>1544.9</v>
      </c>
      <c r="C1398" s="37">
        <v>52904.05</v>
      </c>
      <c r="D1398" s="38">
        <f t="shared" si="82"/>
        <v>2.0501711093537128E-2</v>
      </c>
      <c r="E1398" s="38">
        <f t="shared" si="83"/>
        <v>4.8047053243954821E-3</v>
      </c>
    </row>
    <row r="1399" spans="1:5">
      <c r="A1399" s="35">
        <v>44391</v>
      </c>
      <c r="B1399" s="37">
        <v>1576.9</v>
      </c>
      <c r="C1399" s="37">
        <v>53158.85</v>
      </c>
      <c r="D1399" s="38">
        <f t="shared" si="82"/>
        <v>2.1538080035168727E-3</v>
      </c>
      <c r="E1399" s="38">
        <f t="shared" si="83"/>
        <v>-3.5353138043854989E-4</v>
      </c>
    </row>
    <row r="1400" spans="1:5">
      <c r="A1400" s="35">
        <v>44392</v>
      </c>
      <c r="B1400" s="37">
        <v>1580.3</v>
      </c>
      <c r="C1400" s="37">
        <v>53140.06</v>
      </c>
      <c r="D1400" s="38">
        <f t="shared" si="82"/>
        <v>-1.6139156801723568E-2</v>
      </c>
      <c r="E1400" s="38">
        <f t="shared" si="83"/>
        <v>-1.1101273908562598E-2</v>
      </c>
    </row>
    <row r="1401" spans="1:5">
      <c r="A1401" s="35">
        <v>44393</v>
      </c>
      <c r="B1401" s="37">
        <v>1555</v>
      </c>
      <c r="C1401" s="37">
        <v>52553.4</v>
      </c>
      <c r="D1401" s="38">
        <f t="shared" si="82"/>
        <v>-8.5249805881727793E-3</v>
      </c>
      <c r="E1401" s="38">
        <f t="shared" si="83"/>
        <v>-6.7758450955284783E-3</v>
      </c>
    </row>
    <row r="1402" spans="1:5">
      <c r="A1402" s="35">
        <v>44396</v>
      </c>
      <c r="B1402" s="37">
        <v>1541.8</v>
      </c>
      <c r="C1402" s="37">
        <v>52198.51</v>
      </c>
      <c r="D1402" s="38">
        <f t="shared" si="82"/>
        <v>5.1107987681276116E-3</v>
      </c>
      <c r="E1402" s="38">
        <f t="shared" si="83"/>
        <v>1.2161726931803774E-2</v>
      </c>
    </row>
    <row r="1403" spans="1:5">
      <c r="A1403" s="35">
        <v>44397</v>
      </c>
      <c r="B1403" s="37">
        <v>1549.7</v>
      </c>
      <c r="C1403" s="37">
        <v>52837.21</v>
      </c>
      <c r="D1403" s="38">
        <f t="shared" si="82"/>
        <v>2.5798430674093736E-2</v>
      </c>
      <c r="E1403" s="38">
        <f t="shared" si="83"/>
        <v>2.6195281515862872E-3</v>
      </c>
    </row>
    <row r="1404" spans="1:5">
      <c r="A1404" s="35">
        <v>44399</v>
      </c>
      <c r="B1404" s="37">
        <v>1590.2</v>
      </c>
      <c r="C1404" s="37">
        <v>52975.8</v>
      </c>
      <c r="D1404" s="38">
        <f t="shared" si="82"/>
        <v>9.4323308931551616E-5</v>
      </c>
      <c r="E1404" s="38">
        <f t="shared" si="83"/>
        <v>-2.3345423592080628E-3</v>
      </c>
    </row>
    <row r="1405" spans="1:5">
      <c r="A1405" s="35">
        <v>44400</v>
      </c>
      <c r="B1405" s="37">
        <v>1590.35</v>
      </c>
      <c r="C1405" s="37">
        <v>52852.27</v>
      </c>
      <c r="D1405" s="38">
        <f t="shared" si="82"/>
        <v>8.5775632341315907E-3</v>
      </c>
      <c r="E1405" s="38">
        <f t="shared" si="83"/>
        <v>-5.1884272318830594E-3</v>
      </c>
    </row>
    <row r="1406" spans="1:5">
      <c r="A1406" s="35">
        <v>44403</v>
      </c>
      <c r="B1406" s="37">
        <v>1604.05</v>
      </c>
      <c r="C1406" s="37">
        <v>52578.76</v>
      </c>
      <c r="D1406" s="38">
        <f t="shared" si="82"/>
        <v>-9.043706664762578E-4</v>
      </c>
      <c r="E1406" s="38">
        <f t="shared" si="83"/>
        <v>-2.5718319982124152E-3</v>
      </c>
    </row>
    <row r="1407" spans="1:5">
      <c r="A1407" s="35">
        <v>44404</v>
      </c>
      <c r="B1407" s="37">
        <v>1602.6</v>
      </c>
      <c r="C1407" s="37">
        <v>52443.71</v>
      </c>
      <c r="D1407" s="38">
        <f t="shared" si="82"/>
        <v>1.6833446413985105E-3</v>
      </c>
      <c r="E1407" s="38">
        <f t="shared" si="83"/>
        <v>3.9841425577017506E-3</v>
      </c>
    </row>
    <row r="1408" spans="1:5">
      <c r="A1408" s="35">
        <v>44405</v>
      </c>
      <c r="B1408" s="37">
        <v>1605.3</v>
      </c>
      <c r="C1408" s="37">
        <v>52653.07</v>
      </c>
      <c r="D1408" s="38">
        <f t="shared" si="82"/>
        <v>7.1691569103784093E-3</v>
      </c>
      <c r="E1408" s="38">
        <f t="shared" si="83"/>
        <v>-1.2586481448613727E-3</v>
      </c>
    </row>
    <row r="1409" spans="1:5">
      <c r="A1409" s="35">
        <v>44406</v>
      </c>
      <c r="B1409" s="37">
        <v>1616.85</v>
      </c>
      <c r="C1409" s="37">
        <v>52586.84</v>
      </c>
      <c r="D1409" s="38">
        <f t="shared" si="82"/>
        <v>-4.0903654687470103E-3</v>
      </c>
      <c r="E1409" s="38">
        <f t="shared" si="83"/>
        <v>6.8940716668038221E-3</v>
      </c>
    </row>
    <row r="1410" spans="1:5">
      <c r="A1410" s="35">
        <v>44407</v>
      </c>
      <c r="B1410" s="37">
        <v>1610.25</v>
      </c>
      <c r="C1410" s="37">
        <v>52950.63</v>
      </c>
      <c r="D1410" s="38">
        <f t="shared" si="82"/>
        <v>1.3018446447063139E-2</v>
      </c>
      <c r="E1410" s="38">
        <f t="shared" si="83"/>
        <v>1.6347603679736318E-2</v>
      </c>
    </row>
    <row r="1411" spans="1:5">
      <c r="A1411" s="35">
        <v>44410</v>
      </c>
      <c r="B1411" s="37">
        <v>1631.35</v>
      </c>
      <c r="C1411" s="37">
        <v>53823.360000000001</v>
      </c>
      <c r="D1411" s="38">
        <f t="shared" si="82"/>
        <v>1.384916137411228E-2</v>
      </c>
      <c r="E1411" s="38">
        <f t="shared" si="83"/>
        <v>1.010072720146522E-2</v>
      </c>
    </row>
    <row r="1412" spans="1:5">
      <c r="A1412" s="35">
        <v>44411</v>
      </c>
      <c r="B1412" s="37">
        <v>1654.1</v>
      </c>
      <c r="C1412" s="37">
        <v>54369.77</v>
      </c>
      <c r="D1412" s="38">
        <f t="shared" si="82"/>
        <v>-2.997050604830423E-3</v>
      </c>
      <c r="E1412" s="38">
        <f t="shared" si="83"/>
        <v>2.2610160169739741E-3</v>
      </c>
    </row>
    <row r="1413" spans="1:5">
      <c r="A1413" s="35">
        <v>44412</v>
      </c>
      <c r="B1413" s="37">
        <v>1649.15</v>
      </c>
      <c r="C1413" s="37">
        <v>54492.84</v>
      </c>
      <c r="D1413" s="38">
        <f t="shared" ref="D1413:D1476" si="84">LN(B1414/B1413)</f>
        <v>3.4503666191815674E-3</v>
      </c>
      <c r="E1413" s="38">
        <f t="shared" ref="E1413:E1476" si="85">LN(C1414/C1413)</f>
        <v>-3.9554872288675488E-3</v>
      </c>
    </row>
    <row r="1414" spans="1:5">
      <c r="A1414" s="35">
        <v>44413</v>
      </c>
      <c r="B1414" s="37">
        <v>1654.85</v>
      </c>
      <c r="C1414" s="37">
        <v>54277.72</v>
      </c>
      <c r="D1414" s="38">
        <f t="shared" si="84"/>
        <v>-2.7229836503023458E-3</v>
      </c>
      <c r="E1414" s="38">
        <f t="shared" si="85"/>
        <v>2.3027125325465829E-3</v>
      </c>
    </row>
    <row r="1415" spans="1:5">
      <c r="A1415" s="35">
        <v>44414</v>
      </c>
      <c r="B1415" s="37">
        <v>1650.35</v>
      </c>
      <c r="C1415" s="37">
        <v>54402.85</v>
      </c>
      <c r="D1415" s="38">
        <f t="shared" si="84"/>
        <v>7.6358135807034922E-3</v>
      </c>
      <c r="E1415" s="38">
        <f t="shared" si="85"/>
        <v>2.786592649464154E-3</v>
      </c>
    </row>
    <row r="1416" spans="1:5">
      <c r="A1416" s="35">
        <v>44417</v>
      </c>
      <c r="B1416" s="37">
        <v>1663</v>
      </c>
      <c r="C1416" s="37">
        <v>54554.66</v>
      </c>
      <c r="D1416" s="38">
        <f t="shared" si="84"/>
        <v>7.9956105959628279E-3</v>
      </c>
      <c r="E1416" s="38">
        <f t="shared" si="85"/>
        <v>-5.2676650656809272E-4</v>
      </c>
    </row>
    <row r="1417" spans="1:5">
      <c r="A1417" s="35">
        <v>44418</v>
      </c>
      <c r="B1417" s="37">
        <v>1676.35</v>
      </c>
      <c r="C1417" s="37">
        <v>54525.93</v>
      </c>
      <c r="D1417" s="38">
        <f t="shared" si="84"/>
        <v>6.5597235341652727E-4</v>
      </c>
      <c r="E1417" s="38">
        <f t="shared" si="85"/>
        <v>5.816058485257217E-3</v>
      </c>
    </row>
    <row r="1418" spans="1:5">
      <c r="A1418" s="35">
        <v>44419</v>
      </c>
      <c r="B1418" s="37">
        <v>1677.45</v>
      </c>
      <c r="C1418" s="37">
        <v>54843.98</v>
      </c>
      <c r="D1418" s="38">
        <f t="shared" si="84"/>
        <v>7.7495600056337287E-3</v>
      </c>
      <c r="E1418" s="38">
        <f t="shared" si="85"/>
        <v>1.0760045189378332E-2</v>
      </c>
    </row>
    <row r="1419" spans="1:5">
      <c r="A1419" s="35">
        <v>44420</v>
      </c>
      <c r="B1419" s="37">
        <v>1690.5</v>
      </c>
      <c r="C1419" s="37">
        <v>55437.29</v>
      </c>
      <c r="D1419" s="38">
        <f t="shared" si="84"/>
        <v>1.2929947988439581E-2</v>
      </c>
      <c r="E1419" s="38">
        <f t="shared" si="85"/>
        <v>2.6173707993712757E-3</v>
      </c>
    </row>
    <row r="1420" spans="1:5">
      <c r="A1420" s="35">
        <v>44421</v>
      </c>
      <c r="B1420" s="37">
        <v>1712.5</v>
      </c>
      <c r="C1420" s="37">
        <v>55582.58</v>
      </c>
      <c r="D1420" s="38">
        <f t="shared" si="84"/>
        <v>-4.5358187356180652E-3</v>
      </c>
      <c r="E1420" s="38">
        <f t="shared" si="85"/>
        <v>3.7654865126948117E-3</v>
      </c>
    </row>
    <row r="1421" spans="1:5">
      <c r="A1421" s="35">
        <v>44424</v>
      </c>
      <c r="B1421" s="37">
        <v>1704.75</v>
      </c>
      <c r="C1421" s="37">
        <v>55792.27</v>
      </c>
      <c r="D1421" s="38">
        <f t="shared" si="84"/>
        <v>2.1299627111704338E-2</v>
      </c>
      <c r="E1421" s="38">
        <f t="shared" si="85"/>
        <v>-2.9218729951675862E-3</v>
      </c>
    </row>
    <row r="1422" spans="1:5">
      <c r="A1422" s="35">
        <v>44425</v>
      </c>
      <c r="B1422" s="37">
        <v>1741.45</v>
      </c>
      <c r="C1422" s="37">
        <v>55629.49</v>
      </c>
      <c r="D1422" s="38">
        <f t="shared" si="84"/>
        <v>-4.6621472726697411E-3</v>
      </c>
      <c r="E1422" s="38">
        <f t="shared" si="85"/>
        <v>-5.410489392401319E-3</v>
      </c>
    </row>
    <row r="1423" spans="1:5">
      <c r="A1423" s="35">
        <v>44426</v>
      </c>
      <c r="B1423" s="37">
        <v>1733.35</v>
      </c>
      <c r="C1423" s="37">
        <v>55329.32</v>
      </c>
      <c r="D1423" s="38">
        <f t="shared" si="84"/>
        <v>-6.925407865883968E-4</v>
      </c>
      <c r="E1423" s="38">
        <f t="shared" si="85"/>
        <v>4.0847741395528808E-3</v>
      </c>
    </row>
    <row r="1424" spans="1:5">
      <c r="A1424" s="35">
        <v>44428</v>
      </c>
      <c r="B1424" s="37">
        <v>1732.15</v>
      </c>
      <c r="C1424" s="37">
        <v>55555.79</v>
      </c>
      <c r="D1424" s="38">
        <f t="shared" si="84"/>
        <v>4.0618259137366582E-3</v>
      </c>
      <c r="E1424" s="38">
        <f t="shared" si="85"/>
        <v>7.2311812488748536E-3</v>
      </c>
    </row>
    <row r="1425" spans="1:5">
      <c r="A1425" s="35">
        <v>44431</v>
      </c>
      <c r="B1425" s="37">
        <v>1739.2</v>
      </c>
      <c r="C1425" s="37">
        <v>55958.98</v>
      </c>
      <c r="D1425" s="38">
        <f t="shared" si="84"/>
        <v>-1.066499508847144E-2</v>
      </c>
      <c r="E1425" s="38">
        <f t="shared" si="85"/>
        <v>-2.6397817766903508E-4</v>
      </c>
    </row>
    <row r="1426" spans="1:5">
      <c r="A1426" s="35">
        <v>44432</v>
      </c>
      <c r="B1426" s="37">
        <v>1720.75</v>
      </c>
      <c r="C1426" s="37">
        <v>55944.21</v>
      </c>
      <c r="D1426" s="38">
        <f t="shared" si="84"/>
        <v>9.514379382193152E-3</v>
      </c>
      <c r="E1426" s="38">
        <f t="shared" si="85"/>
        <v>8.7404689397624889E-5</v>
      </c>
    </row>
    <row r="1427" spans="1:5">
      <c r="A1427" s="35">
        <v>44433</v>
      </c>
      <c r="B1427" s="37">
        <v>1737.2</v>
      </c>
      <c r="C1427" s="37">
        <v>55949.1</v>
      </c>
      <c r="D1427" s="38">
        <f t="shared" si="84"/>
        <v>-5.9177748728836375E-3</v>
      </c>
      <c r="E1427" s="38">
        <f t="shared" si="85"/>
        <v>3.1340083481596762E-3</v>
      </c>
    </row>
    <row r="1428" spans="1:5">
      <c r="A1428" s="35">
        <v>44434</v>
      </c>
      <c r="B1428" s="37">
        <v>1726.95</v>
      </c>
      <c r="C1428" s="37">
        <v>56124.72</v>
      </c>
      <c r="D1428" s="38">
        <f t="shared" si="84"/>
        <v>-1.0770320098196128E-2</v>
      </c>
      <c r="E1428" s="38">
        <f t="shared" si="85"/>
        <v>1.3539002900221838E-2</v>
      </c>
    </row>
    <row r="1429" spans="1:5">
      <c r="A1429" s="35">
        <v>44435</v>
      </c>
      <c r="B1429" s="37">
        <v>1708.45</v>
      </c>
      <c r="C1429" s="37">
        <v>56889.760000000002</v>
      </c>
      <c r="D1429" s="38">
        <f t="shared" si="84"/>
        <v>-6.2237819430482292E-3</v>
      </c>
      <c r="E1429" s="38">
        <f t="shared" si="85"/>
        <v>1.1580303324654869E-2</v>
      </c>
    </row>
    <row r="1430" spans="1:5">
      <c r="A1430" s="35">
        <v>44438</v>
      </c>
      <c r="B1430" s="37">
        <v>1697.85</v>
      </c>
      <c r="C1430" s="37">
        <v>57552.39</v>
      </c>
      <c r="D1430" s="38">
        <f t="shared" si="84"/>
        <v>3.7037079374844318E-3</v>
      </c>
      <c r="E1430" s="38">
        <f t="shared" si="85"/>
        <v>-3.7284207430684606E-3</v>
      </c>
    </row>
    <row r="1431" spans="1:5">
      <c r="A1431" s="35">
        <v>44439</v>
      </c>
      <c r="B1431" s="37">
        <v>1704.15</v>
      </c>
      <c r="C1431" s="37">
        <v>57338.21</v>
      </c>
      <c r="D1431" s="38">
        <f t="shared" si="84"/>
        <v>-1.5851285614227044E-2</v>
      </c>
      <c r="E1431" s="38">
        <f t="shared" si="85"/>
        <v>8.9301166633194064E-3</v>
      </c>
    </row>
    <row r="1432" spans="1:5">
      <c r="A1432" s="35">
        <v>44440</v>
      </c>
      <c r="B1432" s="37">
        <v>1677.35</v>
      </c>
      <c r="C1432" s="37">
        <v>57852.54</v>
      </c>
      <c r="D1432" s="38">
        <f t="shared" si="84"/>
        <v>6.5957812356505869E-3</v>
      </c>
      <c r="E1432" s="38">
        <f t="shared" si="85"/>
        <v>4.7836622408668067E-3</v>
      </c>
    </row>
    <row r="1433" spans="1:5">
      <c r="A1433" s="35">
        <v>44441</v>
      </c>
      <c r="B1433" s="37">
        <v>1688.45</v>
      </c>
      <c r="C1433" s="37">
        <v>58129.95</v>
      </c>
      <c r="D1433" s="38">
        <f t="shared" si="84"/>
        <v>6.9937577579934403E-3</v>
      </c>
      <c r="E1433" s="38">
        <f t="shared" si="85"/>
        <v>2.8680686647141996E-3</v>
      </c>
    </row>
    <row r="1434" spans="1:5">
      <c r="A1434" s="35">
        <v>44442</v>
      </c>
      <c r="B1434" s="37">
        <v>1700.3</v>
      </c>
      <c r="C1434" s="37">
        <v>58296.91</v>
      </c>
      <c r="D1434" s="38">
        <f t="shared" si="84"/>
        <v>1.7316702428384456E-2</v>
      </c>
      <c r="E1434" s="38">
        <f t="shared" si="85"/>
        <v>-2.9903139271825668E-4</v>
      </c>
    </row>
    <row r="1435" spans="1:5">
      <c r="A1435" s="35">
        <v>44445</v>
      </c>
      <c r="B1435" s="37">
        <v>1730</v>
      </c>
      <c r="C1435" s="37">
        <v>58279.48</v>
      </c>
      <c r="D1435" s="38">
        <f t="shared" si="84"/>
        <v>-1.3676919145062878E-2</v>
      </c>
      <c r="E1435" s="38">
        <f t="shared" si="85"/>
        <v>-5.0150288866028536E-4</v>
      </c>
    </row>
    <row r="1436" spans="1:5">
      <c r="A1436" s="35">
        <v>44446</v>
      </c>
      <c r="B1436" s="37">
        <v>1706.5</v>
      </c>
      <c r="C1436" s="37">
        <v>58250.26</v>
      </c>
      <c r="D1436" s="38">
        <f t="shared" si="84"/>
        <v>-7.9423862136264248E-3</v>
      </c>
      <c r="E1436" s="38">
        <f t="shared" si="85"/>
        <v>9.4049759955406123E-4</v>
      </c>
    </row>
    <row r="1437" spans="1:5">
      <c r="A1437" s="35">
        <v>44447</v>
      </c>
      <c r="B1437" s="37">
        <v>1693</v>
      </c>
      <c r="C1437" s="37">
        <v>58305.07</v>
      </c>
      <c r="D1437" s="38">
        <f t="shared" si="84"/>
        <v>-7.0905226322122265E-4</v>
      </c>
      <c r="E1437" s="38">
        <f t="shared" si="85"/>
        <v>-2.1859024320132112E-3</v>
      </c>
    </row>
    <row r="1438" spans="1:5">
      <c r="A1438" s="35">
        <v>44448</v>
      </c>
      <c r="B1438" s="37">
        <v>1691.8</v>
      </c>
      <c r="C1438" s="37">
        <v>58177.760000000002</v>
      </c>
      <c r="D1438" s="38">
        <f t="shared" si="84"/>
        <v>-4.729809713338679E-4</v>
      </c>
      <c r="E1438" s="38">
        <f t="shared" si="85"/>
        <v>1.190982993665641E-3</v>
      </c>
    </row>
    <row r="1439" spans="1:5">
      <c r="A1439" s="35">
        <v>44452</v>
      </c>
      <c r="B1439" s="37">
        <v>1691</v>
      </c>
      <c r="C1439" s="37">
        <v>58247.09</v>
      </c>
      <c r="D1439" s="38">
        <f t="shared" si="84"/>
        <v>-3.0205240768247212E-3</v>
      </c>
      <c r="E1439" s="38">
        <f t="shared" si="85"/>
        <v>8.1407446178501583E-3</v>
      </c>
    </row>
    <row r="1440" spans="1:5">
      <c r="A1440" s="35">
        <v>44453</v>
      </c>
      <c r="B1440" s="37">
        <v>1685.9</v>
      </c>
      <c r="C1440" s="37">
        <v>58723.199999999997</v>
      </c>
      <c r="D1440" s="38">
        <f t="shared" si="84"/>
        <v>1.4836892716169163E-2</v>
      </c>
      <c r="E1440" s="38">
        <f t="shared" si="85"/>
        <v>7.09224997188078E-3</v>
      </c>
    </row>
    <row r="1441" spans="1:5">
      <c r="A1441" s="35">
        <v>44454</v>
      </c>
      <c r="B1441" s="37">
        <v>1711.1</v>
      </c>
      <c r="C1441" s="37">
        <v>59141.16</v>
      </c>
      <c r="D1441" s="38">
        <f t="shared" si="84"/>
        <v>-5.1267891226671183E-3</v>
      </c>
      <c r="E1441" s="38">
        <f t="shared" si="85"/>
        <v>-2.1203990271500099E-3</v>
      </c>
    </row>
    <row r="1442" spans="1:5">
      <c r="A1442" s="35">
        <v>44455</v>
      </c>
      <c r="B1442" s="37">
        <v>1702.35</v>
      </c>
      <c r="C1442" s="37">
        <v>59015.89</v>
      </c>
      <c r="D1442" s="38">
        <f t="shared" si="84"/>
        <v>-6.5121854352613263E-3</v>
      </c>
      <c r="E1442" s="38">
        <f t="shared" si="85"/>
        <v>-8.9350301965483662E-3</v>
      </c>
    </row>
    <row r="1443" spans="1:5">
      <c r="A1443" s="35">
        <v>44456</v>
      </c>
      <c r="B1443" s="37">
        <v>1691.3</v>
      </c>
      <c r="C1443" s="37">
        <v>58490.93</v>
      </c>
      <c r="D1443" s="38">
        <f t="shared" si="84"/>
        <v>-2.04193433184681E-3</v>
      </c>
      <c r="E1443" s="38">
        <f t="shared" si="85"/>
        <v>8.7550624682416252E-3</v>
      </c>
    </row>
    <row r="1444" spans="1:5">
      <c r="A1444" s="35">
        <v>44459</v>
      </c>
      <c r="B1444" s="37">
        <v>1687.85</v>
      </c>
      <c r="C1444" s="37">
        <v>59005.27</v>
      </c>
      <c r="D1444" s="38">
        <f t="shared" si="84"/>
        <v>1.7530656994830165E-2</v>
      </c>
      <c r="E1444" s="38">
        <f t="shared" si="85"/>
        <v>-1.3217721197919421E-3</v>
      </c>
    </row>
    <row r="1445" spans="1:5">
      <c r="A1445" s="35">
        <v>44460</v>
      </c>
      <c r="B1445" s="37">
        <v>1717.7</v>
      </c>
      <c r="C1445" s="37">
        <v>58927.33</v>
      </c>
      <c r="D1445" s="38">
        <f t="shared" si="84"/>
        <v>-6.1146943830173975E-4</v>
      </c>
      <c r="E1445" s="38">
        <f t="shared" si="85"/>
        <v>1.6127078072634585E-2</v>
      </c>
    </row>
    <row r="1446" spans="1:5">
      <c r="A1446" s="35">
        <v>44461</v>
      </c>
      <c r="B1446" s="37">
        <v>1716.65</v>
      </c>
      <c r="C1446" s="37">
        <v>59885.36</v>
      </c>
      <c r="D1446" s="38">
        <f t="shared" si="84"/>
        <v>1.4486930533061214E-2</v>
      </c>
      <c r="E1446" s="38">
        <f t="shared" si="85"/>
        <v>2.7200015302247089E-3</v>
      </c>
    </row>
    <row r="1447" spans="1:5">
      <c r="A1447" s="35">
        <v>44462</v>
      </c>
      <c r="B1447" s="37">
        <v>1741.7</v>
      </c>
      <c r="C1447" s="37">
        <v>60048.47</v>
      </c>
      <c r="D1447" s="38">
        <f t="shared" si="84"/>
        <v>1.2410469828738193E-2</v>
      </c>
      <c r="E1447" s="38">
        <f t="shared" si="85"/>
        <v>4.8965111464052214E-4</v>
      </c>
    </row>
    <row r="1448" spans="1:5">
      <c r="A1448" s="35">
        <v>44463</v>
      </c>
      <c r="B1448" s="37">
        <v>1763.45</v>
      </c>
      <c r="C1448" s="37">
        <v>60077.88</v>
      </c>
      <c r="D1448" s="38">
        <f t="shared" si="84"/>
        <v>-2.3814748005000073E-2</v>
      </c>
      <c r="E1448" s="38">
        <f t="shared" si="85"/>
        <v>-6.8525610399463952E-3</v>
      </c>
    </row>
    <row r="1449" spans="1:5">
      <c r="A1449" s="35">
        <v>44466</v>
      </c>
      <c r="B1449" s="37">
        <v>1721.95</v>
      </c>
      <c r="C1449" s="37">
        <v>59667.6</v>
      </c>
      <c r="D1449" s="38">
        <f t="shared" si="84"/>
        <v>-2.0209225814792595E-2</v>
      </c>
      <c r="E1449" s="38">
        <f t="shared" si="85"/>
        <v>-4.2715574166185639E-3</v>
      </c>
    </row>
    <row r="1450" spans="1:5">
      <c r="A1450" s="35">
        <v>44467</v>
      </c>
      <c r="B1450" s="37">
        <v>1687.5</v>
      </c>
      <c r="C1450" s="37">
        <v>59413.27</v>
      </c>
      <c r="D1450" s="38">
        <f t="shared" si="84"/>
        <v>2.6926678102896693E-3</v>
      </c>
      <c r="E1450" s="38">
        <f t="shared" si="85"/>
        <v>-4.8407534300678855E-3</v>
      </c>
    </row>
    <row r="1451" spans="1:5">
      <c r="A1451" s="35">
        <v>44468</v>
      </c>
      <c r="B1451" s="37">
        <v>1692.05</v>
      </c>
      <c r="C1451" s="37">
        <v>59126.36</v>
      </c>
      <c r="D1451" s="38">
        <f t="shared" si="84"/>
        <v>-9.8888688372654968E-3</v>
      </c>
      <c r="E1451" s="38">
        <f t="shared" si="85"/>
        <v>-6.120539305134844E-3</v>
      </c>
    </row>
    <row r="1452" spans="1:5">
      <c r="A1452" s="35">
        <v>44469</v>
      </c>
      <c r="B1452" s="37">
        <v>1675.4</v>
      </c>
      <c r="C1452" s="37">
        <v>58765.58</v>
      </c>
      <c r="D1452" s="38">
        <f t="shared" si="84"/>
        <v>-6.2568497861053805E-3</v>
      </c>
      <c r="E1452" s="38">
        <f t="shared" si="85"/>
        <v>9.0415294649919299E-3</v>
      </c>
    </row>
    <row r="1453" spans="1:5">
      <c r="A1453" s="35">
        <v>44470</v>
      </c>
      <c r="B1453" s="37">
        <v>1664.95</v>
      </c>
      <c r="C1453" s="37">
        <v>59299.32</v>
      </c>
      <c r="D1453" s="38">
        <f t="shared" si="84"/>
        <v>8.462842631819666E-3</v>
      </c>
      <c r="E1453" s="38">
        <f t="shared" si="85"/>
        <v>7.4856579418464209E-3</v>
      </c>
    </row>
    <row r="1454" spans="1:5">
      <c r="A1454" s="35">
        <v>44473</v>
      </c>
      <c r="B1454" s="37">
        <v>1679.1</v>
      </c>
      <c r="C1454" s="37">
        <v>59744.88</v>
      </c>
      <c r="D1454" s="38">
        <f t="shared" si="84"/>
        <v>8.0964898003313066E-3</v>
      </c>
      <c r="E1454" s="38">
        <f t="shared" si="85"/>
        <v>-9.3354496525393793E-3</v>
      </c>
    </row>
    <row r="1455" spans="1:5">
      <c r="A1455" s="35">
        <v>44474</v>
      </c>
      <c r="B1455" s="37">
        <v>1692.75</v>
      </c>
      <c r="C1455" s="37">
        <v>59189.73</v>
      </c>
      <c r="D1455" s="38">
        <f t="shared" si="84"/>
        <v>-1.1198192257180373E-2</v>
      </c>
      <c r="E1455" s="38">
        <f t="shared" si="85"/>
        <v>8.2125475337492589E-3</v>
      </c>
    </row>
    <row r="1456" spans="1:5">
      <c r="A1456" s="35">
        <v>44475</v>
      </c>
      <c r="B1456" s="37">
        <v>1673.9</v>
      </c>
      <c r="C1456" s="37">
        <v>59677.83</v>
      </c>
      <c r="D1456" s="38">
        <f t="shared" si="84"/>
        <v>1.0341230871421912E-2</v>
      </c>
      <c r="E1456" s="38">
        <f t="shared" si="85"/>
        <v>6.3678167724239175E-3</v>
      </c>
    </row>
    <row r="1457" spans="1:5">
      <c r="A1457" s="35">
        <v>44476</v>
      </c>
      <c r="B1457" s="37">
        <v>1691.3</v>
      </c>
      <c r="C1457" s="37">
        <v>60059.06</v>
      </c>
      <c r="D1457" s="38">
        <f t="shared" si="84"/>
        <v>1.8888653290092122E-2</v>
      </c>
      <c r="E1457" s="38">
        <f t="shared" si="85"/>
        <v>1.2765940770696352E-3</v>
      </c>
    </row>
    <row r="1458" spans="1:5">
      <c r="A1458" s="35">
        <v>44477</v>
      </c>
      <c r="B1458" s="37">
        <v>1723.55</v>
      </c>
      <c r="C1458" s="37">
        <v>60135.78</v>
      </c>
      <c r="D1458" s="38">
        <f t="shared" si="84"/>
        <v>-1.8474856103919784E-2</v>
      </c>
      <c r="E1458" s="38">
        <f t="shared" si="85"/>
        <v>2.4668653764058769E-3</v>
      </c>
    </row>
    <row r="1459" spans="1:5">
      <c r="A1459" s="35">
        <v>44480</v>
      </c>
      <c r="B1459" s="37">
        <v>1692</v>
      </c>
      <c r="C1459" s="37">
        <v>60284.31</v>
      </c>
      <c r="D1459" s="38">
        <f t="shared" si="84"/>
        <v>-4.2643987864575397E-3</v>
      </c>
      <c r="E1459" s="38">
        <f t="shared" si="85"/>
        <v>7.4820199021658623E-3</v>
      </c>
    </row>
    <row r="1460" spans="1:5">
      <c r="A1460" s="35">
        <v>44481</v>
      </c>
      <c r="B1460" s="37">
        <v>1684.8</v>
      </c>
      <c r="C1460" s="37">
        <v>60737.05</v>
      </c>
      <c r="D1460" s="38">
        <f t="shared" si="84"/>
        <v>1.4115246658448198E-2</v>
      </c>
      <c r="E1460" s="38">
        <f t="shared" si="85"/>
        <v>9.3230110806343282E-3</v>
      </c>
    </row>
    <row r="1461" spans="1:5">
      <c r="A1461" s="35">
        <v>44482</v>
      </c>
      <c r="B1461" s="37">
        <v>1708.75</v>
      </c>
      <c r="C1461" s="37">
        <v>61305.95</v>
      </c>
      <c r="D1461" s="38">
        <f t="shared" si="84"/>
        <v>3.9424742603451557E-3</v>
      </c>
      <c r="E1461" s="38">
        <f t="shared" si="85"/>
        <v>7.4695114252882238E-3</v>
      </c>
    </row>
    <row r="1462" spans="1:5">
      <c r="A1462" s="35">
        <v>44483</v>
      </c>
      <c r="B1462" s="37">
        <v>1715.5</v>
      </c>
      <c r="C1462" s="37">
        <v>61765.59</v>
      </c>
      <c r="D1462" s="38">
        <f t="shared" si="84"/>
        <v>4.3711433090416425E-2</v>
      </c>
      <c r="E1462" s="38">
        <f t="shared" si="85"/>
        <v>-8.0238653548675106E-4</v>
      </c>
    </row>
    <row r="1463" spans="1:5">
      <c r="A1463" s="35">
        <v>44487</v>
      </c>
      <c r="B1463" s="37">
        <v>1792.15</v>
      </c>
      <c r="C1463" s="37">
        <v>61716.05</v>
      </c>
      <c r="D1463" s="38">
        <f t="shared" si="84"/>
        <v>1.6216870779016991E-2</v>
      </c>
      <c r="E1463" s="38">
        <f t="shared" si="85"/>
        <v>-7.4175782933356988E-3</v>
      </c>
    </row>
    <row r="1464" spans="1:5">
      <c r="A1464" s="35">
        <v>44488</v>
      </c>
      <c r="B1464" s="37">
        <v>1821.45</v>
      </c>
      <c r="C1464" s="37">
        <v>61259.96</v>
      </c>
      <c r="D1464" s="38">
        <f t="shared" si="84"/>
        <v>-1.156848307900777E-2</v>
      </c>
      <c r="E1464" s="38">
        <f t="shared" si="85"/>
        <v>-5.5074696765752759E-3</v>
      </c>
    </row>
    <row r="1465" spans="1:5">
      <c r="A1465" s="35">
        <v>44489</v>
      </c>
      <c r="B1465" s="37">
        <v>1800.5</v>
      </c>
      <c r="C1465" s="37">
        <v>60923.5</v>
      </c>
      <c r="D1465" s="38">
        <f t="shared" si="84"/>
        <v>-2.6251032627882993E-2</v>
      </c>
      <c r="E1465" s="38">
        <f t="shared" si="85"/>
        <v>-1.6736609037254348E-3</v>
      </c>
    </row>
    <row r="1466" spans="1:5">
      <c r="A1466" s="35">
        <v>44490</v>
      </c>
      <c r="B1466" s="37">
        <v>1753.85</v>
      </c>
      <c r="C1466" s="37">
        <v>60821.62</v>
      </c>
      <c r="D1466" s="38">
        <f t="shared" si="84"/>
        <v>-1.9750742791076414E-2</v>
      </c>
      <c r="E1466" s="38">
        <f t="shared" si="85"/>
        <v>2.3882364282942809E-3</v>
      </c>
    </row>
    <row r="1467" spans="1:5">
      <c r="A1467" s="35">
        <v>44491</v>
      </c>
      <c r="B1467" s="37">
        <v>1719.55</v>
      </c>
      <c r="C1467" s="37">
        <v>60967.05</v>
      </c>
      <c r="D1467" s="38">
        <f t="shared" si="84"/>
        <v>-6.9151927767771501E-3</v>
      </c>
      <c r="E1467" s="38">
        <f t="shared" si="85"/>
        <v>6.2658548289605551E-3</v>
      </c>
    </row>
    <row r="1468" spans="1:5">
      <c r="A1468" s="35">
        <v>44494</v>
      </c>
      <c r="B1468" s="37">
        <v>1707.7</v>
      </c>
      <c r="C1468" s="37">
        <v>61350.26</v>
      </c>
      <c r="D1468" s="38">
        <f t="shared" si="84"/>
        <v>-2.1103237798464477E-3</v>
      </c>
      <c r="E1468" s="38">
        <f t="shared" si="85"/>
        <v>-3.3786289853115175E-3</v>
      </c>
    </row>
    <row r="1469" spans="1:5">
      <c r="A1469" s="35">
        <v>44495</v>
      </c>
      <c r="B1469" s="37">
        <v>1704.1</v>
      </c>
      <c r="C1469" s="37">
        <v>61143.33</v>
      </c>
      <c r="D1469" s="38">
        <f t="shared" si="84"/>
        <v>1.4332568815394246E-2</v>
      </c>
      <c r="E1469" s="38">
        <f t="shared" si="85"/>
        <v>-1.9131250437366378E-2</v>
      </c>
    </row>
    <row r="1470" spans="1:5">
      <c r="A1470" s="35">
        <v>44496</v>
      </c>
      <c r="B1470" s="37">
        <v>1728.7</v>
      </c>
      <c r="C1470" s="37">
        <v>59984.7</v>
      </c>
      <c r="D1470" s="38">
        <f t="shared" si="84"/>
        <v>-1.4391252539480105E-2</v>
      </c>
      <c r="E1470" s="38">
        <f t="shared" si="85"/>
        <v>-1.1363367121980555E-2</v>
      </c>
    </row>
    <row r="1471" spans="1:5">
      <c r="A1471" s="35">
        <v>44497</v>
      </c>
      <c r="B1471" s="37">
        <v>1704</v>
      </c>
      <c r="C1471" s="37">
        <v>59306.93</v>
      </c>
      <c r="D1471" s="38">
        <f t="shared" si="84"/>
        <v>-2.0993476921286908E-2</v>
      </c>
      <c r="E1471" s="38">
        <f t="shared" si="85"/>
        <v>1.3923407733235206E-2</v>
      </c>
    </row>
    <row r="1472" spans="1:5">
      <c r="A1472" s="35">
        <v>44498</v>
      </c>
      <c r="B1472" s="37">
        <v>1668.6</v>
      </c>
      <c r="C1472" s="37">
        <v>60138.46</v>
      </c>
      <c r="D1472" s="38">
        <f t="shared" si="84"/>
        <v>1.8613887379093114E-2</v>
      </c>
      <c r="E1472" s="38">
        <f t="shared" si="85"/>
        <v>-1.8207920114242748E-3</v>
      </c>
    </row>
    <row r="1473" spans="1:5">
      <c r="A1473" s="35">
        <v>44501</v>
      </c>
      <c r="B1473" s="37">
        <v>1699.95</v>
      </c>
      <c r="C1473" s="37">
        <v>60029.06</v>
      </c>
      <c r="D1473" s="38">
        <f t="shared" si="84"/>
        <v>-1.2360941005284142E-3</v>
      </c>
      <c r="E1473" s="38">
        <f t="shared" si="85"/>
        <v>-4.2927928449785794E-3</v>
      </c>
    </row>
    <row r="1474" spans="1:5">
      <c r="A1474" s="35">
        <v>44502</v>
      </c>
      <c r="B1474" s="37">
        <v>1697.85</v>
      </c>
      <c r="C1474" s="37">
        <v>59771.92</v>
      </c>
      <c r="D1474" s="38">
        <f t="shared" si="84"/>
        <v>2.7937497034177311E-3</v>
      </c>
      <c r="E1474" s="38">
        <f t="shared" si="85"/>
        <v>4.9349421754187476E-3</v>
      </c>
    </row>
    <row r="1475" spans="1:5">
      <c r="A1475" s="35">
        <v>44503</v>
      </c>
      <c r="B1475" s="37">
        <v>1702.6</v>
      </c>
      <c r="C1475" s="37">
        <v>60067.62</v>
      </c>
      <c r="D1475" s="38">
        <f t="shared" si="84"/>
        <v>3.9859372819611326E-3</v>
      </c>
      <c r="E1475" s="38">
        <f t="shared" si="85"/>
        <v>7.9260376719469811E-3</v>
      </c>
    </row>
    <row r="1476" spans="1:5">
      <c r="A1476" s="35">
        <v>44504</v>
      </c>
      <c r="B1476" s="37">
        <v>1709.4</v>
      </c>
      <c r="C1476" s="37">
        <v>60545.61</v>
      </c>
      <c r="D1476" s="38">
        <f t="shared" si="84"/>
        <v>1.6391193915980564E-2</v>
      </c>
      <c r="E1476" s="38">
        <f t="shared" si="85"/>
        <v>-1.8542057135272727E-3</v>
      </c>
    </row>
    <row r="1477" spans="1:5">
      <c r="A1477" s="35">
        <v>44508</v>
      </c>
      <c r="B1477" s="37">
        <v>1737.65</v>
      </c>
      <c r="C1477" s="37">
        <v>60433.45</v>
      </c>
      <c r="D1477" s="38">
        <f t="shared" ref="D1477:D1540" si="86">LN(B1478/B1477)</f>
        <v>2.7298475307978593E-3</v>
      </c>
      <c r="E1477" s="38">
        <f t="shared" ref="E1477:E1540" si="87">LN(C1478/C1477)</f>
        <v>-1.3350857175505665E-3</v>
      </c>
    </row>
    <row r="1478" spans="1:5">
      <c r="A1478" s="35">
        <v>44509</v>
      </c>
      <c r="B1478" s="37">
        <v>1742.4</v>
      </c>
      <c r="C1478" s="37">
        <v>60352.82</v>
      </c>
      <c r="D1478" s="38">
        <f t="shared" si="86"/>
        <v>-2.4133781753363469E-3</v>
      </c>
      <c r="E1478" s="38">
        <f t="shared" si="87"/>
        <v>-7.2025082443840137E-3</v>
      </c>
    </row>
    <row r="1479" spans="1:5">
      <c r="A1479" s="35">
        <v>44510</v>
      </c>
      <c r="B1479" s="37">
        <v>1738.2</v>
      </c>
      <c r="C1479" s="37">
        <v>59919.69</v>
      </c>
      <c r="D1479" s="38">
        <f t="shared" si="86"/>
        <v>-3.2557833268840757E-3</v>
      </c>
      <c r="E1479" s="38">
        <f t="shared" si="87"/>
        <v>1.2719233266761099E-2</v>
      </c>
    </row>
    <row r="1480" spans="1:5">
      <c r="A1480" s="35">
        <v>44511</v>
      </c>
      <c r="B1480" s="37">
        <v>1732.55</v>
      </c>
      <c r="C1480" s="37">
        <v>60686.69</v>
      </c>
      <c r="D1480" s="38">
        <f t="shared" si="86"/>
        <v>2.701905260965513E-2</v>
      </c>
      <c r="E1480" s="38">
        <f t="shared" si="87"/>
        <v>5.2748890481708801E-4</v>
      </c>
    </row>
    <row r="1481" spans="1:5">
      <c r="A1481" s="35">
        <v>44512</v>
      </c>
      <c r="B1481" s="37">
        <v>1780</v>
      </c>
      <c r="C1481" s="37">
        <v>60718.71</v>
      </c>
      <c r="D1481" s="38">
        <f t="shared" si="86"/>
        <v>3.1131267166887304E-3</v>
      </c>
      <c r="E1481" s="38">
        <f t="shared" si="87"/>
        <v>-6.5488744236269414E-3</v>
      </c>
    </row>
    <row r="1482" spans="1:5">
      <c r="A1482" s="35">
        <v>44515</v>
      </c>
      <c r="B1482" s="37">
        <v>1785.55</v>
      </c>
      <c r="C1482" s="37">
        <v>60322.37</v>
      </c>
      <c r="D1482" s="38">
        <f t="shared" si="86"/>
        <v>2.8242681972359355E-3</v>
      </c>
      <c r="E1482" s="38">
        <f t="shared" si="87"/>
        <v>-5.2196274598008364E-3</v>
      </c>
    </row>
    <row r="1483" spans="1:5">
      <c r="A1483" s="35">
        <v>44516</v>
      </c>
      <c r="B1483" s="37">
        <v>1790.6</v>
      </c>
      <c r="C1483" s="37">
        <v>60008.33</v>
      </c>
      <c r="D1483" s="38">
        <f t="shared" si="86"/>
        <v>-1.425118651770686E-3</v>
      </c>
      <c r="E1483" s="38">
        <f t="shared" si="87"/>
        <v>-6.223799668890779E-3</v>
      </c>
    </row>
    <row r="1484" spans="1:5">
      <c r="A1484" s="35">
        <v>44517</v>
      </c>
      <c r="B1484" s="37">
        <v>1788.05</v>
      </c>
      <c r="C1484" s="37">
        <v>59636.01</v>
      </c>
      <c r="D1484" s="38">
        <f t="shared" si="86"/>
        <v>-4.1190951410160883E-3</v>
      </c>
      <c r="E1484" s="38">
        <f t="shared" si="87"/>
        <v>-1.9816078990810022E-2</v>
      </c>
    </row>
    <row r="1485" spans="1:5">
      <c r="A1485" s="35">
        <v>44518</v>
      </c>
      <c r="B1485" s="37">
        <v>1780.7</v>
      </c>
      <c r="C1485" s="37">
        <v>58465.89</v>
      </c>
      <c r="D1485" s="38">
        <f t="shared" si="86"/>
        <v>-1.2545372493231587E-2</v>
      </c>
      <c r="E1485" s="38">
        <f t="shared" si="87"/>
        <v>3.3883687720922461E-3</v>
      </c>
    </row>
    <row r="1486" spans="1:5">
      <c r="A1486" s="35">
        <v>44522</v>
      </c>
      <c r="B1486" s="37">
        <v>1758.5</v>
      </c>
      <c r="C1486" s="37">
        <v>58664.33</v>
      </c>
      <c r="D1486" s="38">
        <f t="shared" si="86"/>
        <v>-1.5040031406546511E-2</v>
      </c>
      <c r="E1486" s="38">
        <f t="shared" si="87"/>
        <v>-5.5269422465737891E-3</v>
      </c>
    </row>
    <row r="1487" spans="1:5">
      <c r="A1487" s="35">
        <v>44523</v>
      </c>
      <c r="B1487" s="37">
        <v>1732.25</v>
      </c>
      <c r="C1487" s="37">
        <v>58340.99</v>
      </c>
      <c r="D1487" s="38">
        <f t="shared" si="86"/>
        <v>-2.0264561074639413E-2</v>
      </c>
      <c r="E1487" s="38">
        <f t="shared" si="87"/>
        <v>7.7534142318211327E-3</v>
      </c>
    </row>
    <row r="1488" spans="1:5">
      <c r="A1488" s="35">
        <v>44524</v>
      </c>
      <c r="B1488" s="37">
        <v>1697.5</v>
      </c>
      <c r="C1488" s="37">
        <v>58795.09</v>
      </c>
      <c r="D1488" s="38">
        <f t="shared" si="86"/>
        <v>1.4591115457456848E-2</v>
      </c>
      <c r="E1488" s="38">
        <f t="shared" si="87"/>
        <v>-2.9129020279701188E-2</v>
      </c>
    </row>
    <row r="1489" spans="1:5">
      <c r="A1489" s="35">
        <v>44525</v>
      </c>
      <c r="B1489" s="37">
        <v>1722.45</v>
      </c>
      <c r="C1489" s="37">
        <v>57107.15</v>
      </c>
      <c r="D1489" s="38">
        <f t="shared" si="86"/>
        <v>-1.8752930227987418E-2</v>
      </c>
      <c r="E1489" s="38">
        <f t="shared" si="87"/>
        <v>2.6831011168203622E-3</v>
      </c>
    </row>
    <row r="1490" spans="1:5">
      <c r="A1490" s="35">
        <v>44526</v>
      </c>
      <c r="B1490" s="37">
        <v>1690.45</v>
      </c>
      <c r="C1490" s="37">
        <v>57260.58</v>
      </c>
      <c r="D1490" s="38">
        <f t="shared" si="86"/>
        <v>3.7788253864392673E-3</v>
      </c>
      <c r="E1490" s="38">
        <f t="shared" si="87"/>
        <v>-3.4237379546848221E-3</v>
      </c>
    </row>
    <row r="1491" spans="1:5">
      <c r="A1491" s="35">
        <v>44529</v>
      </c>
      <c r="B1491" s="37">
        <v>1696.85</v>
      </c>
      <c r="C1491" s="37">
        <v>57064.87</v>
      </c>
      <c r="D1491" s="38">
        <f t="shared" si="86"/>
        <v>1.0318738407677051E-2</v>
      </c>
      <c r="E1491" s="38">
        <f t="shared" si="87"/>
        <v>1.0804843012449591E-2</v>
      </c>
    </row>
    <row r="1492" spans="1:5">
      <c r="A1492" s="35">
        <v>44530</v>
      </c>
      <c r="B1492" s="37">
        <v>1714.45</v>
      </c>
      <c r="C1492" s="37">
        <v>57684.79</v>
      </c>
      <c r="D1492" s="38">
        <f t="shared" si="86"/>
        <v>6.1225384206752529E-4</v>
      </c>
      <c r="E1492" s="38">
        <f t="shared" si="87"/>
        <v>1.3371291898307351E-2</v>
      </c>
    </row>
    <row r="1493" spans="1:5">
      <c r="A1493" s="35">
        <v>44531</v>
      </c>
      <c r="B1493" s="37">
        <v>1715.5</v>
      </c>
      <c r="C1493" s="37">
        <v>58461.29</v>
      </c>
      <c r="D1493" s="38">
        <f t="shared" si="86"/>
        <v>1.8910704285471761E-2</v>
      </c>
      <c r="E1493" s="38">
        <f t="shared" si="87"/>
        <v>-1.3169005997612138E-2</v>
      </c>
    </row>
    <row r="1494" spans="1:5">
      <c r="A1494" s="35">
        <v>44532</v>
      </c>
      <c r="B1494" s="37">
        <v>1748.25</v>
      </c>
      <c r="C1494" s="37">
        <v>57696.46</v>
      </c>
      <c r="D1494" s="38">
        <f t="shared" si="86"/>
        <v>-7.6655127516938402E-3</v>
      </c>
      <c r="E1494" s="38">
        <f t="shared" si="87"/>
        <v>-1.65905611964005E-2</v>
      </c>
    </row>
    <row r="1495" spans="1:5">
      <c r="A1495" s="35">
        <v>44533</v>
      </c>
      <c r="B1495" s="37">
        <v>1734.9</v>
      </c>
      <c r="C1495" s="37">
        <v>56747.14</v>
      </c>
      <c r="D1495" s="38">
        <f t="shared" si="86"/>
        <v>-2.4063811537641429E-2</v>
      </c>
      <c r="E1495" s="38">
        <f t="shared" si="87"/>
        <v>1.5501339895738743E-2</v>
      </c>
    </row>
    <row r="1496" spans="1:5">
      <c r="A1496" s="35">
        <v>44536</v>
      </c>
      <c r="B1496" s="37">
        <v>1693.65</v>
      </c>
      <c r="C1496" s="37">
        <v>57633.65</v>
      </c>
      <c r="D1496" s="38">
        <f t="shared" si="86"/>
        <v>1.0922331783373608E-2</v>
      </c>
      <c r="E1496" s="38">
        <f t="shared" si="87"/>
        <v>1.7475520477583321E-2</v>
      </c>
    </row>
    <row r="1497" spans="1:5">
      <c r="A1497" s="35">
        <v>44537</v>
      </c>
      <c r="B1497" s="37">
        <v>1712.25</v>
      </c>
      <c r="C1497" s="37">
        <v>58649.68</v>
      </c>
      <c r="D1497" s="38">
        <f t="shared" si="86"/>
        <v>2.3463264150486402E-2</v>
      </c>
      <c r="E1497" s="38">
        <f t="shared" si="87"/>
        <v>2.6809870676461458E-3</v>
      </c>
    </row>
    <row r="1498" spans="1:5">
      <c r="A1498" s="35">
        <v>44538</v>
      </c>
      <c r="B1498" s="37">
        <v>1752.9</v>
      </c>
      <c r="C1498" s="37">
        <v>58807.13</v>
      </c>
      <c r="D1498" s="38">
        <f t="shared" si="86"/>
        <v>5.5751651974068044E-3</v>
      </c>
      <c r="E1498" s="38">
        <f t="shared" si="87"/>
        <v>-3.4797753293883935E-4</v>
      </c>
    </row>
    <row r="1499" spans="1:5">
      <c r="A1499" s="35">
        <v>44539</v>
      </c>
      <c r="B1499" s="37">
        <v>1762.7</v>
      </c>
      <c r="C1499" s="37">
        <v>58786.67</v>
      </c>
      <c r="D1499" s="38">
        <f t="shared" si="86"/>
        <v>-2.3002551781396065E-3</v>
      </c>
      <c r="E1499" s="38">
        <f t="shared" si="87"/>
        <v>-8.5974666948084415E-3</v>
      </c>
    </row>
    <row r="1500" spans="1:5">
      <c r="A1500" s="35">
        <v>44540</v>
      </c>
      <c r="B1500" s="37">
        <v>1758.65</v>
      </c>
      <c r="C1500" s="37">
        <v>58283.42</v>
      </c>
      <c r="D1500" s="38">
        <f t="shared" si="86"/>
        <v>-7.849221843583826E-3</v>
      </c>
      <c r="E1500" s="38">
        <f t="shared" si="87"/>
        <v>-2.8578932035449697E-3</v>
      </c>
    </row>
    <row r="1501" spans="1:5">
      <c r="A1501" s="35">
        <v>44543</v>
      </c>
      <c r="B1501" s="37">
        <v>1744.9</v>
      </c>
      <c r="C1501" s="37">
        <v>58117.09</v>
      </c>
      <c r="D1501" s="38">
        <f t="shared" si="86"/>
        <v>4.1463578656304647E-3</v>
      </c>
      <c r="E1501" s="38">
        <f t="shared" si="87"/>
        <v>-5.6781078195504483E-3</v>
      </c>
    </row>
    <row r="1502" spans="1:5">
      <c r="A1502" s="35">
        <v>44544</v>
      </c>
      <c r="B1502" s="37">
        <v>1752.15</v>
      </c>
      <c r="C1502" s="37">
        <v>57788.03</v>
      </c>
      <c r="D1502" s="38">
        <f t="shared" si="86"/>
        <v>-1.0701119144736778E-2</v>
      </c>
      <c r="E1502" s="38">
        <f t="shared" si="87"/>
        <v>1.9554126983705828E-3</v>
      </c>
    </row>
    <row r="1503" spans="1:5">
      <c r="A1503" s="35">
        <v>44545</v>
      </c>
      <c r="B1503" s="37">
        <v>1733.5</v>
      </c>
      <c r="C1503" s="37">
        <v>57901.14</v>
      </c>
      <c r="D1503" s="38">
        <f t="shared" si="86"/>
        <v>2.1627708250404609E-2</v>
      </c>
      <c r="E1503" s="38">
        <f t="shared" si="87"/>
        <v>-1.5479861965322049E-2</v>
      </c>
    </row>
    <row r="1504" spans="1:5">
      <c r="A1504" s="35">
        <v>44546</v>
      </c>
      <c r="B1504" s="37">
        <v>1771.4</v>
      </c>
      <c r="C1504" s="37">
        <v>57011.74</v>
      </c>
      <c r="D1504" s="38">
        <f t="shared" si="86"/>
        <v>2.7999936661300497E-2</v>
      </c>
      <c r="E1504" s="38">
        <f t="shared" si="87"/>
        <v>-2.1088975480019697E-2</v>
      </c>
    </row>
    <row r="1505" spans="1:5">
      <c r="A1505" s="35">
        <v>44547</v>
      </c>
      <c r="B1505" s="37">
        <v>1821.7</v>
      </c>
      <c r="C1505" s="37">
        <v>55822.01</v>
      </c>
      <c r="D1505" s="38">
        <f t="shared" si="86"/>
        <v>-1.2705949302858106E-2</v>
      </c>
      <c r="E1505" s="38">
        <f t="shared" si="87"/>
        <v>8.8638975113393987E-3</v>
      </c>
    </row>
    <row r="1506" spans="1:5">
      <c r="A1506" s="35">
        <v>44550</v>
      </c>
      <c r="B1506" s="37">
        <v>1798.7</v>
      </c>
      <c r="C1506" s="37">
        <v>56319.01</v>
      </c>
      <c r="D1506" s="38">
        <f t="shared" si="86"/>
        <v>7.6429259949047186E-3</v>
      </c>
      <c r="E1506" s="38">
        <f t="shared" si="87"/>
        <v>1.0800145985810543E-2</v>
      </c>
    </row>
    <row r="1507" spans="1:5">
      <c r="A1507" s="35">
        <v>44551</v>
      </c>
      <c r="B1507" s="37">
        <v>1812.5</v>
      </c>
      <c r="C1507" s="37">
        <v>56930.559999999998</v>
      </c>
      <c r="D1507" s="38">
        <f t="shared" si="86"/>
        <v>6.5714640037251902E-3</v>
      </c>
      <c r="E1507" s="38">
        <f t="shared" si="87"/>
        <v>6.7349752820241599E-3</v>
      </c>
    </row>
    <row r="1508" spans="1:5">
      <c r="A1508" s="35">
        <v>44552</v>
      </c>
      <c r="B1508" s="37">
        <v>1824.45</v>
      </c>
      <c r="C1508" s="37">
        <v>57315.28</v>
      </c>
      <c r="D1508" s="38">
        <f t="shared" si="86"/>
        <v>1.7576004227672071E-2</v>
      </c>
      <c r="E1508" s="38">
        <f t="shared" si="87"/>
        <v>-3.3374844713220386E-3</v>
      </c>
    </row>
    <row r="1509" spans="1:5">
      <c r="A1509" s="35">
        <v>44553</v>
      </c>
      <c r="B1509" s="37">
        <v>1856.8</v>
      </c>
      <c r="C1509" s="37">
        <v>57124.31</v>
      </c>
      <c r="D1509" s="38">
        <f t="shared" si="86"/>
        <v>3.682354414302794E-3</v>
      </c>
      <c r="E1509" s="38">
        <f t="shared" si="87"/>
        <v>5.1670840456977309E-3</v>
      </c>
    </row>
    <row r="1510" spans="1:5">
      <c r="A1510" s="35">
        <v>44554</v>
      </c>
      <c r="B1510" s="37">
        <v>1863.65</v>
      </c>
      <c r="C1510" s="37">
        <v>57420.24</v>
      </c>
      <c r="D1510" s="38">
        <f t="shared" si="86"/>
        <v>1.3941394788700701E-3</v>
      </c>
      <c r="E1510" s="38">
        <f t="shared" si="87"/>
        <v>8.2770059032200548E-3</v>
      </c>
    </row>
    <row r="1511" spans="1:5">
      <c r="A1511" s="35">
        <v>44557</v>
      </c>
      <c r="B1511" s="37">
        <v>1866.25</v>
      </c>
      <c r="C1511" s="37">
        <v>57897.48</v>
      </c>
      <c r="D1511" s="38">
        <f t="shared" si="86"/>
        <v>1.1295641852686594E-2</v>
      </c>
      <c r="E1511" s="38">
        <f t="shared" si="87"/>
        <v>-1.5728072037114555E-3</v>
      </c>
    </row>
    <row r="1512" spans="1:5">
      <c r="A1512" s="35">
        <v>44558</v>
      </c>
      <c r="B1512" s="37">
        <v>1887.45</v>
      </c>
      <c r="C1512" s="37">
        <v>57806.49</v>
      </c>
      <c r="D1512" s="38">
        <f t="shared" si="86"/>
        <v>-1.2723659768234198E-3</v>
      </c>
      <c r="E1512" s="38">
        <f t="shared" si="87"/>
        <v>-2.1055215867365641E-4</v>
      </c>
    </row>
    <row r="1513" spans="1:5">
      <c r="A1513" s="35">
        <v>44559</v>
      </c>
      <c r="B1513" s="37">
        <v>1885.05</v>
      </c>
      <c r="C1513" s="37">
        <v>57794.32</v>
      </c>
      <c r="D1513" s="38">
        <f t="shared" si="86"/>
        <v>4.0236176791947232E-3</v>
      </c>
      <c r="E1513" s="38">
        <f t="shared" si="87"/>
        <v>7.9191687413812696E-3</v>
      </c>
    </row>
    <row r="1514" spans="1:5">
      <c r="A1514" s="35">
        <v>44560</v>
      </c>
      <c r="B1514" s="37">
        <v>1892.65</v>
      </c>
      <c r="C1514" s="37">
        <v>58253.82</v>
      </c>
      <c r="D1514" s="38">
        <f t="shared" si="86"/>
        <v>-1.5863366888485332E-3</v>
      </c>
      <c r="E1514" s="38">
        <f t="shared" si="87"/>
        <v>1.5828386070902721E-2</v>
      </c>
    </row>
    <row r="1515" spans="1:5">
      <c r="A1515" s="35">
        <v>44561</v>
      </c>
      <c r="B1515" s="37">
        <v>1889.65</v>
      </c>
      <c r="C1515" s="37">
        <v>59183.22</v>
      </c>
      <c r="D1515" s="38">
        <f t="shared" si="86"/>
        <v>3.9611333086553898E-3</v>
      </c>
      <c r="E1515" s="38">
        <f t="shared" si="87"/>
        <v>1.1302452366084284E-2</v>
      </c>
    </row>
    <row r="1516" spans="1:5">
      <c r="A1516" s="35">
        <v>44564</v>
      </c>
      <c r="B1516" s="37">
        <v>1897.15</v>
      </c>
      <c r="C1516" s="37">
        <v>59855.93</v>
      </c>
      <c r="D1516" s="38">
        <f t="shared" si="86"/>
        <v>-4.7450836552271041E-4</v>
      </c>
      <c r="E1516" s="38">
        <f t="shared" si="87"/>
        <v>6.1163217571125863E-3</v>
      </c>
    </row>
    <row r="1517" spans="1:5">
      <c r="A1517" s="35">
        <v>44565</v>
      </c>
      <c r="B1517" s="37">
        <v>1896.25</v>
      </c>
      <c r="C1517" s="37">
        <v>60223.15</v>
      </c>
      <c r="D1517" s="38">
        <f t="shared" si="86"/>
        <v>-2.7426074826336074E-2</v>
      </c>
      <c r="E1517" s="38">
        <f t="shared" si="87"/>
        <v>-1.0370383810835968E-2</v>
      </c>
    </row>
    <row r="1518" spans="1:5">
      <c r="A1518" s="35">
        <v>44566</v>
      </c>
      <c r="B1518" s="37">
        <v>1844.95</v>
      </c>
      <c r="C1518" s="37">
        <v>59601.84</v>
      </c>
      <c r="D1518" s="38">
        <f t="shared" si="86"/>
        <v>-1.4605176148648039E-2</v>
      </c>
      <c r="E1518" s="38">
        <f t="shared" si="87"/>
        <v>2.3932009757633012E-3</v>
      </c>
    </row>
    <row r="1519" spans="1:5">
      <c r="A1519" s="35">
        <v>44567</v>
      </c>
      <c r="B1519" s="37">
        <v>1818.2</v>
      </c>
      <c r="C1519" s="37">
        <v>59744.65</v>
      </c>
      <c r="D1519" s="38">
        <f t="shared" si="86"/>
        <v>-2.7813365583024947E-3</v>
      </c>
      <c r="E1519" s="38">
        <f t="shared" si="87"/>
        <v>1.0837104276188917E-2</v>
      </c>
    </row>
    <row r="1520" spans="1:5">
      <c r="A1520" s="35">
        <v>44568</v>
      </c>
      <c r="B1520" s="37">
        <v>1813.15</v>
      </c>
      <c r="C1520" s="37">
        <v>60395.63</v>
      </c>
      <c r="D1520" s="38">
        <f t="shared" si="86"/>
        <v>2.0714392836184137E-2</v>
      </c>
      <c r="E1520" s="38">
        <f t="shared" si="87"/>
        <v>3.6568157834066563E-3</v>
      </c>
    </row>
    <row r="1521" spans="1:5">
      <c r="A1521" s="35">
        <v>44571</v>
      </c>
      <c r="B1521" s="37">
        <v>1851.1</v>
      </c>
      <c r="C1521" s="37">
        <v>60616.89</v>
      </c>
      <c r="D1521" s="38">
        <f t="shared" si="86"/>
        <v>2.6705166728129676E-3</v>
      </c>
      <c r="E1521" s="38">
        <f t="shared" si="87"/>
        <v>8.7569491488189259E-3</v>
      </c>
    </row>
    <row r="1522" spans="1:5">
      <c r="A1522" s="35">
        <v>44572</v>
      </c>
      <c r="B1522" s="37">
        <v>1856.05</v>
      </c>
      <c r="C1522" s="37">
        <v>61150.04</v>
      </c>
      <c r="D1522" s="38">
        <f t="shared" si="86"/>
        <v>1.1543791898361468E-2</v>
      </c>
      <c r="E1522" s="38">
        <f t="shared" si="87"/>
        <v>1.3933043580695533E-3</v>
      </c>
    </row>
    <row r="1523" spans="1:5">
      <c r="A1523" s="35">
        <v>44573</v>
      </c>
      <c r="B1523" s="37">
        <v>1877.6</v>
      </c>
      <c r="C1523" s="37">
        <v>61235.3</v>
      </c>
      <c r="D1523" s="38">
        <f t="shared" si="86"/>
        <v>1.0279325398200497E-2</v>
      </c>
      <c r="E1523" s="38">
        <f t="shared" si="87"/>
        <v>-2.0039469819760583E-4</v>
      </c>
    </row>
    <row r="1524" spans="1:5">
      <c r="A1524" s="35">
        <v>44574</v>
      </c>
      <c r="B1524" s="37">
        <v>1897</v>
      </c>
      <c r="C1524" s="37">
        <v>61223.03</v>
      </c>
      <c r="D1524" s="38">
        <f t="shared" si="86"/>
        <v>1.6313234295265738E-2</v>
      </c>
      <c r="E1524" s="38">
        <f t="shared" si="87"/>
        <v>1.4017571918359412E-3</v>
      </c>
    </row>
    <row r="1525" spans="1:5">
      <c r="A1525" s="35">
        <v>44575</v>
      </c>
      <c r="B1525" s="37">
        <v>1928.2</v>
      </c>
      <c r="C1525" s="37">
        <v>61308.91</v>
      </c>
      <c r="D1525" s="38">
        <f t="shared" si="86"/>
        <v>5.7659401383919531E-3</v>
      </c>
      <c r="E1525" s="38">
        <f t="shared" si="87"/>
        <v>-9.0781040930373747E-3</v>
      </c>
    </row>
    <row r="1526" spans="1:5">
      <c r="A1526" s="35">
        <v>44578</v>
      </c>
      <c r="B1526" s="37">
        <v>1939.35</v>
      </c>
      <c r="C1526" s="37">
        <v>60754.86</v>
      </c>
      <c r="D1526" s="38">
        <f t="shared" si="86"/>
        <v>-9.5330100492116206E-3</v>
      </c>
      <c r="E1526" s="38">
        <f t="shared" si="87"/>
        <v>-1.0856871615842667E-2</v>
      </c>
    </row>
    <row r="1527" spans="1:5">
      <c r="A1527" s="35">
        <v>44579</v>
      </c>
      <c r="B1527" s="37">
        <v>1920.95</v>
      </c>
      <c r="C1527" s="37">
        <v>60098.82</v>
      </c>
      <c r="D1527" s="38">
        <f t="shared" si="86"/>
        <v>-2.811212799989898E-2</v>
      </c>
      <c r="E1527" s="38">
        <f t="shared" si="87"/>
        <v>-1.060869355982515E-2</v>
      </c>
    </row>
    <row r="1528" spans="1:5">
      <c r="A1528" s="35">
        <v>44580</v>
      </c>
      <c r="B1528" s="37">
        <v>1867.7</v>
      </c>
      <c r="C1528" s="37">
        <v>59464.62</v>
      </c>
      <c r="D1528" s="38">
        <f t="shared" si="86"/>
        <v>-2.3593602224443094E-2</v>
      </c>
      <c r="E1528" s="38">
        <f t="shared" si="87"/>
        <v>-7.2140989213329574E-3</v>
      </c>
    </row>
    <row r="1529" spans="1:5">
      <c r="A1529" s="35">
        <v>44581</v>
      </c>
      <c r="B1529" s="37">
        <v>1824.15</v>
      </c>
      <c r="C1529" s="37">
        <v>59037.18</v>
      </c>
      <c r="D1529" s="38">
        <f t="shared" si="86"/>
        <v>-2.1107647529824514E-2</v>
      </c>
      <c r="E1529" s="38">
        <f t="shared" si="87"/>
        <v>-2.6530130196091344E-2</v>
      </c>
    </row>
    <row r="1530" spans="1:5">
      <c r="A1530" s="35">
        <v>44582</v>
      </c>
      <c r="B1530" s="37">
        <v>1786.05</v>
      </c>
      <c r="C1530" s="37">
        <v>57491.51</v>
      </c>
      <c r="D1530" s="38">
        <f t="shared" si="86"/>
        <v>-2.7904562505326722E-2</v>
      </c>
      <c r="E1530" s="38">
        <f t="shared" si="87"/>
        <v>6.3570405793896001E-3</v>
      </c>
    </row>
    <row r="1531" spans="1:5">
      <c r="A1531" s="35">
        <v>44585</v>
      </c>
      <c r="B1531" s="37">
        <v>1736.9</v>
      </c>
      <c r="C1531" s="37">
        <v>57858.15</v>
      </c>
      <c r="D1531" s="38">
        <f t="shared" si="86"/>
        <v>-8.5574387491133327E-3</v>
      </c>
      <c r="E1531" s="38">
        <f t="shared" si="87"/>
        <v>-1.0096225869439965E-2</v>
      </c>
    </row>
    <row r="1532" spans="1:5">
      <c r="A1532" s="35">
        <v>44586</v>
      </c>
      <c r="B1532" s="37">
        <v>1722.1</v>
      </c>
      <c r="C1532" s="37">
        <v>57276.94</v>
      </c>
      <c r="D1532" s="38">
        <f t="shared" si="86"/>
        <v>-2.5643938890764148E-2</v>
      </c>
      <c r="E1532" s="38">
        <f t="shared" si="87"/>
        <v>-1.3401800809971116E-3</v>
      </c>
    </row>
    <row r="1533" spans="1:5">
      <c r="A1533" s="35">
        <v>44588</v>
      </c>
      <c r="B1533" s="37">
        <v>1678.5</v>
      </c>
      <c r="C1533" s="37">
        <v>57200.23</v>
      </c>
      <c r="D1533" s="38">
        <f t="shared" si="86"/>
        <v>4.0133833134585201E-3</v>
      </c>
      <c r="E1533" s="38">
        <f t="shared" si="87"/>
        <v>1.4129371695645375E-2</v>
      </c>
    </row>
    <row r="1534" spans="1:5">
      <c r="A1534" s="35">
        <v>44589</v>
      </c>
      <c r="B1534" s="37">
        <v>1685.25</v>
      </c>
      <c r="C1534" s="37">
        <v>58014.17</v>
      </c>
      <c r="D1534" s="38">
        <f t="shared" si="86"/>
        <v>3.0072840019520451E-2</v>
      </c>
      <c r="E1534" s="38">
        <f t="shared" si="87"/>
        <v>1.4518113728778278E-2</v>
      </c>
    </row>
    <row r="1535" spans="1:5">
      <c r="A1535" s="35">
        <v>44592</v>
      </c>
      <c r="B1535" s="37">
        <v>1736.7</v>
      </c>
      <c r="C1535" s="37">
        <v>58862.57</v>
      </c>
      <c r="D1535" s="38">
        <f t="shared" si="86"/>
        <v>2.0206737942205909E-2</v>
      </c>
      <c r="E1535" s="38">
        <f t="shared" si="87"/>
        <v>1.1750763689279601E-2</v>
      </c>
    </row>
    <row r="1536" spans="1:5">
      <c r="A1536" s="35">
        <v>44593</v>
      </c>
      <c r="B1536" s="37">
        <v>1772.15</v>
      </c>
      <c r="C1536" s="37">
        <v>59558.33</v>
      </c>
      <c r="D1536" s="38">
        <f t="shared" si="86"/>
        <v>8.9601048858827022E-3</v>
      </c>
      <c r="E1536" s="38">
        <f t="shared" si="87"/>
        <v>-1.3018075820528234E-2</v>
      </c>
    </row>
    <row r="1537" spans="1:5">
      <c r="A1537" s="35">
        <v>44594</v>
      </c>
      <c r="B1537" s="37">
        <v>1788.1</v>
      </c>
      <c r="C1537" s="37">
        <v>58788.02</v>
      </c>
      <c r="D1537" s="38">
        <f t="shared" si="86"/>
        <v>-2.8015896047413145E-2</v>
      </c>
      <c r="E1537" s="38">
        <f t="shared" si="87"/>
        <v>-2.4388419964783315E-3</v>
      </c>
    </row>
    <row r="1538" spans="1:5">
      <c r="A1538" s="35">
        <v>44595</v>
      </c>
      <c r="B1538" s="37">
        <v>1738.7</v>
      </c>
      <c r="C1538" s="37">
        <v>58644.82</v>
      </c>
      <c r="D1538" s="38">
        <f t="shared" si="86"/>
        <v>1.2932336951044223E-3</v>
      </c>
      <c r="E1538" s="38">
        <f t="shared" si="87"/>
        <v>-1.7608868659066919E-2</v>
      </c>
    </row>
    <row r="1539" spans="1:5">
      <c r="A1539" s="35">
        <v>44596</v>
      </c>
      <c r="B1539" s="37">
        <v>1740.95</v>
      </c>
      <c r="C1539" s="37">
        <v>57621.19</v>
      </c>
      <c r="D1539" s="38">
        <f t="shared" si="86"/>
        <v>-1.5105328010819546E-2</v>
      </c>
      <c r="E1539" s="38">
        <f t="shared" si="87"/>
        <v>3.2468255740290912E-3</v>
      </c>
    </row>
    <row r="1540" spans="1:5">
      <c r="A1540" s="35">
        <v>44599</v>
      </c>
      <c r="B1540" s="37">
        <v>1714.85</v>
      </c>
      <c r="C1540" s="37">
        <v>57808.58</v>
      </c>
      <c r="D1540" s="38">
        <f t="shared" si="86"/>
        <v>9.9084929712995825E-4</v>
      </c>
      <c r="E1540" s="38">
        <f t="shared" si="87"/>
        <v>1.130766800919657E-2</v>
      </c>
    </row>
    <row r="1541" spans="1:5">
      <c r="A1541" s="35">
        <v>44600</v>
      </c>
      <c r="B1541" s="37">
        <v>1716.55</v>
      </c>
      <c r="C1541" s="37">
        <v>58465.97</v>
      </c>
      <c r="D1541" s="38">
        <f t="shared" ref="D1541:D1604" si="88">LN(B1542/B1541)</f>
        <v>1.2130835923788247E-2</v>
      </c>
      <c r="E1541" s="38">
        <f t="shared" ref="E1541:E1604" si="89">LN(C1542/C1541)</f>
        <v>7.8380529391427374E-3</v>
      </c>
    </row>
    <row r="1542" spans="1:5">
      <c r="A1542" s="35">
        <v>44601</v>
      </c>
      <c r="B1542" s="37">
        <v>1737.5</v>
      </c>
      <c r="C1542" s="37">
        <v>58926.03</v>
      </c>
      <c r="D1542" s="38">
        <f t="shared" si="88"/>
        <v>1.7882319456912273E-2</v>
      </c>
      <c r="E1542" s="38">
        <f t="shared" si="89"/>
        <v>-1.320683585143612E-2</v>
      </c>
    </row>
    <row r="1543" spans="1:5">
      <c r="A1543" s="35">
        <v>44602</v>
      </c>
      <c r="B1543" s="37">
        <v>1768.85</v>
      </c>
      <c r="C1543" s="37">
        <v>58152.92</v>
      </c>
      <c r="D1543" s="38">
        <f t="shared" si="88"/>
        <v>-2.7424100684320017E-2</v>
      </c>
      <c r="E1543" s="38">
        <f t="shared" si="89"/>
        <v>-3.0503393422474722E-2</v>
      </c>
    </row>
    <row r="1544" spans="1:5">
      <c r="A1544" s="35">
        <v>44603</v>
      </c>
      <c r="B1544" s="37">
        <v>1721</v>
      </c>
      <c r="C1544" s="37">
        <v>56405.84</v>
      </c>
      <c r="D1544" s="38">
        <f t="shared" si="88"/>
        <v>-2.2327602020733389E-2</v>
      </c>
      <c r="E1544" s="38">
        <f t="shared" si="89"/>
        <v>3.0316454984266248E-2</v>
      </c>
    </row>
    <row r="1545" spans="1:5">
      <c r="A1545" s="35">
        <v>44606</v>
      </c>
      <c r="B1545" s="37">
        <v>1683</v>
      </c>
      <c r="C1545" s="37">
        <v>58142.05</v>
      </c>
      <c r="D1545" s="38">
        <f t="shared" si="88"/>
        <v>3.2300944788321247E-2</v>
      </c>
      <c r="E1545" s="38">
        <f t="shared" si="89"/>
        <v>-2.5033866982841838E-3</v>
      </c>
    </row>
    <row r="1546" spans="1:5">
      <c r="A1546" s="35">
        <v>44607</v>
      </c>
      <c r="B1546" s="37">
        <v>1738.25</v>
      </c>
      <c r="C1546" s="37">
        <v>57996.68</v>
      </c>
      <c r="D1546" s="38">
        <f t="shared" si="88"/>
        <v>-3.1691181810331332E-3</v>
      </c>
      <c r="E1546" s="38">
        <f t="shared" si="89"/>
        <v>-1.806389017977039E-3</v>
      </c>
    </row>
    <row r="1547" spans="1:5">
      <c r="A1547" s="35">
        <v>44608</v>
      </c>
      <c r="B1547" s="37">
        <v>1732.75</v>
      </c>
      <c r="C1547" s="37">
        <v>57892.01</v>
      </c>
      <c r="D1547" s="38">
        <f t="shared" si="88"/>
        <v>-4.2798133630364823E-3</v>
      </c>
      <c r="E1547" s="38">
        <f t="shared" si="89"/>
        <v>-1.0203502324612063E-3</v>
      </c>
    </row>
    <row r="1548" spans="1:5">
      <c r="A1548" s="35">
        <v>44609</v>
      </c>
      <c r="B1548" s="37">
        <v>1725.35</v>
      </c>
      <c r="C1548" s="37">
        <v>57832.97</v>
      </c>
      <c r="D1548" s="38">
        <f t="shared" si="88"/>
        <v>-1.0633904048350526E-2</v>
      </c>
      <c r="E1548" s="38">
        <f t="shared" si="89"/>
        <v>-2.5862972939303831E-3</v>
      </c>
    </row>
    <row r="1549" spans="1:5">
      <c r="A1549" s="35">
        <v>44610</v>
      </c>
      <c r="B1549" s="37">
        <v>1707.1</v>
      </c>
      <c r="C1549" s="37">
        <v>57683.59</v>
      </c>
      <c r="D1549" s="38">
        <f t="shared" si="88"/>
        <v>1.3672144785931243E-2</v>
      </c>
      <c r="E1549" s="38">
        <f t="shared" si="89"/>
        <v>-6.6602399693659019E-3</v>
      </c>
    </row>
    <row r="1550" spans="1:5">
      <c r="A1550" s="35">
        <v>44613</v>
      </c>
      <c r="B1550" s="37">
        <v>1730.6</v>
      </c>
      <c r="C1550" s="37">
        <v>57300.68</v>
      </c>
      <c r="D1550" s="38">
        <f t="shared" si="88"/>
        <v>2.049210616802067E-3</v>
      </c>
      <c r="E1550" s="38">
        <f t="shared" si="89"/>
        <v>-1.1982601343606138E-3</v>
      </c>
    </row>
    <row r="1551" spans="1:5">
      <c r="A1551" s="35">
        <v>44614</v>
      </c>
      <c r="B1551" s="37">
        <v>1734.15</v>
      </c>
      <c r="C1551" s="37">
        <v>57232.06</v>
      </c>
      <c r="D1551" s="38">
        <f t="shared" si="88"/>
        <v>5.2911697851652541E-3</v>
      </c>
      <c r="E1551" s="38">
        <f t="shared" si="89"/>
        <v>-4.8364872411687895E-2</v>
      </c>
    </row>
    <row r="1552" spans="1:5">
      <c r="A1552" s="35">
        <v>44615</v>
      </c>
      <c r="B1552" s="37">
        <v>1743.35</v>
      </c>
      <c r="C1552" s="37">
        <v>54529.91</v>
      </c>
      <c r="D1552" s="38">
        <f t="shared" si="88"/>
        <v>-3.8503959728768841E-2</v>
      </c>
      <c r="E1552" s="38">
        <f t="shared" si="89"/>
        <v>2.4072706888611545E-2</v>
      </c>
    </row>
    <row r="1553" spans="1:5">
      <c r="A1553" s="35">
        <v>44616</v>
      </c>
      <c r="B1553" s="37">
        <v>1677.5</v>
      </c>
      <c r="C1553" s="37">
        <v>55858.52</v>
      </c>
      <c r="D1553" s="38">
        <f t="shared" si="88"/>
        <v>9.728972746499363E-3</v>
      </c>
      <c r="E1553" s="38">
        <f t="shared" si="89"/>
        <v>6.9356190022191525E-3</v>
      </c>
    </row>
    <row r="1554" spans="1:5">
      <c r="A1554" s="35">
        <v>44617</v>
      </c>
      <c r="B1554" s="37">
        <v>1693.9</v>
      </c>
      <c r="C1554" s="37">
        <v>56247.28</v>
      </c>
      <c r="D1554" s="38">
        <f t="shared" si="88"/>
        <v>1.3719727397480223E-2</v>
      </c>
      <c r="E1554" s="38">
        <f t="shared" si="89"/>
        <v>-1.3935181028321031E-2</v>
      </c>
    </row>
    <row r="1555" spans="1:5">
      <c r="A1555" s="35">
        <v>44620</v>
      </c>
      <c r="B1555" s="37">
        <v>1717.3</v>
      </c>
      <c r="C1555" s="37">
        <v>55468.9</v>
      </c>
      <c r="D1555" s="38">
        <f t="shared" si="88"/>
        <v>-8.3031701450262119E-3</v>
      </c>
      <c r="E1555" s="38">
        <f t="shared" si="89"/>
        <v>-6.6241495169710148E-3</v>
      </c>
    </row>
    <row r="1556" spans="1:5">
      <c r="A1556" s="35">
        <v>44622</v>
      </c>
      <c r="B1556" s="37">
        <v>1703.1</v>
      </c>
      <c r="C1556" s="37">
        <v>55102.68</v>
      </c>
      <c r="D1556" s="38">
        <f t="shared" si="88"/>
        <v>1.0193887289856788E-2</v>
      </c>
      <c r="E1556" s="38">
        <f t="shared" si="89"/>
        <v>-1.405166870820943E-2</v>
      </c>
    </row>
    <row r="1557" spans="1:5">
      <c r="A1557" s="35">
        <v>44623</v>
      </c>
      <c r="B1557" s="37">
        <v>1720.55</v>
      </c>
      <c r="C1557" s="37">
        <v>54333.81</v>
      </c>
      <c r="D1557" s="38">
        <f t="shared" si="88"/>
        <v>1.7421101354414799E-3</v>
      </c>
      <c r="E1557" s="38">
        <f t="shared" si="89"/>
        <v>-2.7826162900285736E-2</v>
      </c>
    </row>
    <row r="1558" spans="1:5">
      <c r="A1558" s="35">
        <v>44624</v>
      </c>
      <c r="B1558" s="37">
        <v>1723.55</v>
      </c>
      <c r="C1558" s="37">
        <v>52842.75</v>
      </c>
      <c r="D1558" s="38">
        <f t="shared" si="88"/>
        <v>9.2403418007335914E-3</v>
      </c>
      <c r="E1558" s="38">
        <f t="shared" si="89"/>
        <v>1.0941245629979045E-2</v>
      </c>
    </row>
    <row r="1559" spans="1:5">
      <c r="A1559" s="35">
        <v>44627</v>
      </c>
      <c r="B1559" s="37">
        <v>1739.55</v>
      </c>
      <c r="C1559" s="37">
        <v>53424.09</v>
      </c>
      <c r="D1559" s="38">
        <f t="shared" si="88"/>
        <v>2.2115739343635379E-2</v>
      </c>
      <c r="E1559" s="38">
        <f t="shared" si="89"/>
        <v>2.2638589234392728E-2</v>
      </c>
    </row>
    <row r="1560" spans="1:5">
      <c r="A1560" s="35">
        <v>44628</v>
      </c>
      <c r="B1560" s="37">
        <v>1778.45</v>
      </c>
      <c r="C1560" s="37">
        <v>54647.33</v>
      </c>
      <c r="D1560" s="38">
        <f t="shared" si="88"/>
        <v>1.9488909933099971E-2</v>
      </c>
      <c r="E1560" s="38">
        <f t="shared" si="89"/>
        <v>1.4840836133133917E-2</v>
      </c>
    </row>
    <row r="1561" spans="1:5">
      <c r="A1561" s="35">
        <v>44629</v>
      </c>
      <c r="B1561" s="37">
        <v>1813.45</v>
      </c>
      <c r="C1561" s="37">
        <v>55464.39</v>
      </c>
      <c r="D1561" s="38">
        <f t="shared" si="88"/>
        <v>6.2392836226209374E-3</v>
      </c>
      <c r="E1561" s="38">
        <f t="shared" si="89"/>
        <v>1.5477234075852921E-3</v>
      </c>
    </row>
    <row r="1562" spans="1:5">
      <c r="A1562" s="35">
        <v>44630</v>
      </c>
      <c r="B1562" s="37">
        <v>1824.8</v>
      </c>
      <c r="C1562" s="37">
        <v>55550.3</v>
      </c>
      <c r="D1562" s="38">
        <f t="shared" si="88"/>
        <v>-1.3709524781687994E-3</v>
      </c>
      <c r="E1562" s="38">
        <f t="shared" si="89"/>
        <v>1.6704257296215753E-2</v>
      </c>
    </row>
    <row r="1563" spans="1:5">
      <c r="A1563" s="35">
        <v>44631</v>
      </c>
      <c r="B1563" s="37">
        <v>1822.3</v>
      </c>
      <c r="C1563" s="37">
        <v>56486.02</v>
      </c>
      <c r="D1563" s="38">
        <f t="shared" si="88"/>
        <v>3.6900580427071929E-2</v>
      </c>
      <c r="E1563" s="38">
        <f t="shared" si="89"/>
        <v>-1.2634265156289163E-2</v>
      </c>
    </row>
    <row r="1564" spans="1:5">
      <c r="A1564" s="35">
        <v>44634</v>
      </c>
      <c r="B1564" s="37">
        <v>1890.8</v>
      </c>
      <c r="C1564" s="37">
        <v>55776.85</v>
      </c>
      <c r="D1564" s="38">
        <f t="shared" si="88"/>
        <v>-2.7696511572575556E-2</v>
      </c>
      <c r="E1564" s="38">
        <f t="shared" si="89"/>
        <v>1.8470507823567E-2</v>
      </c>
    </row>
    <row r="1565" spans="1:5">
      <c r="A1565" s="35">
        <v>44635</v>
      </c>
      <c r="B1565" s="37">
        <v>1839.15</v>
      </c>
      <c r="C1565" s="37">
        <v>56816.65</v>
      </c>
      <c r="D1565" s="38">
        <f t="shared" si="88"/>
        <v>2.6558779769313475E-2</v>
      </c>
      <c r="E1565" s="38">
        <f t="shared" si="89"/>
        <v>1.8264803238476818E-2</v>
      </c>
    </row>
    <row r="1566" spans="1:5">
      <c r="A1566" s="35">
        <v>44636</v>
      </c>
      <c r="B1566" s="37">
        <v>1888.65</v>
      </c>
      <c r="C1566" s="37">
        <v>57863.93</v>
      </c>
      <c r="D1566" s="38">
        <f t="shared" si="88"/>
        <v>-1.8301094530332015E-2</v>
      </c>
      <c r="E1566" s="38">
        <f t="shared" si="89"/>
        <v>-9.9246692545240968E-3</v>
      </c>
    </row>
    <row r="1567" spans="1:5">
      <c r="A1567" s="35">
        <v>44637</v>
      </c>
      <c r="B1567" s="37">
        <v>1854.4</v>
      </c>
      <c r="C1567" s="37">
        <v>57292.49</v>
      </c>
      <c r="D1567" s="38">
        <f t="shared" si="88"/>
        <v>-9.7113576556022213E-4</v>
      </c>
      <c r="E1567" s="38">
        <f t="shared" si="89"/>
        <v>1.2088960210204971E-2</v>
      </c>
    </row>
    <row r="1568" spans="1:5">
      <c r="A1568" s="35">
        <v>44641</v>
      </c>
      <c r="B1568" s="37">
        <v>1852.6</v>
      </c>
      <c r="C1568" s="37">
        <v>57989.3</v>
      </c>
      <c r="D1568" s="38">
        <f t="shared" si="88"/>
        <v>1.8557178424166518E-2</v>
      </c>
      <c r="E1568" s="38">
        <f t="shared" si="89"/>
        <v>-5.2644567896269574E-3</v>
      </c>
    </row>
    <row r="1569" spans="1:5">
      <c r="A1569" s="35">
        <v>44642</v>
      </c>
      <c r="B1569" s="37">
        <v>1887.3</v>
      </c>
      <c r="C1569" s="37">
        <v>57684.82</v>
      </c>
      <c r="D1569" s="38">
        <f t="shared" si="88"/>
        <v>-8.2199896221206992E-3</v>
      </c>
      <c r="E1569" s="38">
        <f t="shared" si="89"/>
        <v>-1.5464890899295123E-3</v>
      </c>
    </row>
    <row r="1570" spans="1:5">
      <c r="A1570" s="35">
        <v>44643</v>
      </c>
      <c r="B1570" s="37">
        <v>1871.85</v>
      </c>
      <c r="C1570" s="37">
        <v>57595.68</v>
      </c>
      <c r="D1570" s="38">
        <f t="shared" si="88"/>
        <v>7.9815253310179489E-3</v>
      </c>
      <c r="E1570" s="38">
        <f t="shared" si="89"/>
        <v>-4.06201507951024E-3</v>
      </c>
    </row>
    <row r="1571" spans="1:5">
      <c r="A1571" s="35">
        <v>44644</v>
      </c>
      <c r="B1571" s="37">
        <v>1886.85</v>
      </c>
      <c r="C1571" s="37">
        <v>57362.2</v>
      </c>
      <c r="D1571" s="38">
        <f t="shared" si="88"/>
        <v>-5.5537244986880062E-3</v>
      </c>
      <c r="E1571" s="38">
        <f t="shared" si="89"/>
        <v>4.0239906714817164E-3</v>
      </c>
    </row>
    <row r="1572" spans="1:5">
      <c r="A1572" s="35">
        <v>44645</v>
      </c>
      <c r="B1572" s="37">
        <v>1876.4</v>
      </c>
      <c r="C1572" s="37">
        <v>57593.49</v>
      </c>
      <c r="D1572" s="38">
        <f t="shared" si="88"/>
        <v>-1.573396593772695E-3</v>
      </c>
      <c r="E1572" s="38">
        <f t="shared" si="89"/>
        <v>6.0614460788189529E-3</v>
      </c>
    </row>
    <row r="1573" spans="1:5">
      <c r="A1573" s="35">
        <v>44648</v>
      </c>
      <c r="B1573" s="37">
        <v>1873.45</v>
      </c>
      <c r="C1573" s="37">
        <v>57943.65</v>
      </c>
      <c r="D1573" s="38">
        <f t="shared" si="88"/>
        <v>6.6235096577892142E-3</v>
      </c>
      <c r="E1573" s="38">
        <f t="shared" si="89"/>
        <v>1.269596031318875E-2</v>
      </c>
    </row>
    <row r="1574" spans="1:5">
      <c r="A1574" s="35">
        <v>44649</v>
      </c>
      <c r="B1574" s="37">
        <v>1885.9</v>
      </c>
      <c r="C1574" s="37">
        <v>58683.99</v>
      </c>
      <c r="D1574" s="38">
        <f t="shared" si="88"/>
        <v>1.6721390761150468E-2</v>
      </c>
      <c r="E1574" s="38">
        <f t="shared" si="89"/>
        <v>-1.9697667399559897E-3</v>
      </c>
    </row>
    <row r="1575" spans="1:5">
      <c r="A1575" s="35">
        <v>44650</v>
      </c>
      <c r="B1575" s="37">
        <v>1917.7</v>
      </c>
      <c r="C1575" s="37">
        <v>58568.51</v>
      </c>
      <c r="D1575" s="38">
        <f t="shared" si="88"/>
        <v>-5.4903534084392797E-3</v>
      </c>
      <c r="E1575" s="38">
        <f t="shared" si="89"/>
        <v>1.2018962588523793E-2</v>
      </c>
    </row>
    <row r="1576" spans="1:5">
      <c r="A1576" s="35">
        <v>44651</v>
      </c>
      <c r="B1576" s="37">
        <v>1907.2</v>
      </c>
      <c r="C1576" s="37">
        <v>59276.69</v>
      </c>
      <c r="D1576" s="38">
        <f t="shared" si="88"/>
        <v>-2.5462338703187851E-3</v>
      </c>
      <c r="E1576" s="38">
        <f t="shared" si="89"/>
        <v>2.2272460963342205E-2</v>
      </c>
    </row>
    <row r="1577" spans="1:5">
      <c r="A1577" s="35">
        <v>44652</v>
      </c>
      <c r="B1577" s="37">
        <v>1902.35</v>
      </c>
      <c r="C1577" s="37">
        <v>60611.74</v>
      </c>
      <c r="D1577" s="38">
        <f t="shared" si="88"/>
        <v>-1.0515844104364347E-2</v>
      </c>
      <c r="E1577" s="38">
        <f t="shared" si="89"/>
        <v>-7.2066930312501302E-3</v>
      </c>
    </row>
    <row r="1578" spans="1:5">
      <c r="A1578" s="35">
        <v>44655</v>
      </c>
      <c r="B1578" s="37">
        <v>1882.45</v>
      </c>
      <c r="C1578" s="37">
        <v>60176.5</v>
      </c>
      <c r="D1578" s="38">
        <f t="shared" si="88"/>
        <v>-1.1406409146429645E-2</v>
      </c>
      <c r="E1578" s="38">
        <f t="shared" si="89"/>
        <v>-9.4516874050654068E-3</v>
      </c>
    </row>
    <row r="1579" spans="1:5">
      <c r="A1579" s="35">
        <v>44656</v>
      </c>
      <c r="B1579" s="37">
        <v>1861.1</v>
      </c>
      <c r="C1579" s="37">
        <v>59610.41</v>
      </c>
      <c r="D1579" s="38">
        <f t="shared" si="88"/>
        <v>-1.7699097352515285E-2</v>
      </c>
      <c r="E1579" s="38">
        <f t="shared" si="89"/>
        <v>-9.7005818452605141E-3</v>
      </c>
    </row>
    <row r="1580" spans="1:5">
      <c r="A1580" s="35">
        <v>44657</v>
      </c>
      <c r="B1580" s="37">
        <v>1828.45</v>
      </c>
      <c r="C1580" s="37">
        <v>59034.95</v>
      </c>
      <c r="D1580" s="38">
        <f t="shared" si="88"/>
        <v>-9.3133820622706403E-3</v>
      </c>
      <c r="E1580" s="38">
        <f t="shared" si="89"/>
        <v>6.9585457890301381E-3</v>
      </c>
    </row>
    <row r="1581" spans="1:5">
      <c r="A1581" s="35">
        <v>44658</v>
      </c>
      <c r="B1581" s="37">
        <v>1811.5</v>
      </c>
      <c r="C1581" s="37">
        <v>59447.18</v>
      </c>
      <c r="D1581" s="38">
        <f t="shared" si="88"/>
        <v>1.9853312648001201E-3</v>
      </c>
      <c r="E1581" s="38">
        <f t="shared" si="89"/>
        <v>-8.1514321388349888E-3</v>
      </c>
    </row>
    <row r="1582" spans="1:5">
      <c r="A1582" s="35">
        <v>44659</v>
      </c>
      <c r="B1582" s="37">
        <v>1815.1</v>
      </c>
      <c r="C1582" s="37">
        <v>58964.57</v>
      </c>
      <c r="D1582" s="38">
        <f t="shared" si="88"/>
        <v>-2.7055464734592652E-2</v>
      </c>
      <c r="E1582" s="38">
        <f t="shared" si="89"/>
        <v>-6.6053821156131899E-3</v>
      </c>
    </row>
    <row r="1583" spans="1:5">
      <c r="A1583" s="35">
        <v>44662</v>
      </c>
      <c r="B1583" s="37">
        <v>1766.65</v>
      </c>
      <c r="C1583" s="37">
        <v>58576.37</v>
      </c>
      <c r="D1583" s="38">
        <f t="shared" si="88"/>
        <v>-1.4366998352872761E-2</v>
      </c>
      <c r="E1583" s="38">
        <f t="shared" si="89"/>
        <v>-4.0617494277745674E-3</v>
      </c>
    </row>
    <row r="1584" spans="1:5">
      <c r="A1584" s="35">
        <v>44663</v>
      </c>
      <c r="B1584" s="37">
        <v>1741.45</v>
      </c>
      <c r="C1584" s="37">
        <v>58338.93</v>
      </c>
      <c r="D1584" s="38">
        <f t="shared" si="88"/>
        <v>4.1259621295294388E-3</v>
      </c>
      <c r="E1584" s="38">
        <f t="shared" si="89"/>
        <v>-2.0297362774429742E-2</v>
      </c>
    </row>
    <row r="1585" spans="1:5">
      <c r="A1585" s="35">
        <v>44664</v>
      </c>
      <c r="B1585" s="37">
        <v>1748.65</v>
      </c>
      <c r="C1585" s="37">
        <v>57166.74</v>
      </c>
      <c r="D1585" s="38">
        <f t="shared" si="88"/>
        <v>-7.5523251016058418E-2</v>
      </c>
      <c r="E1585" s="38">
        <f t="shared" si="89"/>
        <v>-1.2384047755906435E-2</v>
      </c>
    </row>
    <row r="1586" spans="1:5">
      <c r="A1586" s="35">
        <v>44669</v>
      </c>
      <c r="B1586" s="37">
        <v>1621.45</v>
      </c>
      <c r="C1586" s="37">
        <v>56463.15</v>
      </c>
      <c r="D1586" s="38">
        <f t="shared" si="88"/>
        <v>-3.6106138341173308E-2</v>
      </c>
      <c r="E1586" s="38">
        <f t="shared" si="89"/>
        <v>1.012073327353143E-2</v>
      </c>
    </row>
    <row r="1587" spans="1:5">
      <c r="A1587" s="35">
        <v>44670</v>
      </c>
      <c r="B1587" s="37">
        <v>1563.95</v>
      </c>
      <c r="C1587" s="37">
        <v>57037.5</v>
      </c>
      <c r="D1587" s="38">
        <f t="shared" si="88"/>
        <v>1.5166227622550342E-2</v>
      </c>
      <c r="E1587" s="38">
        <f t="shared" si="89"/>
        <v>1.5210145096966726E-2</v>
      </c>
    </row>
    <row r="1588" spans="1:5">
      <c r="A1588" s="35">
        <v>44671</v>
      </c>
      <c r="B1588" s="37">
        <v>1587.85</v>
      </c>
      <c r="C1588" s="37">
        <v>57911.68</v>
      </c>
      <c r="D1588" s="38">
        <f t="shared" si="88"/>
        <v>1.9118894458984501E-2</v>
      </c>
      <c r="E1588" s="38">
        <f t="shared" si="89"/>
        <v>-1.2415019380875882E-2</v>
      </c>
    </row>
    <row r="1589" spans="1:5">
      <c r="A1589" s="35">
        <v>44672</v>
      </c>
      <c r="B1589" s="37">
        <v>1618.5</v>
      </c>
      <c r="C1589" s="37">
        <v>57197.15</v>
      </c>
      <c r="D1589" s="38">
        <f t="shared" si="88"/>
        <v>-2.0473844170777234E-2</v>
      </c>
      <c r="E1589" s="38">
        <f t="shared" si="89"/>
        <v>-1.0850450247956851E-2</v>
      </c>
    </row>
    <row r="1590" spans="1:5">
      <c r="A1590" s="35">
        <v>44673</v>
      </c>
      <c r="B1590" s="37">
        <v>1585.7</v>
      </c>
      <c r="C1590" s="37">
        <v>56579.89</v>
      </c>
      <c r="D1590" s="38">
        <f t="shared" si="88"/>
        <v>-1.5411073478171073E-2</v>
      </c>
      <c r="E1590" s="38">
        <f t="shared" si="89"/>
        <v>1.363447240480135E-2</v>
      </c>
    </row>
    <row r="1591" spans="1:5">
      <c r="A1591" s="35">
        <v>44676</v>
      </c>
      <c r="B1591" s="37">
        <v>1561.45</v>
      </c>
      <c r="C1591" s="37">
        <v>57356.61</v>
      </c>
      <c r="D1591" s="38">
        <f t="shared" si="88"/>
        <v>1.1651729936213766E-2</v>
      </c>
      <c r="E1591" s="38">
        <f t="shared" si="89"/>
        <v>-9.4104534145010611E-3</v>
      </c>
    </row>
    <row r="1592" spans="1:5">
      <c r="A1592" s="35">
        <v>44677</v>
      </c>
      <c r="B1592" s="37">
        <v>1579.75</v>
      </c>
      <c r="C1592" s="37">
        <v>56819.39</v>
      </c>
      <c r="D1592" s="38">
        <f t="shared" si="88"/>
        <v>-1.6949287796052388E-2</v>
      </c>
      <c r="E1592" s="38">
        <f t="shared" si="89"/>
        <v>1.2273500903775384E-2</v>
      </c>
    </row>
    <row r="1593" spans="1:5">
      <c r="A1593" s="35">
        <v>44678</v>
      </c>
      <c r="B1593" s="37">
        <v>1553.2</v>
      </c>
      <c r="C1593" s="37">
        <v>57521.06</v>
      </c>
      <c r="D1593" s="38">
        <f t="shared" si="88"/>
        <v>1.9193957649876102E-2</v>
      </c>
      <c r="E1593" s="38">
        <f t="shared" si="89"/>
        <v>-8.0325488383057187E-3</v>
      </c>
    </row>
    <row r="1594" spans="1:5">
      <c r="A1594" s="35">
        <v>44679</v>
      </c>
      <c r="B1594" s="37">
        <v>1583.3</v>
      </c>
      <c r="C1594" s="37">
        <v>57060.87</v>
      </c>
      <c r="D1594" s="38">
        <f t="shared" si="88"/>
        <v>-9.7741321409836514E-3</v>
      </c>
      <c r="E1594" s="38">
        <f t="shared" si="89"/>
        <v>-1.4886417545150463E-3</v>
      </c>
    </row>
    <row r="1595" spans="1:5">
      <c r="A1595" s="35">
        <v>44680</v>
      </c>
      <c r="B1595" s="37">
        <v>1567.9</v>
      </c>
      <c r="C1595" s="37">
        <v>56975.99</v>
      </c>
      <c r="D1595" s="38">
        <f t="shared" si="88"/>
        <v>-1.7143368887850709E-2</v>
      </c>
      <c r="E1595" s="38">
        <f t="shared" si="89"/>
        <v>-2.3205973085636E-2</v>
      </c>
    </row>
    <row r="1596" spans="1:5">
      <c r="A1596" s="35">
        <v>44683</v>
      </c>
      <c r="B1596" s="37">
        <v>1541.25</v>
      </c>
      <c r="C1596" s="37">
        <v>55669.03</v>
      </c>
      <c r="D1596" s="38">
        <f t="shared" si="88"/>
        <v>-3.4446933841004311E-3</v>
      </c>
      <c r="E1596" s="38">
        <f t="shared" si="89"/>
        <v>5.9620410119170402E-4</v>
      </c>
    </row>
    <row r="1597" spans="1:5">
      <c r="A1597" s="35">
        <v>44685</v>
      </c>
      <c r="B1597" s="37">
        <v>1535.95</v>
      </c>
      <c r="C1597" s="37">
        <v>55702.23</v>
      </c>
      <c r="D1597" s="38">
        <f t="shared" si="88"/>
        <v>3.1593041485687361E-2</v>
      </c>
      <c r="E1597" s="38">
        <f t="shared" si="89"/>
        <v>-1.5680928696127697E-2</v>
      </c>
    </row>
    <row r="1598" spans="1:5">
      <c r="A1598" s="35">
        <v>44686</v>
      </c>
      <c r="B1598" s="37">
        <v>1585.25</v>
      </c>
      <c r="C1598" s="37">
        <v>54835.58</v>
      </c>
      <c r="D1598" s="38">
        <f t="shared" si="88"/>
        <v>-2.6721953072565918E-2</v>
      </c>
      <c r="E1598" s="38">
        <f t="shared" si="89"/>
        <v>-6.6768616735877395E-3</v>
      </c>
    </row>
    <row r="1599" spans="1:5">
      <c r="A1599" s="35">
        <v>44687</v>
      </c>
      <c r="B1599" s="37">
        <v>1543.45</v>
      </c>
      <c r="C1599" s="37">
        <v>54470.67</v>
      </c>
      <c r="D1599" s="38">
        <f t="shared" si="88"/>
        <v>1.7182829256580118E-2</v>
      </c>
      <c r="E1599" s="38">
        <f t="shared" si="89"/>
        <v>-1.9445863509594571E-3</v>
      </c>
    </row>
    <row r="1600" spans="1:5">
      <c r="A1600" s="35">
        <v>44690</v>
      </c>
      <c r="B1600" s="37">
        <v>1570.2</v>
      </c>
      <c r="C1600" s="37">
        <v>54364.85</v>
      </c>
      <c r="D1600" s="38">
        <f t="shared" si="88"/>
        <v>-1.0628181227094814E-2</v>
      </c>
      <c r="E1600" s="38">
        <f t="shared" si="89"/>
        <v>-5.0982450835856874E-3</v>
      </c>
    </row>
    <row r="1601" spans="1:5">
      <c r="A1601" s="35">
        <v>44691</v>
      </c>
      <c r="B1601" s="37">
        <v>1553.6</v>
      </c>
      <c r="C1601" s="37">
        <v>54088.39</v>
      </c>
      <c r="D1601" s="38">
        <f t="shared" si="88"/>
        <v>-1.713882512552253E-2</v>
      </c>
      <c r="E1601" s="38">
        <f t="shared" si="89"/>
        <v>-2.1643417589470547E-2</v>
      </c>
    </row>
    <row r="1602" spans="1:5">
      <c r="A1602" s="35">
        <v>44692</v>
      </c>
      <c r="B1602" s="37">
        <v>1527.2</v>
      </c>
      <c r="C1602" s="37">
        <v>52930.31</v>
      </c>
      <c r="D1602" s="38">
        <f t="shared" si="88"/>
        <v>-1.1823154735002389E-2</v>
      </c>
      <c r="E1602" s="38">
        <f t="shared" si="89"/>
        <v>-2.5857925667875305E-3</v>
      </c>
    </row>
    <row r="1603" spans="1:5">
      <c r="A1603" s="35">
        <v>44693</v>
      </c>
      <c r="B1603" s="37">
        <v>1509.25</v>
      </c>
      <c r="C1603" s="37">
        <v>52793.62</v>
      </c>
      <c r="D1603" s="38">
        <f t="shared" si="88"/>
        <v>-3.9168874348747013E-3</v>
      </c>
      <c r="E1603" s="38">
        <f t="shared" si="89"/>
        <v>3.4078567153864262E-3</v>
      </c>
    </row>
    <row r="1604" spans="1:5">
      <c r="A1604" s="35">
        <v>44694</v>
      </c>
      <c r="B1604" s="37">
        <v>1503.35</v>
      </c>
      <c r="C1604" s="37">
        <v>52973.84</v>
      </c>
      <c r="D1604" s="38">
        <f t="shared" si="88"/>
        <v>-9.4233137328640394E-3</v>
      </c>
      <c r="E1604" s="38">
        <f t="shared" si="89"/>
        <v>2.5066109639218341E-2</v>
      </c>
    </row>
    <row r="1605" spans="1:5">
      <c r="A1605" s="35">
        <v>44697</v>
      </c>
      <c r="B1605" s="37">
        <v>1489.25</v>
      </c>
      <c r="C1605" s="37">
        <v>54318.47</v>
      </c>
      <c r="D1605" s="38">
        <f t="shared" ref="D1605:D1668" si="90">LN(B1606/B1605)</f>
        <v>1.9549144790876223E-2</v>
      </c>
      <c r="E1605" s="38">
        <f t="shared" ref="E1605:E1668" si="91">LN(C1606/C1605)</f>
        <v>-2.0260402960952917E-3</v>
      </c>
    </row>
    <row r="1606" spans="1:5">
      <c r="A1606" s="35">
        <v>44698</v>
      </c>
      <c r="B1606" s="37">
        <v>1518.65</v>
      </c>
      <c r="C1606" s="37">
        <v>54208.53</v>
      </c>
      <c r="D1606" s="38">
        <f t="shared" si="90"/>
        <v>-5.910826725982741E-3</v>
      </c>
      <c r="E1606" s="38">
        <f t="shared" si="91"/>
        <v>-2.6474255344111325E-2</v>
      </c>
    </row>
    <row r="1607" spans="1:5">
      <c r="A1607" s="35">
        <v>44699</v>
      </c>
      <c r="B1607" s="37">
        <v>1509.7</v>
      </c>
      <c r="C1607" s="37">
        <v>52792.23</v>
      </c>
      <c r="D1607" s="38">
        <f t="shared" si="90"/>
        <v>-5.6196472747945467E-2</v>
      </c>
      <c r="E1607" s="38">
        <f t="shared" si="91"/>
        <v>2.8646091769246346E-2</v>
      </c>
    </row>
    <row r="1608" spans="1:5">
      <c r="A1608" s="35">
        <v>44700</v>
      </c>
      <c r="B1608" s="37">
        <v>1427.2</v>
      </c>
      <c r="C1608" s="37">
        <v>54326.39</v>
      </c>
      <c r="D1608" s="38">
        <f t="shared" si="90"/>
        <v>1.9635001359933037E-2</v>
      </c>
      <c r="E1608" s="38">
        <f t="shared" si="91"/>
        <v>-6.9566821384974985E-4</v>
      </c>
    </row>
    <row r="1609" spans="1:5">
      <c r="A1609" s="35">
        <v>44701</v>
      </c>
      <c r="B1609" s="37">
        <v>1455.5</v>
      </c>
      <c r="C1609" s="37">
        <v>54288.61</v>
      </c>
      <c r="D1609" s="38">
        <f t="shared" si="90"/>
        <v>9.0281715741389011E-3</v>
      </c>
      <c r="E1609" s="38">
        <f t="shared" si="91"/>
        <v>-4.3566128067359048E-3</v>
      </c>
    </row>
    <row r="1610" spans="1:5">
      <c r="A1610" s="35">
        <v>44704</v>
      </c>
      <c r="B1610" s="37">
        <v>1468.7</v>
      </c>
      <c r="C1610" s="37">
        <v>54052.61</v>
      </c>
      <c r="D1610" s="38">
        <f t="shared" si="90"/>
        <v>-1.8901555885878513E-2</v>
      </c>
      <c r="E1610" s="38">
        <f t="shared" si="91"/>
        <v>-5.6279320698662885E-3</v>
      </c>
    </row>
    <row r="1611" spans="1:5">
      <c r="A1611" s="35">
        <v>44705</v>
      </c>
      <c r="B1611" s="37">
        <v>1441.2</v>
      </c>
      <c r="C1611" s="37">
        <v>53749.26</v>
      </c>
      <c r="D1611" s="38">
        <f t="shared" si="90"/>
        <v>-2.0858555116351346E-2</v>
      </c>
      <c r="E1611" s="38">
        <f t="shared" si="91"/>
        <v>9.3197278067077872E-3</v>
      </c>
    </row>
    <row r="1612" spans="1:5">
      <c r="A1612" s="35">
        <v>44706</v>
      </c>
      <c r="B1612" s="37">
        <v>1411.45</v>
      </c>
      <c r="C1612" s="37">
        <v>54252.53</v>
      </c>
      <c r="D1612" s="38">
        <f t="shared" si="90"/>
        <v>8.7118089121859844E-3</v>
      </c>
      <c r="E1612" s="38">
        <f t="shared" si="91"/>
        <v>1.1584265071360044E-2</v>
      </c>
    </row>
    <row r="1613" spans="1:5">
      <c r="A1613" s="35">
        <v>44707</v>
      </c>
      <c r="B1613" s="37">
        <v>1423.8</v>
      </c>
      <c r="C1613" s="37">
        <v>54884.66</v>
      </c>
      <c r="D1613" s="38">
        <f t="shared" si="90"/>
        <v>2.5689104405545036E-2</v>
      </c>
      <c r="E1613" s="38">
        <f t="shared" si="91"/>
        <v>1.8790846946595927E-2</v>
      </c>
    </row>
    <row r="1614" spans="1:5">
      <c r="A1614" s="35">
        <v>44708</v>
      </c>
      <c r="B1614" s="37">
        <v>1460.85</v>
      </c>
      <c r="C1614" s="37">
        <v>55925.74</v>
      </c>
      <c r="D1614" s="38">
        <f t="shared" si="90"/>
        <v>4.464668665893487E-2</v>
      </c>
      <c r="E1614" s="38">
        <f t="shared" si="91"/>
        <v>-6.4458572940174919E-3</v>
      </c>
    </row>
    <row r="1615" spans="1:5">
      <c r="A1615" s="35">
        <v>44711</v>
      </c>
      <c r="B1615" s="37">
        <v>1527.55</v>
      </c>
      <c r="C1615" s="37">
        <v>55566.41</v>
      </c>
      <c r="D1615" s="38">
        <f t="shared" si="90"/>
        <v>-1.5570164457935239E-2</v>
      </c>
      <c r="E1615" s="38">
        <f t="shared" si="91"/>
        <v>-3.3392377215737232E-3</v>
      </c>
    </row>
    <row r="1616" spans="1:5">
      <c r="A1616" s="35">
        <v>44712</v>
      </c>
      <c r="B1616" s="37">
        <v>1503.95</v>
      </c>
      <c r="C1616" s="37">
        <v>55381.17</v>
      </c>
      <c r="D1616" s="38">
        <f t="shared" si="90"/>
        <v>-1.6796412103594043E-2</v>
      </c>
      <c r="E1616" s="38">
        <f t="shared" si="91"/>
        <v>7.8587244227807888E-3</v>
      </c>
    </row>
    <row r="1617" spans="1:5">
      <c r="A1617" s="35">
        <v>44713</v>
      </c>
      <c r="B1617" s="37">
        <v>1478.9</v>
      </c>
      <c r="C1617" s="37">
        <v>55818.11</v>
      </c>
      <c r="D1617" s="38">
        <f t="shared" si="90"/>
        <v>1.9419386199026594E-2</v>
      </c>
      <c r="E1617" s="38">
        <f t="shared" si="91"/>
        <v>-8.760851029585529E-4</v>
      </c>
    </row>
    <row r="1618" spans="1:5">
      <c r="A1618" s="35">
        <v>44714</v>
      </c>
      <c r="B1618" s="37">
        <v>1507.9</v>
      </c>
      <c r="C1618" s="37">
        <v>55769.23</v>
      </c>
      <c r="D1618" s="38">
        <f t="shared" si="90"/>
        <v>9.3073050498810976E-3</v>
      </c>
      <c r="E1618" s="38">
        <f t="shared" si="91"/>
        <v>-1.6853228305523723E-3</v>
      </c>
    </row>
    <row r="1619" spans="1:5">
      <c r="A1619" s="35">
        <v>44715</v>
      </c>
      <c r="B1619" s="37">
        <v>1522</v>
      </c>
      <c r="C1619" s="37">
        <v>55675.32</v>
      </c>
      <c r="D1619" s="38">
        <f t="shared" si="90"/>
        <v>5.4712079736241592E-3</v>
      </c>
      <c r="E1619" s="38">
        <f t="shared" si="91"/>
        <v>-1.0254041141391607E-2</v>
      </c>
    </row>
    <row r="1620" spans="1:5">
      <c r="A1620" s="35">
        <v>44718</v>
      </c>
      <c r="B1620" s="37">
        <v>1530.35</v>
      </c>
      <c r="C1620" s="37">
        <v>55107.34</v>
      </c>
      <c r="D1620" s="38">
        <f t="shared" si="90"/>
        <v>-1.5209669025740271E-2</v>
      </c>
      <c r="E1620" s="38">
        <f t="shared" si="91"/>
        <v>-3.9063746410020464E-3</v>
      </c>
    </row>
    <row r="1621" spans="1:5">
      <c r="A1621" s="35">
        <v>44719</v>
      </c>
      <c r="B1621" s="37">
        <v>1507.25</v>
      </c>
      <c r="C1621" s="37">
        <v>54892.49</v>
      </c>
      <c r="D1621" s="38">
        <f t="shared" si="90"/>
        <v>-4.8550241681146892E-3</v>
      </c>
      <c r="E1621" s="38">
        <f t="shared" si="91"/>
        <v>7.7630232572527243E-3</v>
      </c>
    </row>
    <row r="1622" spans="1:5">
      <c r="A1622" s="35">
        <v>44720</v>
      </c>
      <c r="B1622" s="37">
        <v>1499.95</v>
      </c>
      <c r="C1622" s="37">
        <v>55320.28</v>
      </c>
      <c r="D1622" s="38">
        <f t="shared" si="90"/>
        <v>9.7196034783219813E-3</v>
      </c>
      <c r="E1622" s="38">
        <f t="shared" si="91"/>
        <v>-1.8551991561549186E-2</v>
      </c>
    </row>
    <row r="1623" spans="1:5">
      <c r="A1623" s="35">
        <v>44721</v>
      </c>
      <c r="B1623" s="37">
        <v>1514.6</v>
      </c>
      <c r="C1623" s="37">
        <v>54303.44</v>
      </c>
      <c r="D1623" s="38">
        <f t="shared" si="90"/>
        <v>-2.5036822094364797E-2</v>
      </c>
      <c r="E1623" s="38">
        <f t="shared" si="91"/>
        <v>-2.7192307186445636E-2</v>
      </c>
    </row>
    <row r="1624" spans="1:5">
      <c r="A1624" s="35">
        <v>44722</v>
      </c>
      <c r="B1624" s="37">
        <v>1477.15</v>
      </c>
      <c r="C1624" s="37">
        <v>52846.7</v>
      </c>
      <c r="D1624" s="38">
        <f t="shared" si="90"/>
        <v>-3.6504303037333E-2</v>
      </c>
      <c r="E1624" s="38">
        <f t="shared" si="91"/>
        <v>-2.9018327782235967E-3</v>
      </c>
    </row>
    <row r="1625" spans="1:5">
      <c r="A1625" s="35">
        <v>44725</v>
      </c>
      <c r="B1625" s="37">
        <v>1424.2</v>
      </c>
      <c r="C1625" s="37">
        <v>52693.57</v>
      </c>
      <c r="D1625" s="38">
        <f t="shared" si="90"/>
        <v>1.120645706446809E-2</v>
      </c>
      <c r="E1625" s="38">
        <f t="shared" si="91"/>
        <v>-2.8921967771854602E-3</v>
      </c>
    </row>
    <row r="1626" spans="1:5">
      <c r="A1626" s="35">
        <v>44726</v>
      </c>
      <c r="B1626" s="37">
        <v>1440.25</v>
      </c>
      <c r="C1626" s="37">
        <v>52541.39</v>
      </c>
      <c r="D1626" s="38">
        <f t="shared" si="90"/>
        <v>-1.299854075296699E-2</v>
      </c>
      <c r="E1626" s="38">
        <f t="shared" si="91"/>
        <v>-2.010118318557735E-2</v>
      </c>
    </row>
    <row r="1627" spans="1:5">
      <c r="A1627" s="35">
        <v>44727</v>
      </c>
      <c r="B1627" s="37">
        <v>1421.65</v>
      </c>
      <c r="C1627" s="37">
        <v>51495.79</v>
      </c>
      <c r="D1627" s="38">
        <f t="shared" si="90"/>
        <v>-1.7383721424606809E-2</v>
      </c>
      <c r="E1627" s="38">
        <f t="shared" si="91"/>
        <v>-2.6322198369969673E-3</v>
      </c>
    </row>
    <row r="1628" spans="1:5">
      <c r="A1628" s="35">
        <v>44728</v>
      </c>
      <c r="B1628" s="37">
        <v>1397.15</v>
      </c>
      <c r="C1628" s="37">
        <v>51360.42</v>
      </c>
      <c r="D1628" s="38">
        <f t="shared" si="90"/>
        <v>-6.8227785494814454E-3</v>
      </c>
      <c r="E1628" s="38">
        <f t="shared" si="91"/>
        <v>4.6119742278640675E-3</v>
      </c>
    </row>
    <row r="1629" spans="1:5">
      <c r="A1629" s="35">
        <v>44729</v>
      </c>
      <c r="B1629" s="37">
        <v>1387.65</v>
      </c>
      <c r="C1629" s="37">
        <v>51597.84</v>
      </c>
      <c r="D1629" s="38">
        <f t="shared" si="90"/>
        <v>1.9341168137195934E-2</v>
      </c>
      <c r="E1629" s="38">
        <f t="shared" si="91"/>
        <v>1.7944029096928767E-2</v>
      </c>
    </row>
    <row r="1630" spans="1:5">
      <c r="A1630" s="35">
        <v>44732</v>
      </c>
      <c r="B1630" s="37">
        <v>1414.75</v>
      </c>
      <c r="C1630" s="37">
        <v>52532.07</v>
      </c>
      <c r="D1630" s="38">
        <f t="shared" si="90"/>
        <v>2.4610719391986891E-2</v>
      </c>
      <c r="E1630" s="38">
        <f t="shared" si="91"/>
        <v>-1.3598843452667111E-2</v>
      </c>
    </row>
    <row r="1631" spans="1:5">
      <c r="A1631" s="35">
        <v>44733</v>
      </c>
      <c r="B1631" s="37">
        <v>1450</v>
      </c>
      <c r="C1631" s="37">
        <v>51822.53</v>
      </c>
      <c r="D1631" s="38">
        <f t="shared" si="90"/>
        <v>-8.7624160138147656E-3</v>
      </c>
      <c r="E1631" s="38">
        <f t="shared" si="91"/>
        <v>8.515710048782656E-3</v>
      </c>
    </row>
    <row r="1632" spans="1:5">
      <c r="A1632" s="35">
        <v>44734</v>
      </c>
      <c r="B1632" s="37">
        <v>1437.35</v>
      </c>
      <c r="C1632" s="37">
        <v>52265.72</v>
      </c>
      <c r="D1632" s="38">
        <f t="shared" si="90"/>
        <v>1.0966880946241599E-2</v>
      </c>
      <c r="E1632" s="38">
        <f t="shared" si="91"/>
        <v>8.8055376059626139E-3</v>
      </c>
    </row>
    <row r="1633" spans="1:5">
      <c r="A1633" s="35">
        <v>44735</v>
      </c>
      <c r="B1633" s="37">
        <v>1453.2</v>
      </c>
      <c r="C1633" s="37">
        <v>52727.98</v>
      </c>
      <c r="D1633" s="38">
        <f t="shared" si="90"/>
        <v>-7.7023090394836881E-3</v>
      </c>
      <c r="E1633" s="38">
        <f t="shared" si="91"/>
        <v>8.1840673642607394E-3</v>
      </c>
    </row>
    <row r="1634" spans="1:5">
      <c r="A1634" s="35">
        <v>44736</v>
      </c>
      <c r="B1634" s="37">
        <v>1442.05</v>
      </c>
      <c r="C1634" s="37">
        <v>53161.279999999999</v>
      </c>
      <c r="D1634" s="38">
        <f t="shared" si="90"/>
        <v>2.2287146172775558E-2</v>
      </c>
      <c r="E1634" s="38">
        <f t="shared" si="91"/>
        <v>3.0412249844677803E-4</v>
      </c>
    </row>
    <row r="1635" spans="1:5">
      <c r="A1635" s="35">
        <v>44739</v>
      </c>
      <c r="B1635" s="37">
        <v>1474.55</v>
      </c>
      <c r="C1635" s="37">
        <v>53177.45</v>
      </c>
      <c r="D1635" s="38">
        <f t="shared" si="90"/>
        <v>3.8581339315467943E-3</v>
      </c>
      <c r="E1635" s="38">
        <f t="shared" si="91"/>
        <v>-2.8337822606671194E-3</v>
      </c>
    </row>
    <row r="1636" spans="1:5">
      <c r="A1636" s="35">
        <v>44740</v>
      </c>
      <c r="B1636" s="37">
        <v>1480.25</v>
      </c>
      <c r="C1636" s="37">
        <v>53026.97</v>
      </c>
      <c r="D1636" s="38">
        <f t="shared" si="90"/>
        <v>-1.1243515921984307E-2</v>
      </c>
      <c r="E1636" s="38">
        <f t="shared" si="91"/>
        <v>-1.5144384192365874E-4</v>
      </c>
    </row>
    <row r="1637" spans="1:5">
      <c r="A1637" s="35">
        <v>44741</v>
      </c>
      <c r="B1637" s="37">
        <v>1463.7</v>
      </c>
      <c r="C1637" s="37">
        <v>53018.94</v>
      </c>
      <c r="D1637" s="38">
        <f t="shared" si="90"/>
        <v>-1.7094605687737138E-3</v>
      </c>
      <c r="E1637" s="38">
        <f t="shared" si="91"/>
        <v>-2.0959750937593878E-3</v>
      </c>
    </row>
    <row r="1638" spans="1:5">
      <c r="A1638" s="35">
        <v>44742</v>
      </c>
      <c r="B1638" s="37">
        <v>1461.2</v>
      </c>
      <c r="C1638" s="37">
        <v>52907.93</v>
      </c>
      <c r="D1638" s="38">
        <f t="shared" si="90"/>
        <v>1.1465635514138402E-2</v>
      </c>
      <c r="E1638" s="38">
        <f t="shared" si="91"/>
        <v>6.1585211797859241E-3</v>
      </c>
    </row>
    <row r="1639" spans="1:5">
      <c r="A1639" s="35">
        <v>44743</v>
      </c>
      <c r="B1639" s="37">
        <v>1478.05</v>
      </c>
      <c r="C1639" s="37">
        <v>53234.77</v>
      </c>
      <c r="D1639" s="38">
        <f t="shared" si="90"/>
        <v>6.5412600896954873E-3</v>
      </c>
      <c r="E1639" s="38">
        <f t="shared" si="91"/>
        <v>-1.8881425329793815E-3</v>
      </c>
    </row>
    <row r="1640" spans="1:5">
      <c r="A1640" s="35">
        <v>44746</v>
      </c>
      <c r="B1640" s="37">
        <v>1487.75</v>
      </c>
      <c r="C1640" s="37">
        <v>53134.35</v>
      </c>
      <c r="D1640" s="38">
        <f t="shared" si="90"/>
        <v>-7.6920861035214248E-3</v>
      </c>
      <c r="E1640" s="38">
        <f t="shared" si="91"/>
        <v>1.1538101598165861E-2</v>
      </c>
    </row>
    <row r="1641" spans="1:5">
      <c r="A1641" s="35">
        <v>44747</v>
      </c>
      <c r="B1641" s="37">
        <v>1476.35</v>
      </c>
      <c r="C1641" s="37">
        <v>53750.97</v>
      </c>
      <c r="D1641" s="38">
        <f t="shared" si="90"/>
        <v>1.0511163716381153E-2</v>
      </c>
      <c r="E1641" s="38">
        <f t="shared" si="91"/>
        <v>7.9216991238123917E-3</v>
      </c>
    </row>
    <row r="1642" spans="1:5">
      <c r="A1642" s="35">
        <v>44748</v>
      </c>
      <c r="B1642" s="37">
        <v>1491.95</v>
      </c>
      <c r="C1642" s="37">
        <v>54178.46</v>
      </c>
      <c r="D1642" s="38">
        <f t="shared" si="90"/>
        <v>4.5474382039026829E-3</v>
      </c>
      <c r="E1642" s="38">
        <f t="shared" si="91"/>
        <v>5.5840226525243741E-3</v>
      </c>
    </row>
    <row r="1643" spans="1:5">
      <c r="A1643" s="35">
        <v>44749</v>
      </c>
      <c r="B1643" s="37">
        <v>1498.75</v>
      </c>
      <c r="C1643" s="37">
        <v>54481.84</v>
      </c>
      <c r="D1643" s="38">
        <f t="shared" si="90"/>
        <v>1.0123727655670002E-2</v>
      </c>
      <c r="E1643" s="38">
        <f t="shared" si="91"/>
        <v>-1.5909689389841108E-3</v>
      </c>
    </row>
    <row r="1644" spans="1:5">
      <c r="A1644" s="35">
        <v>44750</v>
      </c>
      <c r="B1644" s="37">
        <v>1514</v>
      </c>
      <c r="C1644" s="37">
        <v>54395.23</v>
      </c>
      <c r="D1644" s="38">
        <f t="shared" si="90"/>
        <v>-2.7589804078525983E-2</v>
      </c>
      <c r="E1644" s="38">
        <f t="shared" si="91"/>
        <v>-9.3944421466369485E-3</v>
      </c>
    </row>
    <row r="1645" spans="1:5">
      <c r="A1645" s="35">
        <v>44753</v>
      </c>
      <c r="B1645" s="37">
        <v>1472.8</v>
      </c>
      <c r="C1645" s="37">
        <v>53886.61</v>
      </c>
      <c r="D1645" s="38">
        <f t="shared" si="90"/>
        <v>-2.356444692726543E-2</v>
      </c>
      <c r="E1645" s="38">
        <f t="shared" si="91"/>
        <v>-6.9359191342613204E-3</v>
      </c>
    </row>
    <row r="1646" spans="1:5">
      <c r="A1646" s="35">
        <v>44754</v>
      </c>
      <c r="B1646" s="37">
        <v>1438.5</v>
      </c>
      <c r="C1646" s="37">
        <v>53514.15</v>
      </c>
      <c r="D1646" s="38">
        <f t="shared" si="90"/>
        <v>4.4738148801397471E-3</v>
      </c>
      <c r="E1646" s="38">
        <f t="shared" si="91"/>
        <v>-1.8329702140216432E-3</v>
      </c>
    </row>
    <row r="1647" spans="1:5">
      <c r="A1647" s="35">
        <v>44755</v>
      </c>
      <c r="B1647" s="37">
        <v>1444.95</v>
      </c>
      <c r="C1647" s="37">
        <v>53416.15</v>
      </c>
      <c r="D1647" s="38">
        <f t="shared" si="90"/>
        <v>-1.1029843383993336E-2</v>
      </c>
      <c r="E1647" s="38">
        <f t="shared" si="91"/>
        <v>6.4310703392155581E-3</v>
      </c>
    </row>
    <row r="1648" spans="1:5">
      <c r="A1648" s="35">
        <v>44756</v>
      </c>
      <c r="B1648" s="37">
        <v>1429.1</v>
      </c>
      <c r="C1648" s="37">
        <v>53760.78</v>
      </c>
      <c r="D1648" s="38">
        <f t="shared" si="90"/>
        <v>9.7915800241594564E-4</v>
      </c>
      <c r="E1648" s="38">
        <f t="shared" si="91"/>
        <v>1.4044494744477897E-2</v>
      </c>
    </row>
    <row r="1649" spans="1:5">
      <c r="A1649" s="35">
        <v>44757</v>
      </c>
      <c r="B1649" s="37">
        <v>1430.5</v>
      </c>
      <c r="C1649" s="37">
        <v>54521.15</v>
      </c>
      <c r="D1649" s="38">
        <f t="shared" si="90"/>
        <v>4.0785642933294584E-2</v>
      </c>
      <c r="E1649" s="38">
        <f t="shared" si="91"/>
        <v>4.5104436229039795E-3</v>
      </c>
    </row>
    <row r="1650" spans="1:5">
      <c r="A1650" s="35">
        <v>44760</v>
      </c>
      <c r="B1650" s="37">
        <v>1490.05</v>
      </c>
      <c r="C1650" s="37">
        <v>54767.62</v>
      </c>
      <c r="D1650" s="38">
        <f t="shared" si="90"/>
        <v>-3.4622465214436803E-3</v>
      </c>
      <c r="E1650" s="38">
        <f t="shared" si="91"/>
        <v>1.1435864516165881E-2</v>
      </c>
    </row>
    <row r="1651" spans="1:5">
      <c r="A1651" s="35">
        <v>44761</v>
      </c>
      <c r="B1651" s="37">
        <v>1484.9</v>
      </c>
      <c r="C1651" s="37">
        <v>55397.53</v>
      </c>
      <c r="D1651" s="38">
        <f t="shared" si="90"/>
        <v>2.0035005196502819E-2</v>
      </c>
      <c r="E1651" s="38">
        <f t="shared" si="91"/>
        <v>5.1210290428885946E-3</v>
      </c>
    </row>
    <row r="1652" spans="1:5">
      <c r="A1652" s="35">
        <v>44762</v>
      </c>
      <c r="B1652" s="37">
        <v>1514.95</v>
      </c>
      <c r="C1652" s="37">
        <v>55681.95</v>
      </c>
      <c r="D1652" s="38">
        <f t="shared" si="90"/>
        <v>1.1746312627809069E-2</v>
      </c>
      <c r="E1652" s="38">
        <f t="shared" si="91"/>
        <v>6.9846440939884203E-3</v>
      </c>
    </row>
    <row r="1653" spans="1:5">
      <c r="A1653" s="35">
        <v>44763</v>
      </c>
      <c r="B1653" s="37">
        <v>1532.85</v>
      </c>
      <c r="C1653" s="37">
        <v>56072.23</v>
      </c>
      <c r="D1653" s="38">
        <f t="shared" si="90"/>
        <v>-1.7472435017558189E-2</v>
      </c>
      <c r="E1653" s="38">
        <f t="shared" si="91"/>
        <v>-5.4723713297028052E-3</v>
      </c>
    </row>
    <row r="1654" spans="1:5">
      <c r="A1654" s="35">
        <v>44764</v>
      </c>
      <c r="B1654" s="37">
        <v>1506.3</v>
      </c>
      <c r="C1654" s="37">
        <v>55766.22</v>
      </c>
      <c r="D1654" s="38">
        <f t="shared" si="90"/>
        <v>-2.2930073353878539E-3</v>
      </c>
      <c r="E1654" s="38">
        <f t="shared" si="91"/>
        <v>-8.9653646839666801E-3</v>
      </c>
    </row>
    <row r="1655" spans="1:5">
      <c r="A1655" s="35">
        <v>44767</v>
      </c>
      <c r="B1655" s="37">
        <v>1502.85</v>
      </c>
      <c r="C1655" s="37">
        <v>55268.49</v>
      </c>
      <c r="D1655" s="38">
        <f t="shared" si="90"/>
        <v>-3.4559139522641356E-2</v>
      </c>
      <c r="E1655" s="38">
        <f t="shared" si="91"/>
        <v>9.8633546986528504E-3</v>
      </c>
    </row>
    <row r="1656" spans="1:5">
      <c r="A1656" s="35">
        <v>44768</v>
      </c>
      <c r="B1656" s="37">
        <v>1451.8</v>
      </c>
      <c r="C1656" s="37">
        <v>55816.32</v>
      </c>
      <c r="D1656" s="38">
        <f t="shared" si="90"/>
        <v>1.3274228439371219E-2</v>
      </c>
      <c r="E1656" s="38">
        <f t="shared" si="91"/>
        <v>1.8486938330278646E-2</v>
      </c>
    </row>
    <row r="1657" spans="1:5">
      <c r="A1657" s="35">
        <v>44769</v>
      </c>
      <c r="B1657" s="37">
        <v>1471.2</v>
      </c>
      <c r="C1657" s="37">
        <v>56857.79</v>
      </c>
      <c r="D1657" s="38">
        <f t="shared" si="90"/>
        <v>3.0952900171554391E-2</v>
      </c>
      <c r="E1657" s="38">
        <f t="shared" si="91"/>
        <v>1.2452703143907838E-2</v>
      </c>
    </row>
    <row r="1658" spans="1:5">
      <c r="A1658" s="35">
        <v>44770</v>
      </c>
      <c r="B1658" s="37">
        <v>1517.45</v>
      </c>
      <c r="C1658" s="37">
        <v>57570.25</v>
      </c>
      <c r="D1658" s="38">
        <f t="shared" si="90"/>
        <v>2.0965538631120419E-2</v>
      </c>
      <c r="E1658" s="38">
        <f t="shared" si="91"/>
        <v>9.4264684715859356E-3</v>
      </c>
    </row>
    <row r="1659" spans="1:5">
      <c r="A1659" s="35">
        <v>44771</v>
      </c>
      <c r="B1659" s="37">
        <v>1549.6</v>
      </c>
      <c r="C1659" s="37">
        <v>58115.5</v>
      </c>
      <c r="D1659" s="38">
        <f t="shared" si="90"/>
        <v>6.4511969207256689E-4</v>
      </c>
      <c r="E1659" s="38">
        <f t="shared" si="91"/>
        <v>3.5887598226622483E-4</v>
      </c>
    </row>
    <row r="1660" spans="1:5">
      <c r="A1660" s="35">
        <v>44774</v>
      </c>
      <c r="B1660" s="37">
        <v>1550.6</v>
      </c>
      <c r="C1660" s="37">
        <v>58136.36</v>
      </c>
      <c r="D1660" s="38">
        <f t="shared" si="90"/>
        <v>-4.9781903358783412E-3</v>
      </c>
      <c r="E1660" s="38">
        <f t="shared" si="91"/>
        <v>3.6771561387639101E-3</v>
      </c>
    </row>
    <row r="1661" spans="1:5">
      <c r="A1661" s="35">
        <v>44775</v>
      </c>
      <c r="B1661" s="37">
        <v>1542.9</v>
      </c>
      <c r="C1661" s="37">
        <v>58350.53</v>
      </c>
      <c r="D1661" s="38">
        <f t="shared" si="90"/>
        <v>1.431790357764462E-2</v>
      </c>
      <c r="E1661" s="38">
        <f t="shared" si="91"/>
        <v>-8.8693185620705413E-4</v>
      </c>
    </row>
    <row r="1662" spans="1:5">
      <c r="A1662" s="35">
        <v>44776</v>
      </c>
      <c r="B1662" s="37">
        <v>1565.15</v>
      </c>
      <c r="C1662" s="37">
        <v>58298.8</v>
      </c>
      <c r="D1662" s="38">
        <f t="shared" si="90"/>
        <v>2.1803189271976848E-2</v>
      </c>
      <c r="E1662" s="38">
        <f t="shared" si="91"/>
        <v>1.5276804369159518E-3</v>
      </c>
    </row>
    <row r="1663" spans="1:5">
      <c r="A1663" s="35">
        <v>44777</v>
      </c>
      <c r="B1663" s="37">
        <v>1599.65</v>
      </c>
      <c r="C1663" s="37">
        <v>58387.93</v>
      </c>
      <c r="D1663" s="38">
        <f t="shared" si="90"/>
        <v>1.0509393412348774E-2</v>
      </c>
      <c r="E1663" s="38">
        <f t="shared" si="91"/>
        <v>7.9348084795921626E-3</v>
      </c>
    </row>
    <row r="1664" spans="1:5">
      <c r="A1664" s="35">
        <v>44778</v>
      </c>
      <c r="B1664" s="37">
        <v>1616.55</v>
      </c>
      <c r="C1664" s="37">
        <v>58853.07</v>
      </c>
      <c r="D1664" s="38">
        <f t="shared" si="90"/>
        <v>1.5761905817563821E-3</v>
      </c>
      <c r="E1664" s="38">
        <f t="shared" si="91"/>
        <v>-6.081395706228252E-4</v>
      </c>
    </row>
    <row r="1665" spans="1:5">
      <c r="A1665" s="35">
        <v>44781</v>
      </c>
      <c r="B1665" s="37">
        <v>1619.1</v>
      </c>
      <c r="C1665" s="37">
        <v>58817.29</v>
      </c>
      <c r="D1665" s="38">
        <f t="shared" si="90"/>
        <v>-1.0992192654173196E-2</v>
      </c>
      <c r="E1665" s="38">
        <f t="shared" si="91"/>
        <v>8.7230426969330428E-3</v>
      </c>
    </row>
    <row r="1666" spans="1:5">
      <c r="A1666" s="35">
        <v>44783</v>
      </c>
      <c r="B1666" s="37">
        <v>1601.4</v>
      </c>
      <c r="C1666" s="37">
        <v>59332.6</v>
      </c>
      <c r="D1666" s="38">
        <f t="shared" si="90"/>
        <v>1.1362700253817562E-2</v>
      </c>
      <c r="E1666" s="38">
        <f t="shared" si="91"/>
        <v>2.1916686003950426E-3</v>
      </c>
    </row>
    <row r="1667" spans="1:5">
      <c r="A1667" s="35">
        <v>44784</v>
      </c>
      <c r="B1667" s="37">
        <v>1619.7</v>
      </c>
      <c r="C1667" s="37">
        <v>59462.78</v>
      </c>
      <c r="D1667" s="38">
        <f t="shared" si="90"/>
        <v>-1.5680739442238703E-2</v>
      </c>
      <c r="E1667" s="38">
        <f t="shared" si="91"/>
        <v>6.360694205011945E-3</v>
      </c>
    </row>
    <row r="1668" spans="1:5">
      <c r="A1668" s="35">
        <v>44785</v>
      </c>
      <c r="B1668" s="37">
        <v>1594.5</v>
      </c>
      <c r="C1668" s="37">
        <v>59842.21</v>
      </c>
      <c r="D1668" s="38">
        <f t="shared" si="90"/>
        <v>8.1497042406817807E-4</v>
      </c>
      <c r="E1668" s="38">
        <f t="shared" si="91"/>
        <v>6.9594262156747605E-3</v>
      </c>
    </row>
    <row r="1669" spans="1:5">
      <c r="A1669" s="35">
        <v>44789</v>
      </c>
      <c r="B1669" s="37">
        <v>1595.8</v>
      </c>
      <c r="C1669" s="37">
        <v>60260.13</v>
      </c>
      <c r="D1669" s="38">
        <f t="shared" ref="D1669:D1732" si="92">LN(B1670/B1669)</f>
        <v>6.8383273772151133E-3</v>
      </c>
      <c r="E1669" s="38">
        <f t="shared" ref="E1669:E1732" si="93">LN(C1670/C1669)</f>
        <v>6.2824466911668613E-4</v>
      </c>
    </row>
    <row r="1670" spans="1:5">
      <c r="A1670" s="35">
        <v>44790</v>
      </c>
      <c r="B1670" s="37">
        <v>1606.75</v>
      </c>
      <c r="C1670" s="37">
        <v>60298</v>
      </c>
      <c r="D1670" s="38">
        <f t="shared" si="92"/>
        <v>-1.5081255912158089E-2</v>
      </c>
      <c r="E1670" s="38">
        <f t="shared" si="93"/>
        <v>-1.0869332394789702E-2</v>
      </c>
    </row>
    <row r="1671" spans="1:5">
      <c r="A1671" s="35">
        <v>44791</v>
      </c>
      <c r="B1671" s="37">
        <v>1582.7</v>
      </c>
      <c r="C1671" s="37">
        <v>59646.15</v>
      </c>
      <c r="D1671" s="38">
        <f t="shared" si="92"/>
        <v>9.2450581440512089E-3</v>
      </c>
      <c r="E1671" s="38">
        <f t="shared" si="93"/>
        <v>-1.4732234912463969E-2</v>
      </c>
    </row>
    <row r="1672" spans="1:5">
      <c r="A1672" s="35">
        <v>44792</v>
      </c>
      <c r="B1672" s="37">
        <v>1597.4</v>
      </c>
      <c r="C1672" s="37">
        <v>58773.87</v>
      </c>
      <c r="D1672" s="38">
        <f t="shared" si="92"/>
        <v>-1.3836361746394526E-2</v>
      </c>
      <c r="E1672" s="38">
        <f t="shared" si="93"/>
        <v>4.3704433304453671E-3</v>
      </c>
    </row>
    <row r="1673" spans="1:5">
      <c r="A1673" s="35">
        <v>44795</v>
      </c>
      <c r="B1673" s="37">
        <v>1575.45</v>
      </c>
      <c r="C1673" s="37">
        <v>59031.3</v>
      </c>
      <c r="D1673" s="38">
        <f t="shared" si="92"/>
        <v>-2.1104054571844132E-2</v>
      </c>
      <c r="E1673" s="38">
        <f t="shared" si="93"/>
        <v>9.1655100491518787E-4</v>
      </c>
    </row>
    <row r="1674" spans="1:5">
      <c r="A1674" s="35">
        <v>44796</v>
      </c>
      <c r="B1674" s="37">
        <v>1542.55</v>
      </c>
      <c r="C1674" s="37">
        <v>59085.43</v>
      </c>
      <c r="D1674" s="38">
        <f t="shared" si="92"/>
        <v>-3.4092602464962604E-3</v>
      </c>
      <c r="E1674" s="38">
        <f t="shared" si="93"/>
        <v>-5.2725322307956742E-3</v>
      </c>
    </row>
    <row r="1675" spans="1:5">
      <c r="A1675" s="35">
        <v>44797</v>
      </c>
      <c r="B1675" s="37">
        <v>1537.3</v>
      </c>
      <c r="C1675" s="37">
        <v>58774.720000000001</v>
      </c>
      <c r="D1675" s="38">
        <f t="shared" si="92"/>
        <v>-1.2074161375892043E-2</v>
      </c>
      <c r="E1675" s="38">
        <f t="shared" si="93"/>
        <v>1.0058789921261755E-3</v>
      </c>
    </row>
    <row r="1676" spans="1:5">
      <c r="A1676" s="35">
        <v>44798</v>
      </c>
      <c r="B1676" s="37">
        <v>1518.85</v>
      </c>
      <c r="C1676" s="37">
        <v>58833.87</v>
      </c>
      <c r="D1676" s="38">
        <f t="shared" si="92"/>
        <v>1.9732304886437312E-3</v>
      </c>
      <c r="E1676" s="38">
        <f t="shared" si="93"/>
        <v>-1.4746879355400555E-2</v>
      </c>
    </row>
    <row r="1677" spans="1:5">
      <c r="A1677" s="35">
        <v>44799</v>
      </c>
      <c r="B1677" s="37">
        <v>1521.85</v>
      </c>
      <c r="C1677" s="37">
        <v>57972.62</v>
      </c>
      <c r="D1677" s="38">
        <f t="shared" si="92"/>
        <v>-4.0121338721581544E-2</v>
      </c>
      <c r="E1677" s="38">
        <f t="shared" si="93"/>
        <v>2.6628313640766593E-2</v>
      </c>
    </row>
    <row r="1678" spans="1:5">
      <c r="A1678" s="35">
        <v>44802</v>
      </c>
      <c r="B1678" s="37">
        <v>1462</v>
      </c>
      <c r="C1678" s="37">
        <v>59537.07</v>
      </c>
      <c r="D1678" s="38">
        <f t="shared" si="92"/>
        <v>2.1116106730704989E-2</v>
      </c>
      <c r="E1678" s="38">
        <f t="shared" si="93"/>
        <v>-1.3025647621612986E-2</v>
      </c>
    </row>
    <row r="1679" spans="1:5">
      <c r="A1679" s="35">
        <v>44803</v>
      </c>
      <c r="B1679" s="37">
        <v>1493.2</v>
      </c>
      <c r="C1679" s="37">
        <v>58766.59</v>
      </c>
      <c r="D1679" s="38">
        <f t="shared" si="92"/>
        <v>-1.9475865794347614E-2</v>
      </c>
      <c r="E1679" s="38">
        <f t="shared" si="93"/>
        <v>6.2498981365187803E-4</v>
      </c>
    </row>
    <row r="1680" spans="1:5">
      <c r="A1680" s="35">
        <v>44805</v>
      </c>
      <c r="B1680" s="37">
        <v>1464.4</v>
      </c>
      <c r="C1680" s="37">
        <v>58803.33</v>
      </c>
      <c r="D1680" s="38">
        <f t="shared" si="92"/>
        <v>-7.884043168787977E-3</v>
      </c>
      <c r="E1680" s="38">
        <f t="shared" si="93"/>
        <v>7.4994436581140274E-3</v>
      </c>
    </row>
    <row r="1681" spans="1:5">
      <c r="A1681" s="35">
        <v>44806</v>
      </c>
      <c r="B1681" s="37">
        <v>1452.9</v>
      </c>
      <c r="C1681" s="37">
        <v>59245.98</v>
      </c>
      <c r="D1681" s="38">
        <f t="shared" si="92"/>
        <v>5.4568989980245978E-3</v>
      </c>
      <c r="E1681" s="38">
        <f t="shared" si="93"/>
        <v>-8.2723360945310682E-4</v>
      </c>
    </row>
    <row r="1682" spans="1:5">
      <c r="A1682" s="35">
        <v>44809</v>
      </c>
      <c r="B1682" s="37">
        <v>1460.85</v>
      </c>
      <c r="C1682" s="37">
        <v>59196.99</v>
      </c>
      <c r="D1682" s="38">
        <f t="shared" si="92"/>
        <v>-3.7720365690173461E-3</v>
      </c>
      <c r="E1682" s="38">
        <f t="shared" si="93"/>
        <v>-2.8433721078137569E-3</v>
      </c>
    </row>
    <row r="1683" spans="1:5">
      <c r="A1683" s="35">
        <v>44810</v>
      </c>
      <c r="B1683" s="37">
        <v>1455.35</v>
      </c>
      <c r="C1683" s="37">
        <v>59028.91</v>
      </c>
      <c r="D1683" s="38">
        <f t="shared" si="92"/>
        <v>1.6820284418120409E-3</v>
      </c>
      <c r="E1683" s="38">
        <f t="shared" si="93"/>
        <v>1.1107357100497371E-2</v>
      </c>
    </row>
    <row r="1684" spans="1:5">
      <c r="A1684" s="35">
        <v>44811</v>
      </c>
      <c r="B1684" s="37">
        <v>1457.8</v>
      </c>
      <c r="C1684" s="37">
        <v>59688.22</v>
      </c>
      <c r="D1684" s="38">
        <f t="shared" si="92"/>
        <v>1.23734002997697E-2</v>
      </c>
      <c r="E1684" s="38">
        <f t="shared" si="93"/>
        <v>1.7562576617521954E-3</v>
      </c>
    </row>
    <row r="1685" spans="1:5">
      <c r="A1685" s="35">
        <v>44812</v>
      </c>
      <c r="B1685" s="37">
        <v>1475.95</v>
      </c>
      <c r="C1685" s="37">
        <v>59793.14</v>
      </c>
      <c r="D1685" s="38">
        <f t="shared" si="92"/>
        <v>2.4032216221114407E-2</v>
      </c>
      <c r="E1685" s="38">
        <f t="shared" si="93"/>
        <v>5.3706182891961477E-3</v>
      </c>
    </row>
    <row r="1686" spans="1:5">
      <c r="A1686" s="35">
        <v>44813</v>
      </c>
      <c r="B1686" s="37">
        <v>1511.85</v>
      </c>
      <c r="C1686" s="37">
        <v>60115.13</v>
      </c>
      <c r="D1686" s="38">
        <f t="shared" si="92"/>
        <v>1.55871176576461E-2</v>
      </c>
      <c r="E1686" s="38">
        <f t="shared" si="93"/>
        <v>7.5559944967375286E-3</v>
      </c>
    </row>
    <row r="1687" spans="1:5">
      <c r="A1687" s="35">
        <v>44816</v>
      </c>
      <c r="B1687" s="37">
        <v>1535.6</v>
      </c>
      <c r="C1687" s="37">
        <v>60571.08</v>
      </c>
      <c r="D1687" s="38">
        <f t="shared" si="92"/>
        <v>6.1027262052033527E-3</v>
      </c>
      <c r="E1687" s="38">
        <f t="shared" si="93"/>
        <v>-3.7068122850878221E-3</v>
      </c>
    </row>
    <row r="1688" spans="1:5">
      <c r="A1688" s="35">
        <v>44817</v>
      </c>
      <c r="B1688" s="37">
        <v>1545</v>
      </c>
      <c r="C1688" s="37">
        <v>60346.97</v>
      </c>
      <c r="D1688" s="38">
        <f t="shared" si="92"/>
        <v>-4.6365920557925655E-2</v>
      </c>
      <c r="E1688" s="38">
        <f t="shared" si="93"/>
        <v>-6.8666155297613524E-3</v>
      </c>
    </row>
    <row r="1689" spans="1:5">
      <c r="A1689" s="35">
        <v>44818</v>
      </c>
      <c r="B1689" s="37">
        <v>1475</v>
      </c>
      <c r="C1689" s="37">
        <v>59934.01</v>
      </c>
      <c r="D1689" s="38">
        <f t="shared" si="92"/>
        <v>-2.9551005661768336E-2</v>
      </c>
      <c r="E1689" s="38">
        <f t="shared" si="93"/>
        <v>-1.84088017444974E-2</v>
      </c>
    </row>
    <row r="1690" spans="1:5">
      <c r="A1690" s="35">
        <v>44819</v>
      </c>
      <c r="B1690" s="37">
        <v>1432.05</v>
      </c>
      <c r="C1690" s="37">
        <v>58840.79</v>
      </c>
      <c r="D1690" s="38">
        <f t="shared" si="92"/>
        <v>-3.7639616760107374E-2</v>
      </c>
      <c r="E1690" s="38">
        <f t="shared" si="93"/>
        <v>5.0929904304841305E-3</v>
      </c>
    </row>
    <row r="1691" spans="1:5">
      <c r="A1691" s="35">
        <v>44820</v>
      </c>
      <c r="B1691" s="37">
        <v>1379.15</v>
      </c>
      <c r="C1691" s="37">
        <v>59141.23</v>
      </c>
      <c r="D1691" s="38">
        <f t="shared" si="92"/>
        <v>8.0521838234532735E-3</v>
      </c>
      <c r="E1691" s="38">
        <f t="shared" si="93"/>
        <v>9.7343066969017636E-3</v>
      </c>
    </row>
    <row r="1692" spans="1:5">
      <c r="A1692" s="35">
        <v>44823</v>
      </c>
      <c r="B1692" s="37">
        <v>1390.3</v>
      </c>
      <c r="C1692" s="37">
        <v>59719.74</v>
      </c>
      <c r="D1692" s="38">
        <f t="shared" si="92"/>
        <v>-1.4035595128005719E-3</v>
      </c>
      <c r="E1692" s="38">
        <f t="shared" si="93"/>
        <v>-4.4129569607210461E-3</v>
      </c>
    </row>
    <row r="1693" spans="1:5">
      <c r="A1693" s="35">
        <v>44824</v>
      </c>
      <c r="B1693" s="37">
        <v>1388.35</v>
      </c>
      <c r="C1693" s="37">
        <v>59456.78</v>
      </c>
      <c r="D1693" s="38">
        <f t="shared" si="92"/>
        <v>-8.5356227295651909E-3</v>
      </c>
      <c r="E1693" s="38">
        <f t="shared" si="93"/>
        <v>-5.6851215515974166E-3</v>
      </c>
    </row>
    <row r="1694" spans="1:5">
      <c r="A1694" s="35">
        <v>44825</v>
      </c>
      <c r="B1694" s="37">
        <v>1376.55</v>
      </c>
      <c r="C1694" s="37">
        <v>59119.72</v>
      </c>
      <c r="D1694" s="38">
        <f t="shared" si="92"/>
        <v>-6.3767592691361908E-3</v>
      </c>
      <c r="E1694" s="38">
        <f t="shared" si="93"/>
        <v>-1.7417465454006385E-2</v>
      </c>
    </row>
    <row r="1695" spans="1:5">
      <c r="A1695" s="35">
        <v>44826</v>
      </c>
      <c r="B1695" s="37">
        <v>1367.8</v>
      </c>
      <c r="C1695" s="37">
        <v>58098.92</v>
      </c>
      <c r="D1695" s="38">
        <f t="shared" si="92"/>
        <v>-1.8660476317325547E-3</v>
      </c>
      <c r="E1695" s="38">
        <f t="shared" si="93"/>
        <v>-1.6551327847038173E-2</v>
      </c>
    </row>
    <row r="1696" spans="1:5">
      <c r="A1696" s="35">
        <v>44827</v>
      </c>
      <c r="B1696" s="37">
        <v>1365.25</v>
      </c>
      <c r="C1696" s="37">
        <v>57145.22</v>
      </c>
      <c r="D1696" s="38">
        <f t="shared" si="92"/>
        <v>1.0564761287347613E-2</v>
      </c>
      <c r="E1696" s="38">
        <f t="shared" si="93"/>
        <v>-6.59940433258149E-4</v>
      </c>
    </row>
    <row r="1697" spans="1:5">
      <c r="A1697" s="35">
        <v>44830</v>
      </c>
      <c r="B1697" s="37">
        <v>1379.75</v>
      </c>
      <c r="C1697" s="37">
        <v>57107.519999999997</v>
      </c>
      <c r="D1697" s="38">
        <f t="shared" si="92"/>
        <v>8.9829064149555514E-3</v>
      </c>
      <c r="E1697" s="38">
        <f t="shared" si="93"/>
        <v>-8.9572107097108111E-3</v>
      </c>
    </row>
    <row r="1698" spans="1:5">
      <c r="A1698" s="35">
        <v>44831</v>
      </c>
      <c r="B1698" s="37">
        <v>1392.2</v>
      </c>
      <c r="C1698" s="37">
        <v>56598.28</v>
      </c>
      <c r="D1698" s="38">
        <f t="shared" si="92"/>
        <v>1.6148425449530534E-3</v>
      </c>
      <c r="E1698" s="38">
        <f t="shared" si="93"/>
        <v>-3.3328573973110303E-3</v>
      </c>
    </row>
    <row r="1699" spans="1:5">
      <c r="A1699" s="35">
        <v>44832</v>
      </c>
      <c r="B1699" s="37">
        <v>1394.45</v>
      </c>
      <c r="C1699" s="37">
        <v>56409.96</v>
      </c>
      <c r="D1699" s="38">
        <f t="shared" si="92"/>
        <v>2.2206312850243386E-3</v>
      </c>
      <c r="E1699" s="38">
        <f t="shared" si="93"/>
        <v>1.7867444273833206E-2</v>
      </c>
    </row>
    <row r="1700" spans="1:5">
      <c r="A1700" s="35">
        <v>44833</v>
      </c>
      <c r="B1700" s="37">
        <v>1397.55</v>
      </c>
      <c r="C1700" s="37">
        <v>57426.92</v>
      </c>
      <c r="D1700" s="38">
        <f t="shared" si="92"/>
        <v>1.1065169024156898E-2</v>
      </c>
      <c r="E1700" s="38">
        <f t="shared" si="93"/>
        <v>-1.1173883654918598E-2</v>
      </c>
    </row>
    <row r="1701" spans="1:5">
      <c r="A1701" s="35">
        <v>44834</v>
      </c>
      <c r="B1701" s="37">
        <v>1413.1</v>
      </c>
      <c r="C1701" s="37">
        <v>56788.81</v>
      </c>
      <c r="D1701" s="38">
        <f t="shared" si="92"/>
        <v>-1.3608560268231205E-2</v>
      </c>
      <c r="E1701" s="38">
        <f t="shared" si="93"/>
        <v>2.2231867765537542E-2</v>
      </c>
    </row>
    <row r="1702" spans="1:5">
      <c r="A1702" s="35">
        <v>44837</v>
      </c>
      <c r="B1702" s="37">
        <v>1394</v>
      </c>
      <c r="C1702" s="37">
        <v>58065.47</v>
      </c>
      <c r="D1702" s="38">
        <f t="shared" si="92"/>
        <v>2.5357262012282205E-2</v>
      </c>
      <c r="E1702" s="38">
        <f t="shared" si="93"/>
        <v>2.6938407040250321E-3</v>
      </c>
    </row>
    <row r="1703" spans="1:5">
      <c r="A1703" s="35">
        <v>44838</v>
      </c>
      <c r="B1703" s="37">
        <v>1429.8</v>
      </c>
      <c r="C1703" s="37">
        <v>58222.1</v>
      </c>
      <c r="D1703" s="38">
        <f t="shared" si="92"/>
        <v>1.7436961421208336E-2</v>
      </c>
      <c r="E1703" s="38">
        <f t="shared" si="93"/>
        <v>-5.2932056560434744E-4</v>
      </c>
    </row>
    <row r="1704" spans="1:5">
      <c r="A1704" s="35">
        <v>44840</v>
      </c>
      <c r="B1704" s="37">
        <v>1454.95</v>
      </c>
      <c r="C1704" s="37">
        <v>58191.29</v>
      </c>
      <c r="D1704" s="38">
        <f t="shared" si="92"/>
        <v>-2.2018105018005289E-3</v>
      </c>
      <c r="E1704" s="38">
        <f t="shared" si="93"/>
        <v>-3.4459642439688023E-3</v>
      </c>
    </row>
    <row r="1705" spans="1:5">
      <c r="A1705" s="35">
        <v>44841</v>
      </c>
      <c r="B1705" s="37">
        <v>1451.75</v>
      </c>
      <c r="C1705" s="37">
        <v>57991.11</v>
      </c>
      <c r="D1705" s="38">
        <f t="shared" si="92"/>
        <v>7.5143176408834838E-3</v>
      </c>
      <c r="E1705" s="38">
        <f t="shared" si="93"/>
        <v>-1.4657227933382467E-2</v>
      </c>
    </row>
    <row r="1706" spans="1:5">
      <c r="A1706" s="35">
        <v>44844</v>
      </c>
      <c r="B1706" s="37">
        <v>1462.7</v>
      </c>
      <c r="C1706" s="37">
        <v>57147.32</v>
      </c>
      <c r="D1706" s="38">
        <f t="shared" si="92"/>
        <v>-2.6884457106093697E-2</v>
      </c>
      <c r="E1706" s="38">
        <f t="shared" si="93"/>
        <v>8.339797946151575E-3</v>
      </c>
    </row>
    <row r="1707" spans="1:5">
      <c r="A1707" s="35">
        <v>44845</v>
      </c>
      <c r="B1707" s="37">
        <v>1423.9</v>
      </c>
      <c r="C1707" s="37">
        <v>57625.91</v>
      </c>
      <c r="D1707" s="38">
        <f t="shared" si="92"/>
        <v>3.4703391238916541E-3</v>
      </c>
      <c r="E1707" s="38">
        <f t="shared" si="93"/>
        <v>-6.8009278925517565E-3</v>
      </c>
    </row>
    <row r="1708" spans="1:5">
      <c r="A1708" s="35">
        <v>44846</v>
      </c>
      <c r="B1708" s="37">
        <v>1428.85</v>
      </c>
      <c r="C1708" s="37">
        <v>57235.33</v>
      </c>
      <c r="D1708" s="38">
        <f t="shared" si="92"/>
        <v>-6.389125153298713E-3</v>
      </c>
      <c r="E1708" s="38">
        <f t="shared" si="93"/>
        <v>1.1890865064903354E-2</v>
      </c>
    </row>
    <row r="1709" spans="1:5">
      <c r="A1709" s="35">
        <v>44847</v>
      </c>
      <c r="B1709" s="37">
        <v>1419.75</v>
      </c>
      <c r="C1709" s="37">
        <v>57919.97</v>
      </c>
      <c r="D1709" s="38">
        <f t="shared" si="92"/>
        <v>3.7532914719003642E-2</v>
      </c>
      <c r="E1709" s="38">
        <f t="shared" si="93"/>
        <v>8.4416557389255277E-3</v>
      </c>
    </row>
    <row r="1710" spans="1:5">
      <c r="A1710" s="35">
        <v>44848</v>
      </c>
      <c r="B1710" s="37">
        <v>1474.05</v>
      </c>
      <c r="C1710" s="37">
        <v>58410.98</v>
      </c>
      <c r="D1710" s="38">
        <f t="shared" si="92"/>
        <v>1.0896624643081547E-2</v>
      </c>
      <c r="E1710" s="38">
        <f t="shared" si="93"/>
        <v>9.3655383596243091E-3</v>
      </c>
    </row>
    <row r="1711" spans="1:5">
      <c r="A1711" s="35">
        <v>44851</v>
      </c>
      <c r="B1711" s="37">
        <v>1490.2</v>
      </c>
      <c r="C1711" s="37">
        <v>58960.6</v>
      </c>
      <c r="D1711" s="38">
        <f t="shared" si="92"/>
        <v>8.9186394926113691E-3</v>
      </c>
      <c r="E1711" s="38">
        <f t="shared" si="93"/>
        <v>2.4831509986474134E-3</v>
      </c>
    </row>
    <row r="1712" spans="1:5">
      <c r="A1712" s="35">
        <v>44852</v>
      </c>
      <c r="B1712" s="37">
        <v>1503.55</v>
      </c>
      <c r="C1712" s="37">
        <v>59107.19</v>
      </c>
      <c r="D1712" s="38">
        <f t="shared" si="92"/>
        <v>-1.2414206375438499E-2</v>
      </c>
      <c r="E1712" s="38">
        <f t="shared" si="93"/>
        <v>1.6179519579247791E-3</v>
      </c>
    </row>
    <row r="1713" spans="1:5">
      <c r="A1713" s="35">
        <v>44853</v>
      </c>
      <c r="B1713" s="37">
        <v>1485</v>
      </c>
      <c r="C1713" s="37">
        <v>59202.9</v>
      </c>
      <c r="D1713" s="38">
        <f t="shared" si="92"/>
        <v>1.0250315856167664E-2</v>
      </c>
      <c r="E1713" s="38">
        <f t="shared" si="93"/>
        <v>1.7593449144670183E-3</v>
      </c>
    </row>
    <row r="1714" spans="1:5">
      <c r="A1714" s="35">
        <v>44854</v>
      </c>
      <c r="B1714" s="37">
        <v>1500.3</v>
      </c>
      <c r="C1714" s="37">
        <v>59307.15</v>
      </c>
      <c r="D1714" s="38">
        <f t="shared" si="92"/>
        <v>-1.3331555812308443E-4</v>
      </c>
      <c r="E1714" s="38">
        <f t="shared" si="93"/>
        <v>8.8050802042209456E-3</v>
      </c>
    </row>
    <row r="1715" spans="1:5">
      <c r="A1715" s="35">
        <v>44855</v>
      </c>
      <c r="B1715" s="37">
        <v>1500.1</v>
      </c>
      <c r="C1715" s="37">
        <v>59831.66</v>
      </c>
      <c r="D1715" s="38">
        <f t="shared" si="92"/>
        <v>1.1466571369130041E-2</v>
      </c>
      <c r="E1715" s="38">
        <f t="shared" si="93"/>
        <v>-4.8200890100868147E-3</v>
      </c>
    </row>
    <row r="1716" spans="1:5">
      <c r="A1716" s="35">
        <v>44858</v>
      </c>
      <c r="B1716" s="37">
        <v>1517.4</v>
      </c>
      <c r="C1716" s="37">
        <v>59543.96</v>
      </c>
      <c r="D1716" s="38">
        <f t="shared" si="92"/>
        <v>5.4877485206299044E-3</v>
      </c>
      <c r="E1716" s="38">
        <f t="shared" si="93"/>
        <v>3.5687979618284392E-3</v>
      </c>
    </row>
    <row r="1717" spans="1:5">
      <c r="A1717" s="35">
        <v>44859</v>
      </c>
      <c r="B1717" s="37">
        <v>1525.75</v>
      </c>
      <c r="C1717" s="37">
        <v>59756.84</v>
      </c>
      <c r="D1717" s="38">
        <f t="shared" si="92"/>
        <v>-2.0666925524921685E-3</v>
      </c>
      <c r="E1717" s="38">
        <f t="shared" si="93"/>
        <v>3.3915103164117466E-3</v>
      </c>
    </row>
    <row r="1718" spans="1:5">
      <c r="A1718" s="35">
        <v>44861</v>
      </c>
      <c r="B1718" s="37">
        <v>1522.6</v>
      </c>
      <c r="C1718" s="37">
        <v>59959.85</v>
      </c>
      <c r="D1718" s="38">
        <f t="shared" si="92"/>
        <v>-6.5893754501830199E-3</v>
      </c>
      <c r="E1718" s="38">
        <f t="shared" si="93"/>
        <v>1.3035777394483599E-2</v>
      </c>
    </row>
    <row r="1719" spans="1:5">
      <c r="A1719" s="35">
        <v>44862</v>
      </c>
      <c r="B1719" s="37">
        <v>1512.6</v>
      </c>
      <c r="C1719" s="37">
        <v>60746.59</v>
      </c>
      <c r="D1719" s="38">
        <f t="shared" si="92"/>
        <v>1.658782502394875E-2</v>
      </c>
      <c r="E1719" s="38">
        <f t="shared" si="93"/>
        <v>6.1502833526977429E-3</v>
      </c>
    </row>
    <row r="1720" spans="1:5">
      <c r="A1720" s="35">
        <v>44865</v>
      </c>
      <c r="B1720" s="37">
        <v>1537.9</v>
      </c>
      <c r="C1720" s="37">
        <v>61121.35</v>
      </c>
      <c r="D1720" s="38">
        <f t="shared" si="92"/>
        <v>2.2407830004261192E-2</v>
      </c>
      <c r="E1720" s="38">
        <f t="shared" si="93"/>
        <v>-3.5280625944859555E-3</v>
      </c>
    </row>
    <row r="1721" spans="1:5">
      <c r="A1721" s="35">
        <v>44866</v>
      </c>
      <c r="B1721" s="37">
        <v>1572.75</v>
      </c>
      <c r="C1721" s="37">
        <v>60906.09</v>
      </c>
      <c r="D1721" s="38">
        <f t="shared" si="92"/>
        <v>-1.2991351280295993E-2</v>
      </c>
      <c r="E1721" s="38">
        <f t="shared" si="93"/>
        <v>-1.1447112981717873E-3</v>
      </c>
    </row>
    <row r="1722" spans="1:5">
      <c r="A1722" s="35">
        <v>44867</v>
      </c>
      <c r="B1722" s="37">
        <v>1552.45</v>
      </c>
      <c r="C1722" s="37">
        <v>60836.41</v>
      </c>
      <c r="D1722" s="38">
        <f t="shared" si="92"/>
        <v>-1.4239848784375786E-2</v>
      </c>
      <c r="E1722" s="38">
        <f t="shared" si="93"/>
        <v>1.8713039725464105E-3</v>
      </c>
    </row>
    <row r="1723" spans="1:5">
      <c r="A1723" s="35">
        <v>44868</v>
      </c>
      <c r="B1723" s="37">
        <v>1530.5</v>
      </c>
      <c r="C1723" s="37">
        <v>60950.36</v>
      </c>
      <c r="D1723" s="38">
        <f t="shared" si="92"/>
        <v>-1.0905376767634046E-2</v>
      </c>
      <c r="E1723" s="38">
        <f t="shared" si="93"/>
        <v>3.8447506253369485E-3</v>
      </c>
    </row>
    <row r="1724" spans="1:5">
      <c r="A1724" s="35">
        <v>44869</v>
      </c>
      <c r="B1724" s="37">
        <v>1513.9</v>
      </c>
      <c r="C1724" s="37">
        <v>61185.15</v>
      </c>
      <c r="D1724" s="38">
        <f t="shared" si="92"/>
        <v>-4.5350050414002391E-3</v>
      </c>
      <c r="E1724" s="38">
        <f t="shared" si="93"/>
        <v>-2.4808000371495439E-3</v>
      </c>
    </row>
    <row r="1725" spans="1:5">
      <c r="A1725" s="35">
        <v>44872</v>
      </c>
      <c r="B1725" s="37">
        <v>1507.05</v>
      </c>
      <c r="C1725" s="37">
        <v>61033.55</v>
      </c>
      <c r="D1725" s="38">
        <f t="shared" si="92"/>
        <v>2.1211024424176196E-3</v>
      </c>
      <c r="E1725" s="38">
        <f t="shared" si="93"/>
        <v>-6.9027728467784405E-3</v>
      </c>
    </row>
    <row r="1726" spans="1:5">
      <c r="A1726" s="35">
        <v>44874</v>
      </c>
      <c r="B1726" s="37">
        <v>1510.25</v>
      </c>
      <c r="C1726" s="37">
        <v>60613.7</v>
      </c>
      <c r="D1726" s="38">
        <f t="shared" si="92"/>
        <v>-5.3112158048133316E-3</v>
      </c>
      <c r="E1726" s="38">
        <f t="shared" si="93"/>
        <v>1.9302162211082573E-2</v>
      </c>
    </row>
    <row r="1727" spans="1:5">
      <c r="A1727" s="35">
        <v>44875</v>
      </c>
      <c r="B1727" s="37">
        <v>1502.25</v>
      </c>
      <c r="C1727" s="37">
        <v>61795.040000000001</v>
      </c>
      <c r="D1727" s="38">
        <f t="shared" si="92"/>
        <v>4.4143481754965248E-2</v>
      </c>
      <c r="E1727" s="38">
        <f t="shared" si="93"/>
        <v>-2.7692631787707375E-3</v>
      </c>
    </row>
    <row r="1728" spans="1:5">
      <c r="A1728" s="35">
        <v>44876</v>
      </c>
      <c r="B1728" s="37">
        <v>1570.05</v>
      </c>
      <c r="C1728" s="37">
        <v>61624.15</v>
      </c>
      <c r="D1728" s="38">
        <f t="shared" si="92"/>
        <v>8.8458274053686732E-3</v>
      </c>
      <c r="E1728" s="38">
        <f t="shared" si="93"/>
        <v>4.0298963484451979E-3</v>
      </c>
    </row>
    <row r="1729" spans="1:5">
      <c r="A1729" s="35">
        <v>44879</v>
      </c>
      <c r="B1729" s="37">
        <v>1584</v>
      </c>
      <c r="C1729" s="37">
        <v>61872.99</v>
      </c>
      <c r="D1729" s="38">
        <f t="shared" si="92"/>
        <v>6.1050634912169239E-3</v>
      </c>
      <c r="E1729" s="38">
        <f t="shared" si="93"/>
        <v>1.7396334299364243E-3</v>
      </c>
    </row>
    <row r="1730" spans="1:5">
      <c r="A1730" s="35">
        <v>44880</v>
      </c>
      <c r="B1730" s="37">
        <v>1593.7</v>
      </c>
      <c r="C1730" s="37">
        <v>61980.72</v>
      </c>
      <c r="D1730" s="38">
        <f t="shared" si="92"/>
        <v>5.3193279154284635E-3</v>
      </c>
      <c r="E1730" s="38">
        <f t="shared" si="93"/>
        <v>-3.7196768825908796E-3</v>
      </c>
    </row>
    <row r="1731" spans="1:5">
      <c r="A1731" s="35">
        <v>44881</v>
      </c>
      <c r="B1731" s="37">
        <v>1602.2</v>
      </c>
      <c r="C1731" s="37">
        <v>61750.6</v>
      </c>
      <c r="D1731" s="38">
        <f t="shared" si="92"/>
        <v>-9.6267656801232778E-3</v>
      </c>
      <c r="E1731" s="38">
        <f t="shared" si="93"/>
        <v>-1.4118326607652715E-3</v>
      </c>
    </row>
    <row r="1732" spans="1:5">
      <c r="A1732" s="35">
        <v>44882</v>
      </c>
      <c r="B1732" s="37">
        <v>1586.85</v>
      </c>
      <c r="C1732" s="37">
        <v>61663.48</v>
      </c>
      <c r="D1732" s="38">
        <f t="shared" si="92"/>
        <v>3.8053351996993902E-3</v>
      </c>
      <c r="E1732" s="38">
        <f t="shared" si="93"/>
        <v>-8.4463834921183045E-3</v>
      </c>
    </row>
    <row r="1733" spans="1:5">
      <c r="A1733" s="35">
        <v>44883</v>
      </c>
      <c r="B1733" s="37">
        <v>1592.9</v>
      </c>
      <c r="C1733" s="37">
        <v>61144.84</v>
      </c>
      <c r="D1733" s="38">
        <f t="shared" ref="D1733:D1796" si="94">LN(B1734/B1733)</f>
        <v>-1.626566667026165E-2</v>
      </c>
      <c r="E1733" s="38">
        <f t="shared" ref="E1733:E1796" si="95">LN(C1734/C1733)</f>
        <v>4.4731063668849852E-3</v>
      </c>
    </row>
    <row r="1734" spans="1:5">
      <c r="A1734" s="35">
        <v>44886</v>
      </c>
      <c r="B1734" s="37">
        <v>1567.2</v>
      </c>
      <c r="C1734" s="37">
        <v>61418.96</v>
      </c>
      <c r="D1734" s="38">
        <f t="shared" si="94"/>
        <v>1.1672296945392421E-2</v>
      </c>
      <c r="E1734" s="38">
        <f t="shared" si="95"/>
        <v>1.4906102628279418E-3</v>
      </c>
    </row>
    <row r="1735" spans="1:5">
      <c r="A1735" s="35">
        <v>44887</v>
      </c>
      <c r="B1735" s="37">
        <v>1585.6</v>
      </c>
      <c r="C1735" s="37">
        <v>61510.58</v>
      </c>
      <c r="D1735" s="38">
        <f t="shared" si="94"/>
        <v>-1.3884508383900569E-3</v>
      </c>
      <c r="E1735" s="38">
        <f t="shared" si="95"/>
        <v>1.2313613802578673E-2</v>
      </c>
    </row>
    <row r="1736" spans="1:5">
      <c r="A1736" s="35">
        <v>44888</v>
      </c>
      <c r="B1736" s="37">
        <v>1583.4</v>
      </c>
      <c r="C1736" s="37">
        <v>62272.68</v>
      </c>
      <c r="D1736" s="38">
        <f t="shared" si="94"/>
        <v>2.8882874148785931E-2</v>
      </c>
      <c r="E1736" s="38">
        <f t="shared" si="95"/>
        <v>3.3652756536135835E-4</v>
      </c>
    </row>
    <row r="1737" spans="1:5">
      <c r="A1737" s="35">
        <v>44889</v>
      </c>
      <c r="B1737" s="37">
        <v>1629.8</v>
      </c>
      <c r="C1737" s="37">
        <v>62293.64</v>
      </c>
      <c r="D1737" s="38">
        <f t="shared" si="94"/>
        <v>5.8272379008594962E-4</v>
      </c>
      <c r="E1737" s="38">
        <f t="shared" si="95"/>
        <v>3.3840198885464494E-3</v>
      </c>
    </row>
    <row r="1738" spans="1:5">
      <c r="A1738" s="35">
        <v>44890</v>
      </c>
      <c r="B1738" s="37">
        <v>1630.75</v>
      </c>
      <c r="C1738" s="37">
        <v>62504.800000000003</v>
      </c>
      <c r="D1738" s="38">
        <f t="shared" si="94"/>
        <v>-4.6097192876092645E-3</v>
      </c>
      <c r="E1738" s="38">
        <f t="shared" si="95"/>
        <v>2.8284187198561912E-3</v>
      </c>
    </row>
    <row r="1739" spans="1:5">
      <c r="A1739" s="35">
        <v>44893</v>
      </c>
      <c r="B1739" s="37">
        <v>1623.25</v>
      </c>
      <c r="C1739" s="37">
        <v>62681.84</v>
      </c>
      <c r="D1739" s="38">
        <f t="shared" si="94"/>
        <v>3.1062133815782946E-3</v>
      </c>
      <c r="E1739" s="38">
        <f t="shared" si="95"/>
        <v>6.6434502673527168E-3</v>
      </c>
    </row>
    <row r="1740" spans="1:5">
      <c r="A1740" s="35">
        <v>44894</v>
      </c>
      <c r="B1740" s="37">
        <v>1628.3</v>
      </c>
      <c r="C1740" s="37">
        <v>63099.65</v>
      </c>
      <c r="D1740" s="38">
        <f t="shared" si="94"/>
        <v>2.5147987614761455E-3</v>
      </c>
      <c r="E1740" s="38">
        <f t="shared" si="95"/>
        <v>2.9203121403785807E-3</v>
      </c>
    </row>
    <row r="1741" spans="1:5">
      <c r="A1741" s="35">
        <v>44895</v>
      </c>
      <c r="B1741" s="37">
        <v>1632.4</v>
      </c>
      <c r="C1741" s="37">
        <v>63284.19</v>
      </c>
      <c r="D1741" s="38">
        <f t="shared" si="94"/>
        <v>1.5319448533513242E-2</v>
      </c>
      <c r="E1741" s="38">
        <f t="shared" si="95"/>
        <v>-6.5902915667927072E-3</v>
      </c>
    </row>
    <row r="1742" spans="1:5">
      <c r="A1742" s="35">
        <v>44896</v>
      </c>
      <c r="B1742" s="37">
        <v>1657.6</v>
      </c>
      <c r="C1742" s="37">
        <v>62868.5</v>
      </c>
      <c r="D1742" s="38">
        <f t="shared" si="94"/>
        <v>-1.1559068676296042E-2</v>
      </c>
      <c r="E1742" s="38">
        <f t="shared" si="95"/>
        <v>-5.3936618622516192E-4</v>
      </c>
    </row>
    <row r="1743" spans="1:5">
      <c r="A1743" s="35">
        <v>44897</v>
      </c>
      <c r="B1743" s="37">
        <v>1638.55</v>
      </c>
      <c r="C1743" s="37">
        <v>62834.6</v>
      </c>
      <c r="D1743" s="38">
        <f t="shared" si="94"/>
        <v>1.1893690122885079E-3</v>
      </c>
      <c r="E1743" s="38">
        <f t="shared" si="95"/>
        <v>-3.3196014318625133E-3</v>
      </c>
    </row>
    <row r="1744" spans="1:5">
      <c r="A1744" s="35">
        <v>44900</v>
      </c>
      <c r="B1744" s="37">
        <v>1640.5</v>
      </c>
      <c r="C1744" s="37">
        <v>62626.36</v>
      </c>
      <c r="D1744" s="38">
        <f t="shared" si="94"/>
        <v>-1.6998273020531501E-2</v>
      </c>
      <c r="E1744" s="38">
        <f t="shared" si="95"/>
        <v>-3.449861159706552E-3</v>
      </c>
    </row>
    <row r="1745" spans="1:5">
      <c r="A1745" s="35">
        <v>44901</v>
      </c>
      <c r="B1745" s="37">
        <v>1612.85</v>
      </c>
      <c r="C1745" s="37">
        <v>62410.68</v>
      </c>
      <c r="D1745" s="38">
        <f t="shared" si="94"/>
        <v>-4.8478916537672044E-3</v>
      </c>
      <c r="E1745" s="38">
        <f t="shared" si="95"/>
        <v>2.5603832028629992E-3</v>
      </c>
    </row>
    <row r="1746" spans="1:5">
      <c r="A1746" s="35">
        <v>44902</v>
      </c>
      <c r="B1746" s="37">
        <v>1605.05</v>
      </c>
      <c r="C1746" s="37">
        <v>62570.68</v>
      </c>
      <c r="D1746" s="38">
        <f t="shared" si="94"/>
        <v>9.2403758257321358E-3</v>
      </c>
      <c r="E1746" s="38">
        <f t="shared" si="95"/>
        <v>-6.2365359988455389E-3</v>
      </c>
    </row>
    <row r="1747" spans="1:5">
      <c r="A1747" s="35">
        <v>44903</v>
      </c>
      <c r="B1747" s="37">
        <v>1619.95</v>
      </c>
      <c r="C1747" s="37">
        <v>62181.67</v>
      </c>
      <c r="D1747" s="38">
        <f t="shared" si="94"/>
        <v>-3.2052417684202895E-2</v>
      </c>
      <c r="E1747" s="38">
        <f t="shared" si="95"/>
        <v>-8.2212343495940748E-4</v>
      </c>
    </row>
    <row r="1748" spans="1:5">
      <c r="A1748" s="35">
        <v>44904</v>
      </c>
      <c r="B1748" s="37">
        <v>1568.85</v>
      </c>
      <c r="C1748" s="37">
        <v>62130.57</v>
      </c>
      <c r="D1748" s="38">
        <f t="shared" si="94"/>
        <v>-1.3960656143363932E-2</v>
      </c>
      <c r="E1748" s="38">
        <f t="shared" si="95"/>
        <v>6.4610765093866696E-3</v>
      </c>
    </row>
    <row r="1749" spans="1:5">
      <c r="A1749" s="35">
        <v>44907</v>
      </c>
      <c r="B1749" s="37">
        <v>1547.1</v>
      </c>
      <c r="C1749" s="37">
        <v>62533.3</v>
      </c>
      <c r="D1749" s="38">
        <f t="shared" si="94"/>
        <v>1.6411676771656992E-2</v>
      </c>
      <c r="E1749" s="38">
        <f t="shared" si="95"/>
        <v>2.3098581076973343E-3</v>
      </c>
    </row>
    <row r="1750" spans="1:5">
      <c r="A1750" s="35">
        <v>44908</v>
      </c>
      <c r="B1750" s="37">
        <v>1572.7</v>
      </c>
      <c r="C1750" s="37">
        <v>62677.91</v>
      </c>
      <c r="D1750" s="38">
        <f t="shared" si="94"/>
        <v>4.7891748557284198E-3</v>
      </c>
      <c r="E1750" s="38">
        <f t="shared" si="95"/>
        <v>-1.4121404414944838E-2</v>
      </c>
    </row>
    <row r="1751" spans="1:5">
      <c r="A1751" s="35">
        <v>44909</v>
      </c>
      <c r="B1751" s="37">
        <v>1580.25</v>
      </c>
      <c r="C1751" s="37">
        <v>61799.03</v>
      </c>
      <c r="D1751" s="38">
        <f t="shared" si="94"/>
        <v>-2.6190332252191001E-2</v>
      </c>
      <c r="E1751" s="38">
        <f t="shared" si="95"/>
        <v>-7.4912131398508757E-3</v>
      </c>
    </row>
    <row r="1752" spans="1:5">
      <c r="A1752" s="35">
        <v>44910</v>
      </c>
      <c r="B1752" s="37">
        <v>1539.4</v>
      </c>
      <c r="C1752" s="37">
        <v>61337.81</v>
      </c>
      <c r="D1752" s="38">
        <f t="shared" si="94"/>
        <v>-1.1137536537280314E-2</v>
      </c>
      <c r="E1752" s="38">
        <f t="shared" si="95"/>
        <v>7.6070658523497018E-3</v>
      </c>
    </row>
    <row r="1753" spans="1:5">
      <c r="A1753" s="35">
        <v>44911</v>
      </c>
      <c r="B1753" s="37">
        <v>1522.35</v>
      </c>
      <c r="C1753" s="37">
        <v>61806.19</v>
      </c>
      <c r="D1753" s="38">
        <f t="shared" si="94"/>
        <v>-9.7362111699565469E-3</v>
      </c>
      <c r="E1753" s="38">
        <f t="shared" si="95"/>
        <v>-1.6824759645550644E-3</v>
      </c>
    </row>
    <row r="1754" spans="1:5">
      <c r="A1754" s="35">
        <v>44914</v>
      </c>
      <c r="B1754" s="37">
        <v>1507.6</v>
      </c>
      <c r="C1754" s="37">
        <v>61702.29</v>
      </c>
      <c r="D1754" s="38">
        <f t="shared" si="94"/>
        <v>-6.633279163980807E-5</v>
      </c>
      <c r="E1754" s="38">
        <f t="shared" si="95"/>
        <v>-1.0345493121393134E-2</v>
      </c>
    </row>
    <row r="1755" spans="1:5">
      <c r="A1755" s="35">
        <v>44915</v>
      </c>
      <c r="B1755" s="37">
        <v>1507.5</v>
      </c>
      <c r="C1755" s="37">
        <v>61067.24</v>
      </c>
      <c r="D1755" s="38">
        <f t="shared" si="94"/>
        <v>1.5245421041839963E-3</v>
      </c>
      <c r="E1755" s="38">
        <f t="shared" si="95"/>
        <v>-3.9546061635697474E-3</v>
      </c>
    </row>
    <row r="1756" spans="1:5">
      <c r="A1756" s="35">
        <v>44916</v>
      </c>
      <c r="B1756" s="37">
        <v>1509.8</v>
      </c>
      <c r="C1756" s="37">
        <v>60826.22</v>
      </c>
      <c r="D1756" s="38">
        <f t="shared" si="94"/>
        <v>7.4236941232556355E-3</v>
      </c>
      <c r="E1756" s="38">
        <f t="shared" si="95"/>
        <v>-1.6258213845189131E-2</v>
      </c>
    </row>
    <row r="1757" spans="1:5">
      <c r="A1757" s="35">
        <v>44917</v>
      </c>
      <c r="B1757" s="37">
        <v>1521.05</v>
      </c>
      <c r="C1757" s="37">
        <v>59845.29</v>
      </c>
      <c r="D1757" s="38">
        <f t="shared" si="94"/>
        <v>-1.5570446414939324E-2</v>
      </c>
      <c r="E1757" s="38">
        <f t="shared" si="95"/>
        <v>1.1977881913125446E-2</v>
      </c>
    </row>
    <row r="1758" spans="1:5">
      <c r="A1758" s="35">
        <v>44918</v>
      </c>
      <c r="B1758" s="37">
        <v>1497.55</v>
      </c>
      <c r="C1758" s="37">
        <v>60566.42</v>
      </c>
      <c r="D1758" s="38">
        <f t="shared" si="94"/>
        <v>3.1335448001964328E-3</v>
      </c>
      <c r="E1758" s="38">
        <f t="shared" si="95"/>
        <v>5.9428697420153527E-3</v>
      </c>
    </row>
    <row r="1759" spans="1:5">
      <c r="A1759" s="35">
        <v>44921</v>
      </c>
      <c r="B1759" s="37">
        <v>1502.25</v>
      </c>
      <c r="C1759" s="37">
        <v>60927.43</v>
      </c>
      <c r="D1759" s="38">
        <f t="shared" si="94"/>
        <v>8.7814332838205503E-3</v>
      </c>
      <c r="E1759" s="38">
        <f t="shared" si="95"/>
        <v>-2.8152203637557685E-4</v>
      </c>
    </row>
    <row r="1760" spans="1:5">
      <c r="A1760" s="35">
        <v>44922</v>
      </c>
      <c r="B1760" s="37">
        <v>1515.5</v>
      </c>
      <c r="C1760" s="37">
        <v>60910.28</v>
      </c>
      <c r="D1760" s="38">
        <f t="shared" si="94"/>
        <v>-3.0730111582044722E-3</v>
      </c>
      <c r="E1760" s="38">
        <f t="shared" si="95"/>
        <v>3.6642515329672882E-3</v>
      </c>
    </row>
    <row r="1761" spans="1:5">
      <c r="A1761" s="35">
        <v>44923</v>
      </c>
      <c r="B1761" s="37">
        <v>1510.85</v>
      </c>
      <c r="C1761" s="37">
        <v>61133.88</v>
      </c>
      <c r="D1761" s="38">
        <f t="shared" si="94"/>
        <v>4.3918375940000089E-3</v>
      </c>
      <c r="E1761" s="38">
        <f t="shared" si="95"/>
        <v>-4.8065829493614542E-3</v>
      </c>
    </row>
    <row r="1762" spans="1:5">
      <c r="A1762" s="35">
        <v>44924</v>
      </c>
      <c r="B1762" s="37">
        <v>1517.5</v>
      </c>
      <c r="C1762" s="37">
        <v>60840.74</v>
      </c>
      <c r="D1762" s="38">
        <f t="shared" si="94"/>
        <v>-5.8158910876244954E-3</v>
      </c>
      <c r="E1762" s="38">
        <f t="shared" si="95"/>
        <v>5.361113412746905E-3</v>
      </c>
    </row>
    <row r="1763" spans="1:5">
      <c r="A1763" s="35">
        <v>44925</v>
      </c>
      <c r="B1763" s="37">
        <v>1508.7</v>
      </c>
      <c r="C1763" s="37">
        <v>61167.79</v>
      </c>
      <c r="D1763" s="38">
        <f t="shared" si="94"/>
        <v>1.0286935421767028E-2</v>
      </c>
      <c r="E1763" s="38">
        <f t="shared" si="95"/>
        <v>2.0644780457567901E-3</v>
      </c>
    </row>
    <row r="1764" spans="1:5">
      <c r="A1764" s="35">
        <v>44928</v>
      </c>
      <c r="B1764" s="37">
        <v>1524.3</v>
      </c>
      <c r="C1764" s="37">
        <v>61294.2</v>
      </c>
      <c r="D1764" s="38">
        <f t="shared" si="94"/>
        <v>-1.1487275004926851E-3</v>
      </c>
      <c r="E1764" s="38">
        <f t="shared" si="95"/>
        <v>-1.0442758035968112E-2</v>
      </c>
    </row>
    <row r="1765" spans="1:5">
      <c r="A1765" s="35">
        <v>44929</v>
      </c>
      <c r="B1765" s="37">
        <v>1522.55</v>
      </c>
      <c r="C1765" s="37">
        <v>60657.45</v>
      </c>
      <c r="D1765" s="38">
        <f t="shared" si="94"/>
        <v>-1.8327245811834585E-2</v>
      </c>
      <c r="E1765" s="38">
        <f t="shared" si="95"/>
        <v>-5.0273337875464414E-3</v>
      </c>
    </row>
    <row r="1766" spans="1:5">
      <c r="A1766" s="35">
        <v>44930</v>
      </c>
      <c r="B1766" s="37">
        <v>1494.9</v>
      </c>
      <c r="C1766" s="37">
        <v>60353.27</v>
      </c>
      <c r="D1766" s="38">
        <f t="shared" si="94"/>
        <v>-1.3265741153139275E-2</v>
      </c>
      <c r="E1766" s="38">
        <f t="shared" si="95"/>
        <v>-7.5324479388074609E-3</v>
      </c>
    </row>
    <row r="1767" spans="1:5">
      <c r="A1767" s="35">
        <v>44931</v>
      </c>
      <c r="B1767" s="37">
        <v>1475.2</v>
      </c>
      <c r="C1767" s="37">
        <v>59900.37</v>
      </c>
      <c r="D1767" s="38">
        <f t="shared" si="94"/>
        <v>-1.8023435508914856E-2</v>
      </c>
      <c r="E1767" s="38">
        <f t="shared" si="95"/>
        <v>1.4040119340956957E-2</v>
      </c>
    </row>
    <row r="1768" spans="1:5">
      <c r="A1768" s="35">
        <v>44932</v>
      </c>
      <c r="B1768" s="37">
        <v>1448.85</v>
      </c>
      <c r="C1768" s="37">
        <v>60747.31</v>
      </c>
      <c r="D1768" s="38">
        <f t="shared" si="94"/>
        <v>2.4307876910399939E-2</v>
      </c>
      <c r="E1768" s="38">
        <f t="shared" si="95"/>
        <v>-1.0455422313891682E-2</v>
      </c>
    </row>
    <row r="1769" spans="1:5">
      <c r="A1769" s="35">
        <v>44935</v>
      </c>
      <c r="B1769" s="37">
        <v>1484.5</v>
      </c>
      <c r="C1769" s="37">
        <v>60115.48</v>
      </c>
      <c r="D1769" s="38">
        <f t="shared" si="94"/>
        <v>-9.5435426023918017E-3</v>
      </c>
      <c r="E1769" s="38">
        <f t="shared" si="95"/>
        <v>-1.6602759390126941E-4</v>
      </c>
    </row>
    <row r="1770" spans="1:5">
      <c r="A1770" s="35">
        <v>44936</v>
      </c>
      <c r="B1770" s="37">
        <v>1470.4</v>
      </c>
      <c r="C1770" s="37">
        <v>60105.5</v>
      </c>
      <c r="D1770" s="38">
        <f t="shared" si="94"/>
        <v>7.1383656174626477E-4</v>
      </c>
      <c r="E1770" s="38">
        <f t="shared" si="95"/>
        <v>-2.4565340392656817E-3</v>
      </c>
    </row>
    <row r="1771" spans="1:5">
      <c r="A1771" s="35">
        <v>44937</v>
      </c>
      <c r="B1771" s="37">
        <v>1471.45</v>
      </c>
      <c r="C1771" s="37">
        <v>59958.03</v>
      </c>
      <c r="D1771" s="38">
        <f t="shared" si="94"/>
        <v>6.1653311824010565E-3</v>
      </c>
      <c r="E1771" s="38">
        <f t="shared" si="95"/>
        <v>5.043297864754011E-3</v>
      </c>
    </row>
    <row r="1772" spans="1:5">
      <c r="A1772" s="35">
        <v>44938</v>
      </c>
      <c r="B1772" s="37">
        <v>1480.55</v>
      </c>
      <c r="C1772" s="37">
        <v>60261.18</v>
      </c>
      <c r="D1772" s="38">
        <f t="shared" si="94"/>
        <v>1.5382083083013622E-2</v>
      </c>
      <c r="E1772" s="38">
        <f t="shared" si="95"/>
        <v>-2.7952523369542486E-3</v>
      </c>
    </row>
    <row r="1773" spans="1:5">
      <c r="A1773" s="35">
        <v>44939</v>
      </c>
      <c r="B1773" s="37">
        <v>1503.5</v>
      </c>
      <c r="C1773" s="37">
        <v>60092.97</v>
      </c>
      <c r="D1773" s="38">
        <f t="shared" si="94"/>
        <v>1.4362607603378172E-2</v>
      </c>
      <c r="E1773" s="38">
        <f t="shared" si="95"/>
        <v>9.321079581443013E-3</v>
      </c>
    </row>
    <row r="1774" spans="1:5">
      <c r="A1774" s="35">
        <v>44942</v>
      </c>
      <c r="B1774" s="37">
        <v>1525.25</v>
      </c>
      <c r="C1774" s="37">
        <v>60655.72</v>
      </c>
      <c r="D1774" s="38">
        <f t="shared" si="94"/>
        <v>9.4617345351908182E-3</v>
      </c>
      <c r="E1774" s="38">
        <f t="shared" si="95"/>
        <v>6.4094766852060879E-3</v>
      </c>
    </row>
    <row r="1775" spans="1:5">
      <c r="A1775" s="35">
        <v>44943</v>
      </c>
      <c r="B1775" s="37">
        <v>1539.75</v>
      </c>
      <c r="C1775" s="37">
        <v>61045.74</v>
      </c>
      <c r="D1775" s="38">
        <f t="shared" si="94"/>
        <v>3.436206700586903E-3</v>
      </c>
      <c r="E1775" s="38">
        <f t="shared" si="95"/>
        <v>-3.0730720271403052E-3</v>
      </c>
    </row>
    <row r="1776" spans="1:5">
      <c r="A1776" s="35">
        <v>44944</v>
      </c>
      <c r="B1776" s="37">
        <v>1545.05</v>
      </c>
      <c r="C1776" s="37">
        <v>60858.43</v>
      </c>
      <c r="D1776" s="38">
        <f t="shared" si="94"/>
        <v>-2.4300561150655308E-3</v>
      </c>
      <c r="E1776" s="38">
        <f t="shared" si="95"/>
        <v>-3.8962777373458789E-3</v>
      </c>
    </row>
    <row r="1777" spans="1:5">
      <c r="A1777" s="35">
        <v>44945</v>
      </c>
      <c r="B1777" s="37">
        <v>1541.3</v>
      </c>
      <c r="C1777" s="37">
        <v>60621.77</v>
      </c>
      <c r="D1777" s="38">
        <f t="shared" si="94"/>
        <v>-1.033676767206994E-2</v>
      </c>
      <c r="E1777" s="38">
        <f t="shared" si="95"/>
        <v>5.2631076982284667E-3</v>
      </c>
    </row>
    <row r="1778" spans="1:5">
      <c r="A1778" s="35">
        <v>44946</v>
      </c>
      <c r="B1778" s="37">
        <v>1525.45</v>
      </c>
      <c r="C1778" s="37">
        <v>60941.67</v>
      </c>
      <c r="D1778" s="38">
        <f t="shared" si="94"/>
        <v>1.4545119355754633E-2</v>
      </c>
      <c r="E1778" s="38">
        <f t="shared" si="95"/>
        <v>6.0826563988650563E-4</v>
      </c>
    </row>
    <row r="1779" spans="1:5">
      <c r="A1779" s="35">
        <v>44949</v>
      </c>
      <c r="B1779" s="37">
        <v>1547.8</v>
      </c>
      <c r="C1779" s="37">
        <v>60978.75</v>
      </c>
      <c r="D1779" s="38">
        <f t="shared" si="94"/>
        <v>2.9353439459330471E-3</v>
      </c>
      <c r="E1779" s="38">
        <f t="shared" si="95"/>
        <v>-1.2769040887251892E-2</v>
      </c>
    </row>
    <row r="1780" spans="1:5">
      <c r="A1780" s="35">
        <v>44950</v>
      </c>
      <c r="B1780" s="37">
        <v>1552.35</v>
      </c>
      <c r="C1780" s="37">
        <v>60205.06</v>
      </c>
      <c r="D1780" s="38">
        <f t="shared" si="94"/>
        <v>-6.1061493333114288E-3</v>
      </c>
      <c r="E1780" s="38">
        <f t="shared" si="95"/>
        <v>-1.4626152391616199E-2</v>
      </c>
    </row>
    <row r="1781" spans="1:5">
      <c r="A1781" s="35">
        <v>44951</v>
      </c>
      <c r="B1781" s="37">
        <v>1542.9</v>
      </c>
      <c r="C1781" s="37">
        <v>59330.9</v>
      </c>
      <c r="D1781" s="38">
        <f t="shared" si="94"/>
        <v>-1.6105406671295522E-2</v>
      </c>
      <c r="E1781" s="38">
        <f t="shared" si="95"/>
        <v>2.8529537371088467E-3</v>
      </c>
    </row>
    <row r="1782" spans="1:5">
      <c r="A1782" s="35">
        <v>44953</v>
      </c>
      <c r="B1782" s="37">
        <v>1518.25</v>
      </c>
      <c r="C1782" s="37">
        <v>59500.41</v>
      </c>
      <c r="D1782" s="38">
        <f t="shared" si="94"/>
        <v>1.363947420822364E-2</v>
      </c>
      <c r="E1782" s="38">
        <f t="shared" si="95"/>
        <v>8.3141325462863678E-4</v>
      </c>
    </row>
    <row r="1783" spans="1:5">
      <c r="A1783" s="35">
        <v>44956</v>
      </c>
      <c r="B1783" s="37">
        <v>1539.1</v>
      </c>
      <c r="C1783" s="37">
        <v>59549.9</v>
      </c>
      <c r="D1783" s="38">
        <f t="shared" si="94"/>
        <v>-3.8733875427132735E-3</v>
      </c>
      <c r="E1783" s="38">
        <f t="shared" si="95"/>
        <v>2.652738085277519E-3</v>
      </c>
    </row>
    <row r="1784" spans="1:5">
      <c r="A1784" s="35">
        <v>44957</v>
      </c>
      <c r="B1784" s="37">
        <v>1533.15</v>
      </c>
      <c r="C1784" s="37">
        <v>59708.08</v>
      </c>
      <c r="D1784" s="38">
        <f t="shared" si="94"/>
        <v>1.057558679026829E-2</v>
      </c>
      <c r="E1784" s="38">
        <f t="shared" si="95"/>
        <v>3.7472360873048874E-3</v>
      </c>
    </row>
    <row r="1785" spans="1:5">
      <c r="A1785" s="35">
        <v>44958</v>
      </c>
      <c r="B1785" s="37">
        <v>1549.45</v>
      </c>
      <c r="C1785" s="37">
        <v>59932.24</v>
      </c>
      <c r="D1785" s="38">
        <f t="shared" si="94"/>
        <v>2.1611247273925171E-2</v>
      </c>
      <c r="E1785" s="38">
        <f t="shared" si="95"/>
        <v>1.5063776925526557E-2</v>
      </c>
    </row>
    <row r="1786" spans="1:5">
      <c r="A1786" s="35">
        <v>44959</v>
      </c>
      <c r="B1786" s="37">
        <v>1583.3</v>
      </c>
      <c r="C1786" s="37">
        <v>60841.88</v>
      </c>
      <c r="D1786" s="38">
        <f t="shared" si="94"/>
        <v>9.9609615572053261E-3</v>
      </c>
      <c r="E1786" s="38">
        <f t="shared" si="95"/>
        <v>-5.5209595164699846E-3</v>
      </c>
    </row>
    <row r="1787" spans="1:5">
      <c r="A1787" s="35">
        <v>44960</v>
      </c>
      <c r="B1787" s="37">
        <v>1599.15</v>
      </c>
      <c r="C1787" s="37">
        <v>60506.9</v>
      </c>
      <c r="D1787" s="38">
        <f t="shared" si="94"/>
        <v>-1.8078198085892602E-2</v>
      </c>
      <c r="E1787" s="38">
        <f t="shared" si="95"/>
        <v>-3.6568403107079405E-3</v>
      </c>
    </row>
    <row r="1788" spans="1:5">
      <c r="A1788" s="35">
        <v>44963</v>
      </c>
      <c r="B1788" s="37">
        <v>1570.5</v>
      </c>
      <c r="C1788" s="37">
        <v>60286.04</v>
      </c>
      <c r="D1788" s="38">
        <f t="shared" si="94"/>
        <v>-5.20294197643966E-3</v>
      </c>
      <c r="E1788" s="38">
        <f t="shared" si="95"/>
        <v>6.2464118923139062E-3</v>
      </c>
    </row>
    <row r="1789" spans="1:5">
      <c r="A1789" s="35">
        <v>44964</v>
      </c>
      <c r="B1789" s="37">
        <v>1562.35</v>
      </c>
      <c r="C1789" s="37">
        <v>60663.79</v>
      </c>
      <c r="D1789" s="38">
        <f t="shared" si="94"/>
        <v>1.7354221164564518E-2</v>
      </c>
      <c r="E1789" s="38">
        <f t="shared" si="95"/>
        <v>2.3451066691240275E-3</v>
      </c>
    </row>
    <row r="1790" spans="1:5">
      <c r="A1790" s="35">
        <v>44965</v>
      </c>
      <c r="B1790" s="37">
        <v>1589.7</v>
      </c>
      <c r="C1790" s="37">
        <v>60806.22</v>
      </c>
      <c r="D1790" s="38">
        <f t="shared" si="94"/>
        <v>1.7460068168822354E-2</v>
      </c>
      <c r="E1790" s="38">
        <f t="shared" si="95"/>
        <v>-2.0334371654890135E-3</v>
      </c>
    </row>
    <row r="1791" spans="1:5">
      <c r="A1791" s="35">
        <v>44966</v>
      </c>
      <c r="B1791" s="37">
        <v>1617.7</v>
      </c>
      <c r="C1791" s="37">
        <v>60682.7</v>
      </c>
      <c r="D1791" s="38">
        <f t="shared" si="94"/>
        <v>-6.0453116075446503E-3</v>
      </c>
      <c r="E1791" s="38">
        <f t="shared" si="95"/>
        <v>-4.1425308429762697E-3</v>
      </c>
    </row>
    <row r="1792" spans="1:5">
      <c r="A1792" s="35">
        <v>44967</v>
      </c>
      <c r="B1792" s="37">
        <v>1607.95</v>
      </c>
      <c r="C1792" s="37">
        <v>60431.839999999997</v>
      </c>
      <c r="D1792" s="38">
        <f t="shared" si="94"/>
        <v>-2.554188010933937E-2</v>
      </c>
      <c r="E1792" s="38">
        <f t="shared" si="95"/>
        <v>9.8864584764729157E-3</v>
      </c>
    </row>
    <row r="1793" spans="1:5">
      <c r="A1793" s="35">
        <v>44970</v>
      </c>
      <c r="B1793" s="37">
        <v>1567.4</v>
      </c>
      <c r="C1793" s="37">
        <v>61032.26</v>
      </c>
      <c r="D1793" s="38">
        <f t="shared" si="94"/>
        <v>1.5981099914574273E-2</v>
      </c>
      <c r="E1793" s="38">
        <f t="shared" si="95"/>
        <v>3.9708213621967615E-3</v>
      </c>
    </row>
    <row r="1794" spans="1:5">
      <c r="A1794" s="35">
        <v>44971</v>
      </c>
      <c r="B1794" s="37">
        <v>1592.65</v>
      </c>
      <c r="C1794" s="37">
        <v>61275.09</v>
      </c>
      <c r="D1794" s="38">
        <f t="shared" si="94"/>
        <v>2.6336431588814277E-3</v>
      </c>
      <c r="E1794" s="38">
        <f t="shared" si="95"/>
        <v>7.2466490275919864E-4</v>
      </c>
    </row>
    <row r="1795" spans="1:5">
      <c r="A1795" s="35">
        <v>44972</v>
      </c>
      <c r="B1795" s="37">
        <v>1596.85</v>
      </c>
      <c r="C1795" s="37">
        <v>61319.51</v>
      </c>
      <c r="D1795" s="38">
        <f t="shared" si="94"/>
        <v>3.1886984627445625E-3</v>
      </c>
      <c r="E1795" s="38">
        <f t="shared" si="95"/>
        <v>-5.1820686707459819E-3</v>
      </c>
    </row>
    <row r="1796" spans="1:5">
      <c r="A1796" s="35">
        <v>44973</v>
      </c>
      <c r="B1796" s="37">
        <v>1601.95</v>
      </c>
      <c r="C1796" s="37">
        <v>61002.57</v>
      </c>
      <c r="D1796" s="38">
        <f t="shared" si="94"/>
        <v>-1.1615626298408942E-2</v>
      </c>
      <c r="E1796" s="38">
        <f t="shared" si="95"/>
        <v>-5.111680051708048E-3</v>
      </c>
    </row>
    <row r="1797" spans="1:5">
      <c r="A1797" s="35">
        <v>44974</v>
      </c>
      <c r="B1797" s="37">
        <v>1583.45</v>
      </c>
      <c r="C1797" s="37">
        <v>60691.54</v>
      </c>
      <c r="D1797" s="38">
        <f t="shared" ref="D1797:D1860" si="96">LN(B1798/B1797)</f>
        <v>6.1699443378479685E-3</v>
      </c>
      <c r="E1797" s="38">
        <f t="shared" ref="E1797:E1860" si="97">LN(C1798/C1797)</f>
        <v>-3.101407309014059E-4</v>
      </c>
    </row>
    <row r="1798" spans="1:5">
      <c r="A1798" s="35">
        <v>44977</v>
      </c>
      <c r="B1798" s="37">
        <v>1593.25</v>
      </c>
      <c r="C1798" s="37">
        <v>60672.72</v>
      </c>
      <c r="D1798" s="38">
        <f t="shared" si="96"/>
        <v>-8.825904415593732E-3</v>
      </c>
      <c r="E1798" s="38">
        <f t="shared" si="97"/>
        <v>-1.5409003105136203E-2</v>
      </c>
    </row>
    <row r="1799" spans="1:5">
      <c r="A1799" s="35">
        <v>44978</v>
      </c>
      <c r="B1799" s="37">
        <v>1579.25</v>
      </c>
      <c r="C1799" s="37">
        <v>59744.98</v>
      </c>
      <c r="D1799" s="38">
        <f t="shared" si="96"/>
        <v>-1.063094868024232E-2</v>
      </c>
      <c r="E1799" s="38">
        <f t="shared" si="97"/>
        <v>-2.3322857729088488E-3</v>
      </c>
    </row>
    <row r="1800" spans="1:5">
      <c r="A1800" s="35">
        <v>44979</v>
      </c>
      <c r="B1800" s="37">
        <v>1562.55</v>
      </c>
      <c r="C1800" s="37">
        <v>59605.8</v>
      </c>
      <c r="D1800" s="38">
        <f t="shared" si="96"/>
        <v>-7.0968972101325108E-3</v>
      </c>
      <c r="E1800" s="38">
        <f t="shared" si="97"/>
        <v>-2.3829745332396937E-3</v>
      </c>
    </row>
    <row r="1801" spans="1:5">
      <c r="A1801" s="35">
        <v>44980</v>
      </c>
      <c r="B1801" s="37">
        <v>1551.5</v>
      </c>
      <c r="C1801" s="37">
        <v>59463.93</v>
      </c>
      <c r="D1801" s="38">
        <f t="shared" si="96"/>
        <v>-3.2227396512566469E-5</v>
      </c>
      <c r="E1801" s="38">
        <f t="shared" si="97"/>
        <v>-2.9570822209760142E-3</v>
      </c>
    </row>
    <row r="1802" spans="1:5">
      <c r="A1802" s="35">
        <v>44981</v>
      </c>
      <c r="B1802" s="37">
        <v>1551.45</v>
      </c>
      <c r="C1802" s="37">
        <v>59288.35</v>
      </c>
      <c r="D1802" s="38">
        <f t="shared" si="96"/>
        <v>-2.7477756641154285E-2</v>
      </c>
      <c r="E1802" s="38">
        <f t="shared" si="97"/>
        <v>-5.5176242030985853E-3</v>
      </c>
    </row>
    <row r="1803" spans="1:5">
      <c r="A1803" s="35">
        <v>44984</v>
      </c>
      <c r="B1803" s="37">
        <v>1509.4</v>
      </c>
      <c r="C1803" s="37">
        <v>58962.12</v>
      </c>
      <c r="D1803" s="38">
        <f t="shared" si="96"/>
        <v>-1.4749825252215833E-2</v>
      </c>
      <c r="E1803" s="38">
        <f t="shared" si="97"/>
        <v>7.5855371448118377E-3</v>
      </c>
    </row>
    <row r="1804" spans="1:5">
      <c r="A1804" s="35">
        <v>44985</v>
      </c>
      <c r="B1804" s="37">
        <v>1487.3</v>
      </c>
      <c r="C1804" s="37">
        <v>59411.08</v>
      </c>
      <c r="D1804" s="38">
        <f t="shared" si="96"/>
        <v>6.266881550172956E-3</v>
      </c>
      <c r="E1804" s="38">
        <f t="shared" si="97"/>
        <v>-8.4809192678229183E-3</v>
      </c>
    </row>
    <row r="1805" spans="1:5">
      <c r="A1805" s="35">
        <v>44986</v>
      </c>
      <c r="B1805" s="37">
        <v>1496.65</v>
      </c>
      <c r="C1805" s="37">
        <v>58909.35</v>
      </c>
      <c r="D1805" s="38">
        <f t="shared" si="96"/>
        <v>-1.653932438475781E-2</v>
      </c>
      <c r="E1805" s="38">
        <f t="shared" si="97"/>
        <v>1.5155828015330539E-2</v>
      </c>
    </row>
    <row r="1806" spans="1:5">
      <c r="A1806" s="35">
        <v>44987</v>
      </c>
      <c r="B1806" s="37">
        <v>1472.1</v>
      </c>
      <c r="C1806" s="37">
        <v>59808.97</v>
      </c>
      <c r="D1806" s="38">
        <f t="shared" si="96"/>
        <v>5.2169907274831557E-3</v>
      </c>
      <c r="E1806" s="38">
        <f t="shared" si="97"/>
        <v>6.9229323769361807E-3</v>
      </c>
    </row>
    <row r="1807" spans="1:5">
      <c r="A1807" s="35">
        <v>44988</v>
      </c>
      <c r="B1807" s="37">
        <v>1479.8</v>
      </c>
      <c r="C1807" s="37">
        <v>60224.46</v>
      </c>
      <c r="D1807" s="38">
        <f t="shared" si="96"/>
        <v>1.8578873055714845E-2</v>
      </c>
      <c r="E1807" s="38">
        <f t="shared" si="97"/>
        <v>2.0507162422376641E-3</v>
      </c>
    </row>
    <row r="1808" spans="1:5">
      <c r="A1808" s="35">
        <v>44991</v>
      </c>
      <c r="B1808" s="37">
        <v>1507.55</v>
      </c>
      <c r="C1808" s="37">
        <v>60348.09</v>
      </c>
      <c r="D1808" s="38">
        <f t="shared" si="96"/>
        <v>-1.0033250280408211E-2</v>
      </c>
      <c r="E1808" s="38">
        <f t="shared" si="97"/>
        <v>-9.0186261617607767E-3</v>
      </c>
    </row>
    <row r="1809" spans="1:5">
      <c r="A1809" s="35">
        <v>44993</v>
      </c>
      <c r="B1809" s="37">
        <v>1492.5</v>
      </c>
      <c r="C1809" s="37">
        <v>59806.28</v>
      </c>
      <c r="D1809" s="38">
        <f t="shared" si="96"/>
        <v>-7.9038501096825881E-3</v>
      </c>
      <c r="E1809" s="38">
        <f t="shared" si="97"/>
        <v>-1.1285508104774833E-2</v>
      </c>
    </row>
    <row r="1810" spans="1:5">
      <c r="A1810" s="35">
        <v>44994</v>
      </c>
      <c r="B1810" s="37">
        <v>1480.75</v>
      </c>
      <c r="C1810" s="37">
        <v>59135.13</v>
      </c>
      <c r="D1810" s="38">
        <f t="shared" si="96"/>
        <v>-6.3683694786403214E-3</v>
      </c>
      <c r="E1810" s="38">
        <f t="shared" si="97"/>
        <v>-1.5289677062129931E-2</v>
      </c>
    </row>
    <row r="1811" spans="1:5">
      <c r="A1811" s="35">
        <v>44995</v>
      </c>
      <c r="B1811" s="37">
        <v>1471.35</v>
      </c>
      <c r="C1811" s="37">
        <v>58237.85</v>
      </c>
      <c r="D1811" s="38">
        <f t="shared" si="96"/>
        <v>-2.5154880020306802E-2</v>
      </c>
      <c r="E1811" s="38">
        <f t="shared" si="97"/>
        <v>-5.8148209047920495E-3</v>
      </c>
    </row>
    <row r="1812" spans="1:5">
      <c r="A1812" s="35">
        <v>44998</v>
      </c>
      <c r="B1812" s="37">
        <v>1434.8</v>
      </c>
      <c r="C1812" s="37">
        <v>57900.19</v>
      </c>
      <c r="D1812" s="38">
        <f t="shared" si="96"/>
        <v>-9.6294316916683605E-3</v>
      </c>
      <c r="E1812" s="38">
        <f t="shared" si="97"/>
        <v>-5.9640166320863346E-3</v>
      </c>
    </row>
    <row r="1813" spans="1:5">
      <c r="A1813" s="35">
        <v>44999</v>
      </c>
      <c r="B1813" s="37">
        <v>1421.05</v>
      </c>
      <c r="C1813" s="37">
        <v>57555.9</v>
      </c>
      <c r="D1813" s="38">
        <f t="shared" si="96"/>
        <v>-1.1970146479272276E-3</v>
      </c>
      <c r="E1813" s="38">
        <f t="shared" si="97"/>
        <v>1.3705964968646139E-3</v>
      </c>
    </row>
    <row r="1814" spans="1:5">
      <c r="A1814" s="35">
        <v>45000</v>
      </c>
      <c r="B1814" s="37">
        <v>1419.35</v>
      </c>
      <c r="C1814" s="37">
        <v>57634.84</v>
      </c>
      <c r="D1814" s="38">
        <f t="shared" si="96"/>
        <v>-9.3079895534708152E-3</v>
      </c>
      <c r="E1814" s="38">
        <f t="shared" si="97"/>
        <v>6.1416114934094513E-3</v>
      </c>
    </row>
    <row r="1815" spans="1:5">
      <c r="A1815" s="35">
        <v>45001</v>
      </c>
      <c r="B1815" s="37">
        <v>1406.2</v>
      </c>
      <c r="C1815" s="37">
        <v>57989.9</v>
      </c>
      <c r="D1815" s="38">
        <f t="shared" si="96"/>
        <v>1.0364253295081697E-2</v>
      </c>
      <c r="E1815" s="38">
        <f t="shared" si="97"/>
        <v>-6.2438118462718219E-3</v>
      </c>
    </row>
    <row r="1816" spans="1:5">
      <c r="A1816" s="35">
        <v>45002</v>
      </c>
      <c r="B1816" s="37">
        <v>1420.85</v>
      </c>
      <c r="C1816" s="37">
        <v>57628.95</v>
      </c>
      <c r="D1816" s="38">
        <f t="shared" si="96"/>
        <v>-1.2072438763821676E-2</v>
      </c>
      <c r="E1816" s="38">
        <f t="shared" si="97"/>
        <v>7.7047229197198903E-3</v>
      </c>
    </row>
    <row r="1817" spans="1:5">
      <c r="A1817" s="35">
        <v>45005</v>
      </c>
      <c r="B1817" s="37">
        <v>1403.8</v>
      </c>
      <c r="C1817" s="37">
        <v>58074.68</v>
      </c>
      <c r="D1817" s="38">
        <f t="shared" si="96"/>
        <v>-9.1239876558491251E-3</v>
      </c>
      <c r="E1817" s="38">
        <f t="shared" si="97"/>
        <v>2.4062420807453053E-3</v>
      </c>
    </row>
    <row r="1818" spans="1:5">
      <c r="A1818" s="35">
        <v>45006</v>
      </c>
      <c r="B1818" s="37">
        <v>1391.05</v>
      </c>
      <c r="C1818" s="37">
        <v>58214.59</v>
      </c>
      <c r="D1818" s="38">
        <f t="shared" si="96"/>
        <v>-1.1508722723257668E-3</v>
      </c>
      <c r="E1818" s="38">
        <f t="shared" si="97"/>
        <v>-4.9821064621934441E-3</v>
      </c>
    </row>
    <row r="1819" spans="1:5">
      <c r="A1819" s="35">
        <v>45007</v>
      </c>
      <c r="B1819" s="37">
        <v>1389.45</v>
      </c>
      <c r="C1819" s="37">
        <v>57925.279999999999</v>
      </c>
      <c r="D1819" s="38">
        <f t="shared" si="96"/>
        <v>-1.0817956762845856E-2</v>
      </c>
      <c r="E1819" s="38">
        <f t="shared" si="97"/>
        <v>-6.8977630214939866E-3</v>
      </c>
    </row>
    <row r="1820" spans="1:5">
      <c r="A1820" s="35">
        <v>45008</v>
      </c>
      <c r="B1820" s="37">
        <v>1374.5</v>
      </c>
      <c r="C1820" s="37">
        <v>57527.1</v>
      </c>
      <c r="D1820" s="38">
        <f t="shared" si="96"/>
        <v>4.3195043476752359E-3</v>
      </c>
      <c r="E1820" s="38">
        <f t="shared" si="97"/>
        <v>2.2010591190725834E-3</v>
      </c>
    </row>
    <row r="1821" spans="1:5">
      <c r="A1821" s="35">
        <v>45009</v>
      </c>
      <c r="B1821" s="37">
        <v>1380.45</v>
      </c>
      <c r="C1821" s="37">
        <v>57653.86</v>
      </c>
      <c r="D1821" s="38">
        <f t="shared" si="96"/>
        <v>6.1025339691976876E-3</v>
      </c>
      <c r="E1821" s="38">
        <f t="shared" si="97"/>
        <v>-6.9646645869621889E-4</v>
      </c>
    </row>
    <row r="1822" spans="1:5">
      <c r="A1822" s="35">
        <v>45012</v>
      </c>
      <c r="B1822" s="37">
        <v>1388.9</v>
      </c>
      <c r="C1822" s="37">
        <v>57613.72</v>
      </c>
      <c r="D1822" s="38">
        <f t="shared" si="96"/>
        <v>-8.3144028115754286E-3</v>
      </c>
      <c r="E1822" s="38">
        <f t="shared" si="97"/>
        <v>5.993936463809804E-3</v>
      </c>
    </row>
    <row r="1823" spans="1:5">
      <c r="A1823" s="35">
        <v>45013</v>
      </c>
      <c r="B1823" s="37">
        <v>1377.4</v>
      </c>
      <c r="C1823" s="37">
        <v>57960.09</v>
      </c>
      <c r="D1823" s="38">
        <f t="shared" si="96"/>
        <v>4.4188561163827399E-3</v>
      </c>
      <c r="E1823" s="38">
        <f t="shared" si="97"/>
        <v>1.763903451587736E-2</v>
      </c>
    </row>
    <row r="1824" spans="1:5">
      <c r="A1824" s="35">
        <v>45014</v>
      </c>
      <c r="B1824" s="37">
        <v>1383.5</v>
      </c>
      <c r="C1824" s="37">
        <v>58991.519999999997</v>
      </c>
      <c r="D1824" s="38">
        <f t="shared" si="96"/>
        <v>3.1448237568193871E-2</v>
      </c>
      <c r="E1824" s="38">
        <f t="shared" si="97"/>
        <v>1.9461815644029961E-3</v>
      </c>
    </row>
    <row r="1825" spans="1:5">
      <c r="A1825" s="35">
        <v>45016</v>
      </c>
      <c r="B1825" s="37">
        <v>1427.7</v>
      </c>
      <c r="C1825" s="37">
        <v>59106.44</v>
      </c>
      <c r="D1825" s="38">
        <f t="shared" si="96"/>
        <v>-1.1801521431316873E-2</v>
      </c>
      <c r="E1825" s="38">
        <f t="shared" si="97"/>
        <v>9.8130560619098701E-3</v>
      </c>
    </row>
    <row r="1826" spans="1:5">
      <c r="A1826" s="35">
        <v>45019</v>
      </c>
      <c r="B1826" s="37">
        <v>1410.95</v>
      </c>
      <c r="C1826" s="37">
        <v>59689.31</v>
      </c>
      <c r="D1826" s="38">
        <f t="shared" si="96"/>
        <v>8.7500117240194401E-3</v>
      </c>
      <c r="E1826" s="38">
        <f t="shared" si="97"/>
        <v>2.4039044298910413E-3</v>
      </c>
    </row>
    <row r="1827" spans="1:5">
      <c r="A1827" s="35">
        <v>45021</v>
      </c>
      <c r="B1827" s="37">
        <v>1423.35</v>
      </c>
      <c r="C1827" s="37">
        <v>59832.97</v>
      </c>
      <c r="D1827" s="38">
        <f t="shared" si="96"/>
        <v>-8.785957092266347E-4</v>
      </c>
      <c r="E1827" s="38">
        <f t="shared" si="97"/>
        <v>2.2627103757079853E-4</v>
      </c>
    </row>
    <row r="1828" spans="1:5">
      <c r="A1828" s="35">
        <v>45022</v>
      </c>
      <c r="B1828" s="37">
        <v>1422.1</v>
      </c>
      <c r="C1828" s="37">
        <v>59846.51</v>
      </c>
      <c r="D1828" s="38">
        <f t="shared" si="96"/>
        <v>3.6498952570722847E-3</v>
      </c>
      <c r="E1828" s="38">
        <f t="shared" si="97"/>
        <v>5.1866621312722542E-3</v>
      </c>
    </row>
    <row r="1829" spans="1:5">
      <c r="A1829" s="35">
        <v>45026</v>
      </c>
      <c r="B1829" s="37">
        <v>1427.3</v>
      </c>
      <c r="C1829" s="37">
        <v>60157.72</v>
      </c>
      <c r="D1829" s="38">
        <f t="shared" si="96"/>
        <v>-1.428923355004307E-2</v>
      </c>
      <c r="E1829" s="38">
        <f t="shared" si="97"/>
        <v>3.8996158019283132E-3</v>
      </c>
    </row>
    <row r="1830" spans="1:5">
      <c r="A1830" s="35">
        <v>45027</v>
      </c>
      <c r="B1830" s="37">
        <v>1407.05</v>
      </c>
      <c r="C1830" s="37">
        <v>60392.77</v>
      </c>
      <c r="D1830" s="38">
        <f t="shared" si="96"/>
        <v>1.5094626222485107E-2</v>
      </c>
      <c r="E1830" s="38">
        <f t="shared" si="97"/>
        <v>6.3282251953927597E-4</v>
      </c>
    </row>
    <row r="1831" spans="1:5">
      <c r="A1831" s="35">
        <v>45028</v>
      </c>
      <c r="B1831" s="37">
        <v>1428.45</v>
      </c>
      <c r="C1831" s="37">
        <v>60431</v>
      </c>
      <c r="D1831" s="38">
        <f t="shared" si="96"/>
        <v>-2.8293894988991757E-2</v>
      </c>
      <c r="E1831" s="38">
        <f t="shared" si="97"/>
        <v>-8.6462635130574259E-3</v>
      </c>
    </row>
    <row r="1832" spans="1:5">
      <c r="A1832" s="35">
        <v>45029</v>
      </c>
      <c r="B1832" s="37">
        <v>1388.6</v>
      </c>
      <c r="C1832" s="37">
        <v>59910.75</v>
      </c>
      <c r="D1832" s="38">
        <f t="shared" si="96"/>
        <v>-9.8693398962087842E-2</v>
      </c>
      <c r="E1832" s="38">
        <f t="shared" si="97"/>
        <v>-3.0716079014202324E-3</v>
      </c>
    </row>
    <row r="1833" spans="1:5">
      <c r="A1833" s="35">
        <v>45033</v>
      </c>
      <c r="B1833" s="37">
        <v>1258.0999999999999</v>
      </c>
      <c r="C1833" s="37">
        <v>59727.01</v>
      </c>
      <c r="D1833" s="38">
        <f t="shared" si="96"/>
        <v>2.2627587511310897E-3</v>
      </c>
      <c r="E1833" s="38">
        <f t="shared" si="97"/>
        <v>-2.6691872768831904E-3</v>
      </c>
    </row>
    <row r="1834" spans="1:5">
      <c r="A1834" s="35">
        <v>45034</v>
      </c>
      <c r="B1834" s="37">
        <v>1260.95</v>
      </c>
      <c r="C1834" s="37">
        <v>59567.8</v>
      </c>
      <c r="D1834" s="38">
        <f t="shared" si="96"/>
        <v>-2.3064215527745804E-2</v>
      </c>
      <c r="E1834" s="38">
        <f t="shared" si="97"/>
        <v>1.0830524342423486E-3</v>
      </c>
    </row>
    <row r="1835" spans="1:5">
      <c r="A1835" s="35">
        <v>45035</v>
      </c>
      <c r="B1835" s="37">
        <v>1232.2</v>
      </c>
      <c r="C1835" s="37">
        <v>59632.35</v>
      </c>
      <c r="D1835" s="38">
        <f t="shared" si="96"/>
        <v>-6.7995620375515672E-3</v>
      </c>
      <c r="E1835" s="38">
        <f t="shared" si="97"/>
        <v>3.8076105893103802E-4</v>
      </c>
    </row>
    <row r="1836" spans="1:5">
      <c r="A1836" s="35">
        <v>45036</v>
      </c>
      <c r="B1836" s="37">
        <v>1223.8499999999999</v>
      </c>
      <c r="C1836" s="37">
        <v>59655.06</v>
      </c>
      <c r="D1836" s="38">
        <f t="shared" si="96"/>
        <v>2.9372190985816442E-3</v>
      </c>
      <c r="E1836" s="38">
        <f t="shared" si="97"/>
        <v>6.7001522713650841E-3</v>
      </c>
    </row>
    <row r="1837" spans="1:5">
      <c r="A1837" s="35">
        <v>45037</v>
      </c>
      <c r="B1837" s="37">
        <v>1227.45</v>
      </c>
      <c r="C1837" s="37">
        <v>60056.1</v>
      </c>
      <c r="D1837" s="38">
        <f t="shared" si="96"/>
        <v>-9.3734087352017562E-4</v>
      </c>
      <c r="E1837" s="38">
        <f t="shared" si="97"/>
        <v>1.241567349765141E-3</v>
      </c>
    </row>
    <row r="1838" spans="1:5">
      <c r="A1838" s="35">
        <v>45040</v>
      </c>
      <c r="B1838" s="37">
        <v>1226.3</v>
      </c>
      <c r="C1838" s="37">
        <v>60130.71</v>
      </c>
      <c r="D1838" s="38">
        <f t="shared" si="96"/>
        <v>-1.4280762163434528E-3</v>
      </c>
      <c r="E1838" s="38">
        <f t="shared" si="97"/>
        <v>2.821029529037569E-3</v>
      </c>
    </row>
    <row r="1839" spans="1:5">
      <c r="A1839" s="35">
        <v>45041</v>
      </c>
      <c r="B1839" s="37">
        <v>1224.55</v>
      </c>
      <c r="C1839" s="37">
        <v>60300.58</v>
      </c>
      <c r="D1839" s="38">
        <f t="shared" si="96"/>
        <v>2.406151117038801E-3</v>
      </c>
      <c r="E1839" s="38">
        <f t="shared" si="97"/>
        <v>5.7676904885056602E-3</v>
      </c>
    </row>
    <row r="1840" spans="1:5">
      <c r="A1840" s="35">
        <v>45042</v>
      </c>
      <c r="B1840" s="37">
        <v>1227.5</v>
      </c>
      <c r="C1840" s="37">
        <v>60649.38</v>
      </c>
      <c r="D1840" s="38">
        <f t="shared" si="96"/>
        <v>1.5400154804940157E-2</v>
      </c>
      <c r="E1840" s="38">
        <f t="shared" si="97"/>
        <v>7.6060333592288124E-3</v>
      </c>
    </row>
    <row r="1841" spans="1:5">
      <c r="A1841" s="35">
        <v>45043</v>
      </c>
      <c r="B1841" s="37">
        <v>1246.55</v>
      </c>
      <c r="C1841" s="37">
        <v>61112.44</v>
      </c>
      <c r="D1841" s="38">
        <f t="shared" si="96"/>
        <v>4.8017378482963276E-3</v>
      </c>
      <c r="E1841" s="38">
        <f t="shared" si="97"/>
        <v>3.9564947177770822E-3</v>
      </c>
    </row>
    <row r="1842" spans="1:5">
      <c r="A1842" s="35">
        <v>45044</v>
      </c>
      <c r="B1842" s="37">
        <v>1252.55</v>
      </c>
      <c r="C1842" s="37">
        <v>61354.71</v>
      </c>
      <c r="D1842" s="38">
        <f t="shared" si="96"/>
        <v>1.984097969287665E-2</v>
      </c>
      <c r="E1842" s="38">
        <f t="shared" si="97"/>
        <v>-2.6342344251512107E-3</v>
      </c>
    </row>
    <row r="1843" spans="1:5">
      <c r="A1843" s="35">
        <v>45048</v>
      </c>
      <c r="B1843" s="37">
        <v>1277.6500000000001</v>
      </c>
      <c r="C1843" s="37">
        <v>61193.3</v>
      </c>
      <c r="D1843" s="38">
        <f t="shared" si="96"/>
        <v>-6.5174946057427159E-3</v>
      </c>
      <c r="E1843" s="38">
        <f t="shared" si="97"/>
        <v>9.0441232842987957E-3</v>
      </c>
    </row>
    <row r="1844" spans="1:5">
      <c r="A1844" s="35">
        <v>45049</v>
      </c>
      <c r="B1844" s="37">
        <v>1269.3499999999999</v>
      </c>
      <c r="C1844" s="37">
        <v>61749.25</v>
      </c>
      <c r="D1844" s="38">
        <f t="shared" si="96"/>
        <v>3.3033181164561576E-3</v>
      </c>
      <c r="E1844" s="38">
        <f t="shared" si="97"/>
        <v>-1.1318361327194357E-2</v>
      </c>
    </row>
    <row r="1845" spans="1:5">
      <c r="A1845" s="35">
        <v>45050</v>
      </c>
      <c r="B1845" s="37">
        <v>1273.55</v>
      </c>
      <c r="C1845" s="37">
        <v>61054.29</v>
      </c>
      <c r="D1845" s="38">
        <f t="shared" si="96"/>
        <v>-1.1450808210960438E-2</v>
      </c>
      <c r="E1845" s="38">
        <f t="shared" si="97"/>
        <v>1.1561249757588515E-2</v>
      </c>
    </row>
    <row r="1846" spans="1:5">
      <c r="A1846" s="35">
        <v>45051</v>
      </c>
      <c r="B1846" s="37">
        <v>1259.05</v>
      </c>
      <c r="C1846" s="37">
        <v>61764.25</v>
      </c>
      <c r="D1846" s="38">
        <f t="shared" si="96"/>
        <v>5.7023082483515838E-3</v>
      </c>
      <c r="E1846" s="38">
        <f t="shared" si="97"/>
        <v>-4.7277656992860826E-5</v>
      </c>
    </row>
    <row r="1847" spans="1:5">
      <c r="A1847" s="35">
        <v>45054</v>
      </c>
      <c r="B1847" s="37">
        <v>1266.25</v>
      </c>
      <c r="C1847" s="37">
        <v>61761.33</v>
      </c>
      <c r="D1847" s="38">
        <f t="shared" si="96"/>
        <v>3.4294532695396526E-3</v>
      </c>
      <c r="E1847" s="38">
        <f t="shared" si="97"/>
        <v>2.8919630123275591E-3</v>
      </c>
    </row>
    <row r="1848" spans="1:5">
      <c r="A1848" s="35">
        <v>45055</v>
      </c>
      <c r="B1848" s="37">
        <v>1270.5999999999999</v>
      </c>
      <c r="C1848" s="37">
        <v>61940.2</v>
      </c>
      <c r="D1848" s="38">
        <f t="shared" si="96"/>
        <v>-5.9202130525033156E-3</v>
      </c>
      <c r="E1848" s="38">
        <f t="shared" si="97"/>
        <v>-5.7620544480511992E-4</v>
      </c>
    </row>
    <row r="1849" spans="1:5">
      <c r="A1849" s="35">
        <v>45056</v>
      </c>
      <c r="B1849" s="37">
        <v>1263.0999999999999</v>
      </c>
      <c r="C1849" s="37">
        <v>61904.52</v>
      </c>
      <c r="D1849" s="38">
        <f t="shared" si="96"/>
        <v>-5.5573340867221743E-3</v>
      </c>
      <c r="E1849" s="38">
        <f t="shared" si="97"/>
        <v>1.9910857991940786E-3</v>
      </c>
    </row>
    <row r="1850" spans="1:5">
      <c r="A1850" s="35">
        <v>45057</v>
      </c>
      <c r="B1850" s="37">
        <v>1256.0999999999999</v>
      </c>
      <c r="C1850" s="37">
        <v>62027.9</v>
      </c>
      <c r="D1850" s="38">
        <f t="shared" si="96"/>
        <v>-8.4344832764689029E-3</v>
      </c>
      <c r="E1850" s="38">
        <f t="shared" si="97"/>
        <v>5.1105808010898758E-3</v>
      </c>
    </row>
    <row r="1851" spans="1:5">
      <c r="A1851" s="35">
        <v>45058</v>
      </c>
      <c r="B1851" s="37">
        <v>1245.55</v>
      </c>
      <c r="C1851" s="37">
        <v>62345.71</v>
      </c>
      <c r="D1851" s="38">
        <f t="shared" si="96"/>
        <v>1.0541965616033672E-2</v>
      </c>
      <c r="E1851" s="38">
        <f t="shared" si="97"/>
        <v>-6.6502667322057198E-3</v>
      </c>
    </row>
    <row r="1852" spans="1:5">
      <c r="A1852" s="35">
        <v>45061</v>
      </c>
      <c r="B1852" s="37">
        <v>1258.75</v>
      </c>
      <c r="C1852" s="37">
        <v>61932.47</v>
      </c>
      <c r="D1852" s="38">
        <f t="shared" si="96"/>
        <v>4.2807945192742166E-3</v>
      </c>
      <c r="E1852" s="38">
        <f t="shared" si="97"/>
        <v>-6.0218926164302498E-3</v>
      </c>
    </row>
    <row r="1853" spans="1:5">
      <c r="A1853" s="35">
        <v>45062</v>
      </c>
      <c r="B1853" s="37">
        <v>1264.1500000000001</v>
      </c>
      <c r="C1853" s="37">
        <v>61560.639999999999</v>
      </c>
      <c r="D1853" s="38">
        <f t="shared" si="96"/>
        <v>-1.3298491889924095E-2</v>
      </c>
      <c r="E1853" s="38">
        <f t="shared" si="97"/>
        <v>-2.0960655805410716E-3</v>
      </c>
    </row>
    <row r="1854" spans="1:5">
      <c r="A1854" s="35">
        <v>45063</v>
      </c>
      <c r="B1854" s="37">
        <v>1247.45</v>
      </c>
      <c r="C1854" s="37">
        <v>61431.74</v>
      </c>
      <c r="D1854" s="38">
        <f t="shared" si="96"/>
        <v>-1.2433073573043648E-3</v>
      </c>
      <c r="E1854" s="38">
        <f t="shared" si="97"/>
        <v>4.8382128297795052E-3</v>
      </c>
    </row>
    <row r="1855" spans="1:5">
      <c r="A1855" s="35">
        <v>45064</v>
      </c>
      <c r="B1855" s="37">
        <v>1245.9000000000001</v>
      </c>
      <c r="C1855" s="37">
        <v>61729.68</v>
      </c>
      <c r="D1855" s="38">
        <f t="shared" si="96"/>
        <v>1.8252818113315587E-2</v>
      </c>
      <c r="E1855" s="38">
        <f t="shared" si="97"/>
        <v>3.7835544146908877E-3</v>
      </c>
    </row>
    <row r="1856" spans="1:5">
      <c r="A1856" s="35">
        <v>45065</v>
      </c>
      <c r="B1856" s="37">
        <v>1268.8499999999999</v>
      </c>
      <c r="C1856" s="37">
        <v>61963.68</v>
      </c>
      <c r="D1856" s="38">
        <f t="shared" si="96"/>
        <v>1.8892790366315818E-2</v>
      </c>
      <c r="E1856" s="38">
        <f t="shared" si="97"/>
        <v>2.9222528469776765E-4</v>
      </c>
    </row>
    <row r="1857" spans="1:5">
      <c r="A1857" s="35">
        <v>45068</v>
      </c>
      <c r="B1857" s="37">
        <v>1293.05</v>
      </c>
      <c r="C1857" s="37">
        <v>61981.79</v>
      </c>
      <c r="D1857" s="38">
        <f t="shared" si="96"/>
        <v>5.0527560104961806E-3</v>
      </c>
      <c r="E1857" s="38">
        <f t="shared" si="97"/>
        <v>-3.3616296363169402E-3</v>
      </c>
    </row>
    <row r="1858" spans="1:5">
      <c r="A1858" s="35">
        <v>45069</v>
      </c>
      <c r="B1858" s="37">
        <v>1299.5999999999999</v>
      </c>
      <c r="C1858" s="37">
        <v>61773.78</v>
      </c>
      <c r="D1858" s="38">
        <f t="shared" si="96"/>
        <v>-8.8527940194095057E-4</v>
      </c>
      <c r="E1858" s="38">
        <f t="shared" si="97"/>
        <v>1.598752912385734E-3</v>
      </c>
    </row>
    <row r="1859" spans="1:5">
      <c r="A1859" s="35">
        <v>45070</v>
      </c>
      <c r="B1859" s="37">
        <v>1298.45</v>
      </c>
      <c r="C1859" s="37">
        <v>61872.62</v>
      </c>
      <c r="D1859" s="38">
        <f t="shared" si="96"/>
        <v>4.6485801837789706E-3</v>
      </c>
      <c r="E1859" s="38">
        <f t="shared" si="97"/>
        <v>1.0115840874175455E-2</v>
      </c>
    </row>
    <row r="1860" spans="1:5">
      <c r="A1860" s="35">
        <v>45071</v>
      </c>
      <c r="B1860" s="37">
        <v>1304.5</v>
      </c>
      <c r="C1860" s="37">
        <v>62501.69</v>
      </c>
      <c r="D1860" s="38">
        <f t="shared" si="96"/>
        <v>9.7643616589982458E-3</v>
      </c>
      <c r="E1860" s="38">
        <f t="shared" si="97"/>
        <v>5.4997395464214949E-3</v>
      </c>
    </row>
    <row r="1861" spans="1:5">
      <c r="A1861" s="35">
        <v>45072</v>
      </c>
      <c r="B1861" s="37">
        <v>1317.3</v>
      </c>
      <c r="C1861" s="37">
        <v>62846.38</v>
      </c>
      <c r="D1861" s="38">
        <f t="shared" ref="D1861:D1924" si="98">LN(B1862/B1861)</f>
        <v>-2.2799827478190218E-3</v>
      </c>
      <c r="E1861" s="38">
        <f t="shared" ref="E1861:E1924" si="99">LN(C1862/C1861)</f>
        <v>1.9512703790986754E-3</v>
      </c>
    </row>
    <row r="1862" spans="1:5">
      <c r="A1862" s="35">
        <v>45075</v>
      </c>
      <c r="B1862" s="37">
        <v>1314.3</v>
      </c>
      <c r="C1862" s="37">
        <v>62969.13</v>
      </c>
      <c r="D1862" s="38">
        <f t="shared" si="98"/>
        <v>6.5220919803720603E-3</v>
      </c>
      <c r="E1862" s="38">
        <f t="shared" si="99"/>
        <v>-5.5241197247532341E-3</v>
      </c>
    </row>
    <row r="1863" spans="1:5">
      <c r="A1863" s="35">
        <v>45076</v>
      </c>
      <c r="B1863" s="37">
        <v>1322.9</v>
      </c>
      <c r="C1863" s="37">
        <v>62622.239999999998</v>
      </c>
      <c r="D1863" s="38">
        <f t="shared" si="98"/>
        <v>-6.0491495228353785E-4</v>
      </c>
      <c r="E1863" s="38">
        <f t="shared" si="99"/>
        <v>-3.0979439698927353E-3</v>
      </c>
    </row>
    <row r="1864" spans="1:5">
      <c r="A1864" s="35">
        <v>45077</v>
      </c>
      <c r="B1864" s="37">
        <v>1322.1</v>
      </c>
      <c r="C1864" s="37">
        <v>62428.54</v>
      </c>
      <c r="D1864" s="38">
        <f t="shared" si="98"/>
        <v>-2.0063984319767551E-3</v>
      </c>
      <c r="E1864" s="38">
        <f t="shared" si="99"/>
        <v>1.8974902003012141E-3</v>
      </c>
    </row>
    <row r="1865" spans="1:5">
      <c r="A1865" s="35">
        <v>45078</v>
      </c>
      <c r="B1865" s="37">
        <v>1319.45</v>
      </c>
      <c r="C1865" s="37">
        <v>62547.11</v>
      </c>
      <c r="D1865" s="38">
        <f t="shared" si="98"/>
        <v>-1.5889719747675037E-2</v>
      </c>
      <c r="E1865" s="38">
        <f t="shared" si="99"/>
        <v>3.8354984659817494E-3</v>
      </c>
    </row>
    <row r="1866" spans="1:5">
      <c r="A1866" s="35">
        <v>45079</v>
      </c>
      <c r="B1866" s="37">
        <v>1298.6500000000001</v>
      </c>
      <c r="C1866" s="37">
        <v>62787.47</v>
      </c>
      <c r="D1866" s="38">
        <f t="shared" si="98"/>
        <v>4.8394625101427155E-3</v>
      </c>
      <c r="E1866" s="38">
        <f t="shared" si="99"/>
        <v>8.6159976514601697E-5</v>
      </c>
    </row>
    <row r="1867" spans="1:5">
      <c r="A1867" s="35">
        <v>45082</v>
      </c>
      <c r="B1867" s="37">
        <v>1304.95</v>
      </c>
      <c r="C1867" s="37">
        <v>62792.88</v>
      </c>
      <c r="D1867" s="38">
        <f t="shared" si="98"/>
        <v>-2.0008020241194448E-2</v>
      </c>
      <c r="E1867" s="38">
        <f t="shared" si="99"/>
        <v>5.5596707298809379E-3</v>
      </c>
    </row>
    <row r="1868" spans="1:5">
      <c r="A1868" s="35">
        <v>45083</v>
      </c>
      <c r="B1868" s="37">
        <v>1279.0999999999999</v>
      </c>
      <c r="C1868" s="37">
        <v>63142.96</v>
      </c>
      <c r="D1868" s="38">
        <f t="shared" si="98"/>
        <v>7.7100183338400137E-3</v>
      </c>
      <c r="E1868" s="38">
        <f t="shared" si="99"/>
        <v>-4.672066000793812E-3</v>
      </c>
    </row>
    <row r="1869" spans="1:5">
      <c r="A1869" s="35">
        <v>45084</v>
      </c>
      <c r="B1869" s="37">
        <v>1289</v>
      </c>
      <c r="C1869" s="37">
        <v>62848.639999999999</v>
      </c>
      <c r="D1869" s="38">
        <f t="shared" si="98"/>
        <v>-4.5876990382148191E-3</v>
      </c>
      <c r="E1869" s="38">
        <f t="shared" si="99"/>
        <v>-3.554676744872096E-3</v>
      </c>
    </row>
    <row r="1870" spans="1:5">
      <c r="A1870" s="35">
        <v>45085</v>
      </c>
      <c r="B1870" s="37">
        <v>1283.0999999999999</v>
      </c>
      <c r="C1870" s="37">
        <v>62625.63</v>
      </c>
      <c r="D1870" s="38">
        <f t="shared" si="98"/>
        <v>-1.341670119685107E-2</v>
      </c>
      <c r="E1870" s="38">
        <f t="shared" si="99"/>
        <v>1.5808496512114438E-3</v>
      </c>
    </row>
    <row r="1871" spans="1:5">
      <c r="A1871" s="35">
        <v>45086</v>
      </c>
      <c r="B1871" s="37">
        <v>1266</v>
      </c>
      <c r="C1871" s="37">
        <v>62724.71</v>
      </c>
      <c r="D1871" s="38">
        <f t="shared" si="98"/>
        <v>2.0251679262134049E-2</v>
      </c>
      <c r="E1871" s="38">
        <f t="shared" si="99"/>
        <v>6.6490605050932546E-3</v>
      </c>
    </row>
    <row r="1872" spans="1:5">
      <c r="A1872" s="35">
        <v>45089</v>
      </c>
      <c r="B1872" s="37">
        <v>1291.9000000000001</v>
      </c>
      <c r="C1872" s="37">
        <v>63143.16</v>
      </c>
      <c r="D1872" s="38">
        <f t="shared" si="98"/>
        <v>1.0357201065269462E-2</v>
      </c>
      <c r="E1872" s="38">
        <f t="shared" si="99"/>
        <v>1.3507776383340519E-3</v>
      </c>
    </row>
    <row r="1873" spans="1:5">
      <c r="A1873" s="35">
        <v>45090</v>
      </c>
      <c r="B1873" s="37">
        <v>1305.3499999999999</v>
      </c>
      <c r="C1873" s="37">
        <v>63228.51</v>
      </c>
      <c r="D1873" s="38">
        <f t="shared" si="98"/>
        <v>-2.992176545775365E-3</v>
      </c>
      <c r="E1873" s="38">
        <f t="shared" si="99"/>
        <v>-4.9288964272205275E-3</v>
      </c>
    </row>
    <row r="1874" spans="1:5">
      <c r="A1874" s="35">
        <v>45091</v>
      </c>
      <c r="B1874" s="37">
        <v>1301.45</v>
      </c>
      <c r="C1874" s="37">
        <v>62917.63</v>
      </c>
      <c r="D1874" s="38">
        <f t="shared" si="98"/>
        <v>-1.1359367952885703E-2</v>
      </c>
      <c r="E1874" s="38">
        <f t="shared" si="99"/>
        <v>7.394203593265568E-3</v>
      </c>
    </row>
    <row r="1875" spans="1:5">
      <c r="A1875" s="35">
        <v>45092</v>
      </c>
      <c r="B1875" s="37">
        <v>1286.75</v>
      </c>
      <c r="C1875" s="37">
        <v>63384.58</v>
      </c>
      <c r="D1875" s="38">
        <f t="shared" si="98"/>
        <v>4.5747152745648717E-3</v>
      </c>
      <c r="E1875" s="38">
        <f t="shared" si="99"/>
        <v>-3.41802115549155E-3</v>
      </c>
    </row>
    <row r="1876" spans="1:5">
      <c r="A1876" s="35">
        <v>45093</v>
      </c>
      <c r="B1876" s="37">
        <v>1292.6500000000001</v>
      </c>
      <c r="C1876" s="37">
        <v>63168.3</v>
      </c>
      <c r="D1876" s="38">
        <f t="shared" si="98"/>
        <v>2.0093518874689741E-3</v>
      </c>
      <c r="E1876" s="38">
        <f t="shared" si="99"/>
        <v>2.5202391280431048E-3</v>
      </c>
    </row>
    <row r="1877" spans="1:5">
      <c r="A1877" s="35">
        <v>45096</v>
      </c>
      <c r="B1877" s="37">
        <v>1295.25</v>
      </c>
      <c r="C1877" s="37">
        <v>63327.7</v>
      </c>
      <c r="D1877" s="38">
        <f t="shared" si="98"/>
        <v>6.0806837605236639E-3</v>
      </c>
      <c r="E1877" s="38">
        <f t="shared" si="99"/>
        <v>3.0815742215002549E-3</v>
      </c>
    </row>
    <row r="1878" spans="1:5">
      <c r="A1878" s="35">
        <v>45097</v>
      </c>
      <c r="B1878" s="37">
        <v>1303.1500000000001</v>
      </c>
      <c r="C1878" s="37">
        <v>63523.15</v>
      </c>
      <c r="D1878" s="38">
        <f t="shared" si="98"/>
        <v>-1.3438023945377023E-3</v>
      </c>
      <c r="E1878" s="38">
        <f t="shared" si="99"/>
        <v>-4.484946384337195E-3</v>
      </c>
    </row>
    <row r="1879" spans="1:5">
      <c r="A1879" s="35">
        <v>45098</v>
      </c>
      <c r="B1879" s="37">
        <v>1301.4000000000001</v>
      </c>
      <c r="C1879" s="37">
        <v>63238.89</v>
      </c>
      <c r="D1879" s="38">
        <f t="shared" si="98"/>
        <v>-1.4551340346121284E-2</v>
      </c>
      <c r="E1879" s="38">
        <f t="shared" si="99"/>
        <v>-4.1122475578314879E-3</v>
      </c>
    </row>
    <row r="1880" spans="1:5">
      <c r="A1880" s="35">
        <v>45099</v>
      </c>
      <c r="B1880" s="37">
        <v>1282.5999999999999</v>
      </c>
      <c r="C1880" s="37">
        <v>62979.37</v>
      </c>
      <c r="D1880" s="38">
        <f t="shared" si="98"/>
        <v>-1.3303443528528329E-2</v>
      </c>
      <c r="E1880" s="38">
        <f t="shared" si="99"/>
        <v>-1.4878994658388799E-4</v>
      </c>
    </row>
    <row r="1881" spans="1:5">
      <c r="A1881" s="35">
        <v>45100</v>
      </c>
      <c r="B1881" s="37">
        <v>1265.6500000000001</v>
      </c>
      <c r="C1881" s="37">
        <v>62970</v>
      </c>
      <c r="D1881" s="38">
        <f t="shared" si="98"/>
        <v>3.7459873066372231E-3</v>
      </c>
      <c r="E1881" s="38">
        <f t="shared" si="99"/>
        <v>7.0582461008253687E-3</v>
      </c>
    </row>
    <row r="1882" spans="1:5">
      <c r="A1882" s="35">
        <v>45103</v>
      </c>
      <c r="B1882" s="37">
        <v>1270.4000000000001</v>
      </c>
      <c r="C1882" s="37">
        <v>63416.03</v>
      </c>
      <c r="D1882" s="38">
        <f t="shared" si="98"/>
        <v>6.7076172803799908E-3</v>
      </c>
      <c r="E1882" s="38">
        <f t="shared" si="99"/>
        <v>7.8439782243291886E-3</v>
      </c>
    </row>
    <row r="1883" spans="1:5">
      <c r="A1883" s="35">
        <v>45104</v>
      </c>
      <c r="B1883" s="37">
        <v>1278.95</v>
      </c>
      <c r="C1883" s="37">
        <v>63915.42</v>
      </c>
      <c r="D1883" s="38">
        <f t="shared" si="98"/>
        <v>1.1428251567049515E-2</v>
      </c>
      <c r="E1883" s="38">
        <f t="shared" si="99"/>
        <v>1.2487375985925612E-2</v>
      </c>
    </row>
    <row r="1884" spans="1:5">
      <c r="A1884" s="35">
        <v>45105</v>
      </c>
      <c r="B1884" s="37">
        <v>1293.6500000000001</v>
      </c>
      <c r="C1884" s="37">
        <v>64718.559999999998</v>
      </c>
      <c r="D1884" s="38">
        <f t="shared" si="98"/>
        <v>3.1613413007324544E-2</v>
      </c>
      <c r="E1884" s="38">
        <f t="shared" si="99"/>
        <v>7.4888971092005371E-3</v>
      </c>
    </row>
    <row r="1885" spans="1:5">
      <c r="A1885" s="35">
        <v>45107</v>
      </c>
      <c r="B1885" s="37">
        <v>1335.2</v>
      </c>
      <c r="C1885" s="37">
        <v>65205.05</v>
      </c>
      <c r="D1885" s="38">
        <f t="shared" si="98"/>
        <v>-1.4990259140407506E-3</v>
      </c>
      <c r="E1885" s="38">
        <f t="shared" si="99"/>
        <v>4.1933242299635404E-3</v>
      </c>
    </row>
    <row r="1886" spans="1:5">
      <c r="A1886" s="35">
        <v>45110</v>
      </c>
      <c r="B1886" s="37">
        <v>1333.2</v>
      </c>
      <c r="C1886" s="37">
        <v>65479.05</v>
      </c>
      <c r="D1886" s="38">
        <f t="shared" si="98"/>
        <v>8.6632356608211253E-3</v>
      </c>
      <c r="E1886" s="38">
        <f t="shared" si="99"/>
        <v>-5.0425782712039109E-4</v>
      </c>
    </row>
    <row r="1887" spans="1:5">
      <c r="A1887" s="35">
        <v>45111</v>
      </c>
      <c r="B1887" s="37">
        <v>1344.8</v>
      </c>
      <c r="C1887" s="37">
        <v>65446.04</v>
      </c>
      <c r="D1887" s="38">
        <f t="shared" si="98"/>
        <v>1.3375940167745601E-3</v>
      </c>
      <c r="E1887" s="38">
        <f t="shared" si="99"/>
        <v>5.1755911082521965E-3</v>
      </c>
    </row>
    <row r="1888" spans="1:5">
      <c r="A1888" s="35">
        <v>45112</v>
      </c>
      <c r="B1888" s="37">
        <v>1346.6</v>
      </c>
      <c r="C1888" s="37">
        <v>65785.64</v>
      </c>
      <c r="D1888" s="38">
        <f t="shared" si="98"/>
        <v>-2.0070625581618657E-3</v>
      </c>
      <c r="E1888" s="38">
        <f t="shared" si="99"/>
        <v>-7.7089734175821425E-3</v>
      </c>
    </row>
    <row r="1889" spans="1:5">
      <c r="A1889" s="35">
        <v>45113</v>
      </c>
      <c r="B1889" s="37">
        <v>1343.9</v>
      </c>
      <c r="C1889" s="37">
        <v>65280.45</v>
      </c>
      <c r="D1889" s="38">
        <f t="shared" si="98"/>
        <v>-9.5326042876262632E-3</v>
      </c>
      <c r="E1889" s="38">
        <f t="shared" si="99"/>
        <v>9.7562014043352024E-4</v>
      </c>
    </row>
    <row r="1890" spans="1:5">
      <c r="A1890" s="35">
        <v>45114</v>
      </c>
      <c r="B1890" s="37">
        <v>1331.15</v>
      </c>
      <c r="C1890" s="37">
        <v>65344.17</v>
      </c>
      <c r="D1890" s="38">
        <f t="shared" si="98"/>
        <v>-1.5412088381052517E-3</v>
      </c>
      <c r="E1890" s="38">
        <f t="shared" si="99"/>
        <v>4.1793860426467362E-3</v>
      </c>
    </row>
    <row r="1891" spans="1:5">
      <c r="A1891" s="35">
        <v>45117</v>
      </c>
      <c r="B1891" s="37">
        <v>1329.1</v>
      </c>
      <c r="C1891" s="37">
        <v>65617.84</v>
      </c>
      <c r="D1891" s="38">
        <f t="shared" si="98"/>
        <v>1.4972743075581918E-2</v>
      </c>
      <c r="E1891" s="38">
        <f t="shared" si="99"/>
        <v>-3.418628255745806E-3</v>
      </c>
    </row>
    <row r="1892" spans="1:5">
      <c r="A1892" s="35">
        <v>45118</v>
      </c>
      <c r="B1892" s="37">
        <v>1349.15</v>
      </c>
      <c r="C1892" s="37">
        <v>65393.9</v>
      </c>
      <c r="D1892" s="38">
        <f t="shared" si="98"/>
        <v>-1.1780192147075329E-2</v>
      </c>
      <c r="E1892" s="38">
        <f t="shared" si="99"/>
        <v>2.5198407349955698E-3</v>
      </c>
    </row>
    <row r="1893" spans="1:5">
      <c r="A1893" s="35">
        <v>45119</v>
      </c>
      <c r="B1893" s="37">
        <v>1333.35</v>
      </c>
      <c r="C1893" s="37">
        <v>65558.89</v>
      </c>
      <c r="D1893" s="38">
        <f t="shared" si="98"/>
        <v>2.367961233491242E-2</v>
      </c>
      <c r="E1893" s="38">
        <f t="shared" si="99"/>
        <v>7.6282211712641818E-3</v>
      </c>
    </row>
    <row r="1894" spans="1:5">
      <c r="A1894" s="35">
        <v>45120</v>
      </c>
      <c r="B1894" s="37">
        <v>1365.3</v>
      </c>
      <c r="C1894" s="37">
        <v>66060.899999999994</v>
      </c>
      <c r="D1894" s="38">
        <f t="shared" si="98"/>
        <v>4.304321288894359E-2</v>
      </c>
      <c r="E1894" s="38">
        <f t="shared" si="99"/>
        <v>7.9763210650486416E-3</v>
      </c>
    </row>
    <row r="1895" spans="1:5">
      <c r="A1895" s="35">
        <v>45121</v>
      </c>
      <c r="B1895" s="37">
        <v>1425.35</v>
      </c>
      <c r="C1895" s="37">
        <v>66589.929999999993</v>
      </c>
      <c r="D1895" s="38">
        <f t="shared" si="98"/>
        <v>-1.8257790964162073E-3</v>
      </c>
      <c r="E1895" s="38">
        <f t="shared" si="99"/>
        <v>3.0769584917575447E-3</v>
      </c>
    </row>
    <row r="1896" spans="1:5">
      <c r="A1896" s="35">
        <v>45124</v>
      </c>
      <c r="B1896" s="37">
        <v>1422.75</v>
      </c>
      <c r="C1896" s="37">
        <v>66795.14</v>
      </c>
      <c r="D1896" s="38">
        <f t="shared" si="98"/>
        <v>3.6066371290686995E-2</v>
      </c>
      <c r="E1896" s="38">
        <f t="shared" si="99"/>
        <v>4.5155678330613533E-3</v>
      </c>
    </row>
    <row r="1897" spans="1:5">
      <c r="A1897" s="35">
        <v>45125</v>
      </c>
      <c r="B1897" s="37">
        <v>1475</v>
      </c>
      <c r="C1897" s="37">
        <v>67097.440000000002</v>
      </c>
      <c r="D1897" s="38">
        <f t="shared" si="98"/>
        <v>-4.4077509317226859E-4</v>
      </c>
      <c r="E1897" s="38">
        <f t="shared" si="99"/>
        <v>7.0463249185610975E-3</v>
      </c>
    </row>
    <row r="1898" spans="1:5">
      <c r="A1898" s="35">
        <v>45126</v>
      </c>
      <c r="B1898" s="37">
        <v>1474.35</v>
      </c>
      <c r="C1898" s="37">
        <v>67571.899999999994</v>
      </c>
      <c r="D1898" s="38">
        <f t="shared" si="98"/>
        <v>-1.7447076387333504E-2</v>
      </c>
      <c r="E1898" s="38">
        <f t="shared" si="99"/>
        <v>-1.3223273092021287E-2</v>
      </c>
    </row>
    <row r="1899" spans="1:5">
      <c r="A1899" s="35">
        <v>45127</v>
      </c>
      <c r="B1899" s="37">
        <v>1448.85</v>
      </c>
      <c r="C1899" s="37">
        <v>66684.259999999995</v>
      </c>
      <c r="D1899" s="38">
        <f t="shared" si="98"/>
        <v>-8.5290489414696538E-2</v>
      </c>
      <c r="E1899" s="38">
        <f t="shared" si="99"/>
        <v>-4.501129723729947E-3</v>
      </c>
    </row>
    <row r="1900" spans="1:5">
      <c r="A1900" s="35">
        <v>45128</v>
      </c>
      <c r="B1900" s="37">
        <v>1330.4</v>
      </c>
      <c r="C1900" s="37">
        <v>66384.78</v>
      </c>
      <c r="D1900" s="38">
        <f t="shared" si="98"/>
        <v>5.1356175326414781E-3</v>
      </c>
      <c r="E1900" s="38">
        <f t="shared" si="99"/>
        <v>-4.3799748614348709E-4</v>
      </c>
    </row>
    <row r="1901" spans="1:5">
      <c r="A1901" s="35">
        <v>45131</v>
      </c>
      <c r="B1901" s="37">
        <v>1337.25</v>
      </c>
      <c r="C1901" s="37">
        <v>66355.710000000006</v>
      </c>
      <c r="D1901" s="38">
        <f t="shared" si="98"/>
        <v>-1.9836449418533424E-3</v>
      </c>
      <c r="E1901" s="38">
        <f t="shared" si="99"/>
        <v>5.2830772682378535E-3</v>
      </c>
    </row>
    <row r="1902" spans="1:5">
      <c r="A1902" s="35">
        <v>45132</v>
      </c>
      <c r="B1902" s="37">
        <v>1334.6</v>
      </c>
      <c r="C1902" s="37">
        <v>66707.199999999997</v>
      </c>
      <c r="D1902" s="38">
        <f t="shared" si="98"/>
        <v>1.0620756079147453E-2</v>
      </c>
      <c r="E1902" s="38">
        <f t="shared" si="99"/>
        <v>-6.6235736878245566E-3</v>
      </c>
    </row>
    <row r="1903" spans="1:5">
      <c r="A1903" s="35">
        <v>45133</v>
      </c>
      <c r="B1903" s="37">
        <v>1348.85</v>
      </c>
      <c r="C1903" s="37">
        <v>66266.820000000007</v>
      </c>
      <c r="D1903" s="38">
        <f t="shared" si="98"/>
        <v>2.9611007311733609E-3</v>
      </c>
      <c r="E1903" s="38">
        <f t="shared" si="99"/>
        <v>-1.6102457495132006E-3</v>
      </c>
    </row>
    <row r="1904" spans="1:5">
      <c r="A1904" s="35">
        <v>45134</v>
      </c>
      <c r="B1904" s="37">
        <v>1352.85</v>
      </c>
      <c r="C1904" s="37">
        <v>66160.2</v>
      </c>
      <c r="D1904" s="38">
        <f t="shared" si="98"/>
        <v>-9.2827044102410505E-3</v>
      </c>
      <c r="E1904" s="38">
        <f t="shared" si="99"/>
        <v>5.5388776603659349E-3</v>
      </c>
    </row>
    <row r="1905" spans="1:5">
      <c r="A1905" s="35">
        <v>45135</v>
      </c>
      <c r="B1905" s="37">
        <v>1340.35</v>
      </c>
      <c r="C1905" s="37">
        <v>66527.67</v>
      </c>
      <c r="D1905" s="38">
        <f t="shared" si="98"/>
        <v>1.0944478459082351E-2</v>
      </c>
      <c r="E1905" s="38">
        <f t="shared" si="99"/>
        <v>-1.0280706580595214E-3</v>
      </c>
    </row>
    <row r="1906" spans="1:5">
      <c r="A1906" s="35">
        <v>45138</v>
      </c>
      <c r="B1906" s="37">
        <v>1355.1</v>
      </c>
      <c r="C1906" s="37">
        <v>66459.31</v>
      </c>
      <c r="D1906" s="38">
        <f t="shared" si="98"/>
        <v>7.4623097035950688E-3</v>
      </c>
      <c r="E1906" s="38">
        <f t="shared" si="99"/>
        <v>-1.0231778734145708E-2</v>
      </c>
    </row>
    <row r="1907" spans="1:5">
      <c r="A1907" s="35">
        <v>45139</v>
      </c>
      <c r="B1907" s="37">
        <v>1365.25</v>
      </c>
      <c r="C1907" s="37">
        <v>65782.78</v>
      </c>
      <c r="D1907" s="38">
        <f t="shared" si="98"/>
        <v>-6.2085759946244662E-3</v>
      </c>
      <c r="E1907" s="38">
        <f t="shared" si="99"/>
        <v>-8.2749012017995192E-3</v>
      </c>
    </row>
    <row r="1908" spans="1:5">
      <c r="A1908" s="35">
        <v>45140</v>
      </c>
      <c r="B1908" s="37">
        <v>1356.8</v>
      </c>
      <c r="C1908" s="37">
        <v>65240.68</v>
      </c>
      <c r="D1908" s="38">
        <f t="shared" si="98"/>
        <v>6.2818199703401261E-3</v>
      </c>
      <c r="E1908" s="38">
        <f t="shared" si="99"/>
        <v>7.3391123215627001E-3</v>
      </c>
    </row>
    <row r="1909" spans="1:5">
      <c r="A1909" s="35">
        <v>45141</v>
      </c>
      <c r="B1909" s="37">
        <v>1365.35</v>
      </c>
      <c r="C1909" s="37">
        <v>65721.25</v>
      </c>
      <c r="D1909" s="38">
        <f t="shared" si="98"/>
        <v>9.5126002057411459E-3</v>
      </c>
      <c r="E1909" s="38">
        <f t="shared" si="99"/>
        <v>0</v>
      </c>
    </row>
    <row r="1910" spans="1:5">
      <c r="A1910" s="35">
        <v>45142</v>
      </c>
      <c r="B1910" s="37">
        <v>1378.4</v>
      </c>
      <c r="C1910" s="37">
        <v>65721.25</v>
      </c>
      <c r="D1910" s="38">
        <f t="shared" si="98"/>
        <v>1.0356803687204938E-2</v>
      </c>
      <c r="E1910" s="38">
        <f t="shared" si="99"/>
        <v>1.9039626023353677E-3</v>
      </c>
    </row>
    <row r="1911" spans="1:5">
      <c r="A1911" s="35">
        <v>45145</v>
      </c>
      <c r="B1911" s="37">
        <v>1392.75</v>
      </c>
      <c r="C1911" s="37">
        <v>65846.5</v>
      </c>
      <c r="D1911" s="38">
        <f t="shared" si="98"/>
        <v>-1.7246959109735117E-3</v>
      </c>
      <c r="E1911" s="38">
        <f t="shared" si="99"/>
        <v>2.264979486959238E-3</v>
      </c>
    </row>
    <row r="1912" spans="1:5">
      <c r="A1912" s="35">
        <v>45146</v>
      </c>
      <c r="B1912" s="37">
        <v>1390.35</v>
      </c>
      <c r="C1912" s="37">
        <v>65995.81</v>
      </c>
      <c r="D1912" s="38">
        <f t="shared" si="98"/>
        <v>2.8369832110239691E-3</v>
      </c>
      <c r="E1912" s="38">
        <f t="shared" si="99"/>
        <v>-4.6722545334338872E-3</v>
      </c>
    </row>
    <row r="1913" spans="1:5">
      <c r="A1913" s="35">
        <v>45147</v>
      </c>
      <c r="B1913" s="37">
        <v>1394.3</v>
      </c>
      <c r="C1913" s="37">
        <v>65688.179999999993</v>
      </c>
      <c r="D1913" s="38">
        <f t="shared" si="98"/>
        <v>-3.7004479165875827E-3</v>
      </c>
      <c r="E1913" s="38">
        <f t="shared" si="99"/>
        <v>-5.5801638459338021E-3</v>
      </c>
    </row>
    <row r="1914" spans="1:5">
      <c r="A1914" s="35">
        <v>45148</v>
      </c>
      <c r="B1914" s="37">
        <v>1389.15</v>
      </c>
      <c r="C1914" s="37">
        <v>65322.65</v>
      </c>
      <c r="D1914" s="38">
        <f t="shared" si="98"/>
        <v>-1.2422519998557209E-2</v>
      </c>
      <c r="E1914" s="38">
        <f t="shared" si="99"/>
        <v>1.2127790470616428E-3</v>
      </c>
    </row>
    <row r="1915" spans="1:5">
      <c r="A1915" s="35">
        <v>45149</v>
      </c>
      <c r="B1915" s="37">
        <v>1372</v>
      </c>
      <c r="C1915" s="37">
        <v>65401.919999999998</v>
      </c>
      <c r="D1915" s="38">
        <f t="shared" si="98"/>
        <v>1.5656675469600714E-2</v>
      </c>
      <c r="E1915" s="38">
        <f t="shared" si="99"/>
        <v>2.1001778436024088E-3</v>
      </c>
    </row>
    <row r="1916" spans="1:5">
      <c r="A1916" s="35">
        <v>45152</v>
      </c>
      <c r="B1916" s="37">
        <v>1393.65</v>
      </c>
      <c r="C1916" s="37">
        <v>65539.42</v>
      </c>
      <c r="D1916" s="38">
        <f t="shared" si="98"/>
        <v>1.7673770493474711E-2</v>
      </c>
      <c r="E1916" s="38">
        <f t="shared" si="99"/>
        <v>-5.9438340476407952E-3</v>
      </c>
    </row>
    <row r="1917" spans="1:5">
      <c r="A1917" s="35">
        <v>45154</v>
      </c>
      <c r="B1917" s="37">
        <v>1418.5</v>
      </c>
      <c r="C1917" s="37">
        <v>65151.02</v>
      </c>
      <c r="D1917" s="38">
        <f t="shared" si="98"/>
        <v>-5.1595689963791075E-3</v>
      </c>
      <c r="E1917" s="38">
        <f t="shared" si="99"/>
        <v>-3.1108479773780647E-3</v>
      </c>
    </row>
    <row r="1918" spans="1:5">
      <c r="A1918" s="35">
        <v>45155</v>
      </c>
      <c r="B1918" s="37">
        <v>1411.2</v>
      </c>
      <c r="C1918" s="37">
        <v>64948.66</v>
      </c>
      <c r="D1918" s="38">
        <f t="shared" si="98"/>
        <v>-1.6036344298687152E-2</v>
      </c>
      <c r="E1918" s="38">
        <f t="shared" si="99"/>
        <v>4.1091059797780096E-3</v>
      </c>
    </row>
    <row r="1919" spans="1:5">
      <c r="A1919" s="35">
        <v>45156</v>
      </c>
      <c r="B1919" s="37">
        <v>1388.75</v>
      </c>
      <c r="C1919" s="37">
        <v>65216.09</v>
      </c>
      <c r="D1919" s="38">
        <f t="shared" si="98"/>
        <v>1.1562063903766061E-2</v>
      </c>
      <c r="E1919" s="38">
        <f t="shared" si="99"/>
        <v>6.0412713920037044E-5</v>
      </c>
    </row>
    <row r="1920" spans="1:5">
      <c r="A1920" s="35">
        <v>45159</v>
      </c>
      <c r="B1920" s="37">
        <v>1404.9</v>
      </c>
      <c r="C1920" s="37">
        <v>65220.03</v>
      </c>
      <c r="D1920" s="38">
        <f t="shared" si="98"/>
        <v>-7.8328056128480783E-4</v>
      </c>
      <c r="E1920" s="38">
        <f t="shared" si="99"/>
        <v>3.2646728471575842E-3</v>
      </c>
    </row>
    <row r="1921" spans="1:5">
      <c r="A1921" s="35">
        <v>45160</v>
      </c>
      <c r="B1921" s="37">
        <v>1403.8</v>
      </c>
      <c r="C1921" s="37">
        <v>65433.3</v>
      </c>
      <c r="D1921" s="38">
        <f t="shared" si="98"/>
        <v>2.7743215375987266E-3</v>
      </c>
      <c r="E1921" s="38">
        <f t="shared" si="99"/>
        <v>-2.76939556108588E-3</v>
      </c>
    </row>
    <row r="1922" spans="1:5">
      <c r="A1922" s="35">
        <v>45161</v>
      </c>
      <c r="B1922" s="37">
        <v>1407.7</v>
      </c>
      <c r="C1922" s="37">
        <v>65252.34</v>
      </c>
      <c r="D1922" s="38">
        <f t="shared" si="98"/>
        <v>1.1863708104043321E-2</v>
      </c>
      <c r="E1922" s="38">
        <f t="shared" si="99"/>
        <v>-5.6221637676654437E-3</v>
      </c>
    </row>
    <row r="1923" spans="1:5">
      <c r="A1923" s="35">
        <v>45162</v>
      </c>
      <c r="B1923" s="37">
        <v>1424.5</v>
      </c>
      <c r="C1923" s="37">
        <v>64886.51</v>
      </c>
      <c r="D1923" s="38">
        <f t="shared" si="98"/>
        <v>-2.7767543895501211E-3</v>
      </c>
      <c r="E1923" s="38">
        <f t="shared" si="99"/>
        <v>1.6952169741600441E-3</v>
      </c>
    </row>
    <row r="1924" spans="1:5">
      <c r="A1924" s="35">
        <v>45163</v>
      </c>
      <c r="B1924" s="37">
        <v>1420.55</v>
      </c>
      <c r="C1924" s="37">
        <v>64996.6</v>
      </c>
      <c r="D1924" s="38">
        <f t="shared" si="98"/>
        <v>-3.3140631093497978E-3</v>
      </c>
      <c r="E1924" s="38">
        <f t="shared" si="99"/>
        <v>1.2180908111833076E-3</v>
      </c>
    </row>
    <row r="1925" spans="1:5">
      <c r="A1925" s="35">
        <v>45166</v>
      </c>
      <c r="B1925" s="37">
        <v>1415.85</v>
      </c>
      <c r="C1925" s="37">
        <v>65075.82</v>
      </c>
      <c r="D1925" s="38">
        <f t="shared" ref="D1925:D1988" si="100">LN(B1926/B1925)</f>
        <v>1.6584044308332936E-3</v>
      </c>
      <c r="E1925" s="38">
        <f t="shared" ref="E1925:E1988" si="101">LN(C1926/C1925)</f>
        <v>1.7562585193138601E-4</v>
      </c>
    </row>
    <row r="1926" spans="1:5">
      <c r="A1926" s="35">
        <v>45167</v>
      </c>
      <c r="B1926" s="37">
        <v>1418.2</v>
      </c>
      <c r="C1926" s="37">
        <v>65087.25</v>
      </c>
      <c r="D1926" s="38">
        <f t="shared" si="100"/>
        <v>1.181122992238974E-2</v>
      </c>
      <c r="E1926" s="38">
        <f t="shared" si="101"/>
        <v>-3.938469357765235E-3</v>
      </c>
    </row>
    <row r="1927" spans="1:5">
      <c r="A1927" s="35">
        <v>45168</v>
      </c>
      <c r="B1927" s="37">
        <v>1435.05</v>
      </c>
      <c r="C1927" s="37">
        <v>64831.41</v>
      </c>
      <c r="D1927" s="38">
        <f t="shared" si="100"/>
        <v>-6.6221705711947375E-4</v>
      </c>
      <c r="E1927" s="38">
        <f t="shared" si="101"/>
        <v>8.5357007720284865E-3</v>
      </c>
    </row>
    <row r="1928" spans="1:5">
      <c r="A1928" s="35">
        <v>45169</v>
      </c>
      <c r="B1928" s="37">
        <v>1434.1</v>
      </c>
      <c r="C1928" s="37">
        <v>65387.16</v>
      </c>
      <c r="D1928" s="38">
        <f t="shared" si="100"/>
        <v>6.2214544730556983E-3</v>
      </c>
      <c r="E1928" s="38">
        <f t="shared" si="101"/>
        <v>3.6786584735623478E-3</v>
      </c>
    </row>
    <row r="1929" spans="1:5">
      <c r="A1929" s="35">
        <v>45170</v>
      </c>
      <c r="B1929" s="37">
        <v>1443.05</v>
      </c>
      <c r="C1929" s="37">
        <v>65628.14</v>
      </c>
      <c r="D1929" s="38">
        <f t="shared" si="100"/>
        <v>1.4857376850089464E-2</v>
      </c>
      <c r="E1929" s="38">
        <f t="shared" si="101"/>
        <v>2.3152259360947757E-3</v>
      </c>
    </row>
    <row r="1930" spans="1:5">
      <c r="A1930" s="35">
        <v>45173</v>
      </c>
      <c r="B1930" s="37">
        <v>1464.65</v>
      </c>
      <c r="C1930" s="37">
        <v>65780.259999999995</v>
      </c>
      <c r="D1930" s="38">
        <f t="shared" si="100"/>
        <v>9.5470173211300163E-3</v>
      </c>
      <c r="E1930" s="38">
        <f t="shared" si="101"/>
        <v>1.5230050950603322E-3</v>
      </c>
    </row>
    <row r="1931" spans="1:5">
      <c r="A1931" s="35">
        <v>45174</v>
      </c>
      <c r="B1931" s="37">
        <v>1478.7</v>
      </c>
      <c r="C1931" s="37">
        <v>65880.52</v>
      </c>
      <c r="D1931" s="38">
        <f t="shared" si="100"/>
        <v>-1.3195961920971586E-3</v>
      </c>
      <c r="E1931" s="38">
        <f t="shared" si="101"/>
        <v>5.8275067963771705E-3</v>
      </c>
    </row>
    <row r="1932" spans="1:5">
      <c r="A1932" s="35">
        <v>45175</v>
      </c>
      <c r="B1932" s="37">
        <v>1476.75</v>
      </c>
      <c r="C1932" s="37">
        <v>66265.56</v>
      </c>
      <c r="D1932" s="38">
        <f t="shared" si="100"/>
        <v>-7.3061237407478392E-3</v>
      </c>
      <c r="E1932" s="38">
        <f t="shared" si="101"/>
        <v>5.0179058323399049E-3</v>
      </c>
    </row>
    <row r="1933" spans="1:5">
      <c r="A1933" s="35">
        <v>45176</v>
      </c>
      <c r="B1933" s="37">
        <v>1466</v>
      </c>
      <c r="C1933" s="37">
        <v>66598.91</v>
      </c>
      <c r="D1933" s="38">
        <f t="shared" si="100"/>
        <v>2.4866737389188697E-3</v>
      </c>
      <c r="E1933" s="38">
        <f t="shared" si="101"/>
        <v>7.8993282675142284E-3</v>
      </c>
    </row>
    <row r="1934" spans="1:5">
      <c r="A1934" s="35">
        <v>45177</v>
      </c>
      <c r="B1934" s="37">
        <v>1469.65</v>
      </c>
      <c r="C1934" s="37">
        <v>67127.08</v>
      </c>
      <c r="D1934" s="38">
        <f t="shared" si="100"/>
        <v>4.5485482359245181E-3</v>
      </c>
      <c r="E1934" s="38">
        <f t="shared" si="101"/>
        <v>1.4000933151777223E-3</v>
      </c>
    </row>
    <row r="1935" spans="1:5">
      <c r="A1935" s="35">
        <v>45180</v>
      </c>
      <c r="B1935" s="37">
        <v>1476.35</v>
      </c>
      <c r="C1935" s="37">
        <v>67221.13</v>
      </c>
      <c r="D1935" s="38">
        <f t="shared" si="100"/>
        <v>1.6425473830520086E-2</v>
      </c>
      <c r="E1935" s="38">
        <f t="shared" si="101"/>
        <v>3.6508085950968084E-3</v>
      </c>
    </row>
    <row r="1936" spans="1:5">
      <c r="A1936" s="35">
        <v>45181</v>
      </c>
      <c r="B1936" s="37">
        <v>1500.8</v>
      </c>
      <c r="C1936" s="37">
        <v>67466.990000000005</v>
      </c>
      <c r="D1936" s="38">
        <f t="shared" si="100"/>
        <v>-2.5685945237292783E-3</v>
      </c>
      <c r="E1936" s="38">
        <f t="shared" si="101"/>
        <v>7.7059852765049084E-4</v>
      </c>
    </row>
    <row r="1937" spans="1:5">
      <c r="A1937" s="35">
        <v>45182</v>
      </c>
      <c r="B1937" s="37">
        <v>1496.95</v>
      </c>
      <c r="C1937" s="37">
        <v>67519</v>
      </c>
      <c r="D1937" s="38">
        <f t="shared" si="100"/>
        <v>6.5253086349224207E-3</v>
      </c>
      <c r="E1937" s="38">
        <f t="shared" si="101"/>
        <v>4.7227569527767731E-3</v>
      </c>
    </row>
    <row r="1938" spans="1:5">
      <c r="A1938" s="35">
        <v>45183</v>
      </c>
      <c r="B1938" s="37">
        <v>1506.75</v>
      </c>
      <c r="C1938" s="37">
        <v>67838.63</v>
      </c>
      <c r="D1938" s="38">
        <f t="shared" si="100"/>
        <v>3.6435946238700433E-3</v>
      </c>
      <c r="E1938" s="38">
        <f t="shared" si="101"/>
        <v>-3.5705603100824488E-3</v>
      </c>
    </row>
    <row r="1939" spans="1:5">
      <c r="A1939" s="35">
        <v>45184</v>
      </c>
      <c r="B1939" s="37">
        <v>1512.25</v>
      </c>
      <c r="C1939" s="37">
        <v>67596.84</v>
      </c>
      <c r="D1939" s="38">
        <f t="shared" si="100"/>
        <v>-1.4084505390161949E-2</v>
      </c>
      <c r="E1939" s="38">
        <f t="shared" si="101"/>
        <v>-1.1845581080343745E-2</v>
      </c>
    </row>
    <row r="1940" spans="1:5">
      <c r="A1940" s="35">
        <v>45187</v>
      </c>
      <c r="B1940" s="37">
        <v>1491.1</v>
      </c>
      <c r="C1940" s="37">
        <v>66800.84</v>
      </c>
      <c r="D1940" s="38">
        <f t="shared" si="100"/>
        <v>-7.3798265735685827E-4</v>
      </c>
      <c r="E1940" s="38">
        <f t="shared" si="101"/>
        <v>-8.5784990880468214E-3</v>
      </c>
    </row>
    <row r="1941" spans="1:5">
      <c r="A1941" s="35">
        <v>45189</v>
      </c>
      <c r="B1941" s="37">
        <v>1490</v>
      </c>
      <c r="C1941" s="37">
        <v>66230.240000000005</v>
      </c>
      <c r="D1941" s="38">
        <f t="shared" si="100"/>
        <v>7.9215615533421643E-3</v>
      </c>
      <c r="E1941" s="38">
        <f t="shared" si="101"/>
        <v>-3.3437874448605373E-3</v>
      </c>
    </row>
    <row r="1942" spans="1:5">
      <c r="A1942" s="35">
        <v>45190</v>
      </c>
      <c r="B1942" s="37">
        <v>1501.85</v>
      </c>
      <c r="C1942" s="37">
        <v>66009.149999999994</v>
      </c>
      <c r="D1942" s="38">
        <f t="shared" si="100"/>
        <v>-3.9028019584244024E-3</v>
      </c>
      <c r="E1942" s="38">
        <f t="shared" si="101"/>
        <v>2.2024823610223188E-4</v>
      </c>
    </row>
    <row r="1943" spans="1:5">
      <c r="A1943" s="35">
        <v>45191</v>
      </c>
      <c r="B1943" s="37">
        <v>1496</v>
      </c>
      <c r="C1943" s="37">
        <v>66023.69</v>
      </c>
      <c r="D1943" s="38">
        <f t="shared" si="100"/>
        <v>-1.4306395651237858E-2</v>
      </c>
      <c r="E1943" s="38">
        <f t="shared" si="101"/>
        <v>-1.1854286131673839E-3</v>
      </c>
    </row>
    <row r="1944" spans="1:5">
      <c r="A1944" s="35">
        <v>45194</v>
      </c>
      <c r="B1944" s="37">
        <v>1474.75</v>
      </c>
      <c r="C1944" s="37">
        <v>65945.47</v>
      </c>
      <c r="D1944" s="38">
        <f t="shared" si="100"/>
        <v>-1.0017802191860716E-2</v>
      </c>
      <c r="E1944" s="38">
        <f t="shared" si="101"/>
        <v>2.6232718904999827E-3</v>
      </c>
    </row>
    <row r="1945" spans="1:5">
      <c r="A1945" s="35">
        <v>45195</v>
      </c>
      <c r="B1945" s="37">
        <v>1460.05</v>
      </c>
      <c r="C1945" s="37">
        <v>66118.69</v>
      </c>
      <c r="D1945" s="38">
        <f t="shared" si="100"/>
        <v>5.1236619807610208E-3</v>
      </c>
      <c r="E1945" s="38">
        <f t="shared" si="101"/>
        <v>-9.274302819120046E-3</v>
      </c>
    </row>
    <row r="1946" spans="1:5">
      <c r="A1946" s="35">
        <v>45196</v>
      </c>
      <c r="B1946" s="37">
        <v>1467.55</v>
      </c>
      <c r="C1946" s="37">
        <v>65508.32</v>
      </c>
      <c r="D1946" s="38">
        <f t="shared" si="100"/>
        <v>-1.9298512619854425E-2</v>
      </c>
      <c r="E1946" s="38">
        <f t="shared" si="101"/>
        <v>4.8743505911730033E-3</v>
      </c>
    </row>
    <row r="1947" spans="1:5">
      <c r="A1947" s="35">
        <v>45197</v>
      </c>
      <c r="B1947" s="37">
        <v>1439.5</v>
      </c>
      <c r="C1947" s="37">
        <v>65828.41</v>
      </c>
      <c r="D1947" s="38">
        <f t="shared" si="100"/>
        <v>-3.0961392599445697E-3</v>
      </c>
      <c r="E1947" s="38">
        <f t="shared" si="101"/>
        <v>-4.8166496617904307E-3</v>
      </c>
    </row>
    <row r="1948" spans="1:5">
      <c r="A1948" s="35">
        <v>45198</v>
      </c>
      <c r="B1948" s="37">
        <v>1435.05</v>
      </c>
      <c r="C1948" s="37">
        <v>65512.1</v>
      </c>
      <c r="D1948" s="38">
        <f t="shared" si="100"/>
        <v>-1.0109285716200242E-3</v>
      </c>
      <c r="E1948" s="38">
        <f t="shared" si="101"/>
        <v>-4.3760827025122887E-3</v>
      </c>
    </row>
    <row r="1949" spans="1:5">
      <c r="A1949" s="35">
        <v>45202</v>
      </c>
      <c r="B1949" s="37">
        <v>1433.6</v>
      </c>
      <c r="C1949" s="37">
        <v>65226.04</v>
      </c>
      <c r="D1949" s="38">
        <f t="shared" si="100"/>
        <v>8.0935537419195326E-3</v>
      </c>
      <c r="E1949" s="38">
        <f t="shared" si="101"/>
        <v>6.1980544842873027E-3</v>
      </c>
    </row>
    <row r="1950" spans="1:5">
      <c r="A1950" s="35">
        <v>45203</v>
      </c>
      <c r="B1950" s="37">
        <v>1445.25</v>
      </c>
      <c r="C1950" s="37">
        <v>65631.570000000007</v>
      </c>
      <c r="D1950" s="38">
        <f t="shared" si="100"/>
        <v>1.1830794524813891E-2</v>
      </c>
      <c r="E1950" s="38">
        <f t="shared" si="101"/>
        <v>5.531697526692741E-3</v>
      </c>
    </row>
    <row r="1951" spans="1:5">
      <c r="A1951" s="35">
        <v>45204</v>
      </c>
      <c r="B1951" s="37">
        <v>1462.45</v>
      </c>
      <c r="C1951" s="37">
        <v>65995.63</v>
      </c>
      <c r="D1951" s="38">
        <f t="shared" si="100"/>
        <v>1.0948766292158225E-2</v>
      </c>
      <c r="E1951" s="38">
        <f t="shared" si="101"/>
        <v>-7.349242655099222E-3</v>
      </c>
    </row>
    <row r="1952" spans="1:5">
      <c r="A1952" s="35">
        <v>45205</v>
      </c>
      <c r="B1952" s="37">
        <v>1478.55</v>
      </c>
      <c r="C1952" s="37">
        <v>65512.39</v>
      </c>
      <c r="D1952" s="38">
        <f t="shared" si="100"/>
        <v>-2.6751112240075078E-3</v>
      </c>
      <c r="E1952" s="38">
        <f t="shared" si="101"/>
        <v>8.6171588778013557E-3</v>
      </c>
    </row>
    <row r="1953" spans="1:5">
      <c r="A1953" s="35">
        <v>45208</v>
      </c>
      <c r="B1953" s="37">
        <v>1474.6</v>
      </c>
      <c r="C1953" s="37">
        <v>66079.360000000001</v>
      </c>
      <c r="D1953" s="38">
        <f t="shared" si="100"/>
        <v>1.3739440269236762E-2</v>
      </c>
      <c r="E1953" s="38">
        <f t="shared" si="101"/>
        <v>5.9401584268105254E-3</v>
      </c>
    </row>
    <row r="1954" spans="1:5">
      <c r="A1954" s="35">
        <v>45209</v>
      </c>
      <c r="B1954" s="37">
        <v>1495</v>
      </c>
      <c r="C1954" s="37">
        <v>66473.05</v>
      </c>
      <c r="D1954" s="38">
        <f t="shared" si="100"/>
        <v>-9.034179926176208E-4</v>
      </c>
      <c r="E1954" s="38">
        <f t="shared" si="101"/>
        <v>-9.7319844070590752E-4</v>
      </c>
    </row>
    <row r="1955" spans="1:5">
      <c r="A1955" s="35">
        <v>45210</v>
      </c>
      <c r="B1955" s="37">
        <v>1493.65</v>
      </c>
      <c r="C1955" s="37">
        <v>66408.39</v>
      </c>
      <c r="D1955" s="38">
        <f t="shared" si="100"/>
        <v>-1.9674760802014465E-2</v>
      </c>
      <c r="E1955" s="38">
        <f t="shared" si="101"/>
        <v>-1.8938724473336714E-3</v>
      </c>
    </row>
    <row r="1956" spans="1:5">
      <c r="A1956" s="35">
        <v>45211</v>
      </c>
      <c r="B1956" s="37">
        <v>1464.55</v>
      </c>
      <c r="C1956" s="37">
        <v>66282.740000000005</v>
      </c>
      <c r="D1956" s="38">
        <f t="shared" si="100"/>
        <v>-2.2615634068070066E-2</v>
      </c>
      <c r="E1956" s="38">
        <f t="shared" si="101"/>
        <v>-1.7487401744851814E-3</v>
      </c>
    </row>
    <row r="1957" spans="1:5">
      <c r="A1957" s="35">
        <v>45212</v>
      </c>
      <c r="B1957" s="37">
        <v>1431.8</v>
      </c>
      <c r="C1957" s="37">
        <v>66166.929999999993</v>
      </c>
      <c r="D1957" s="38">
        <f t="shared" si="100"/>
        <v>1.8491065015766928E-3</v>
      </c>
      <c r="E1957" s="38">
        <f t="shared" si="101"/>
        <v>3.93921789387079E-3</v>
      </c>
    </row>
    <row r="1958" spans="1:5">
      <c r="A1958" s="35">
        <v>45215</v>
      </c>
      <c r="B1958" s="37">
        <v>1434.45</v>
      </c>
      <c r="C1958" s="37">
        <v>66428.09</v>
      </c>
      <c r="D1958" s="38">
        <f t="shared" si="100"/>
        <v>5.7348574880651745E-3</v>
      </c>
      <c r="E1958" s="38">
        <f t="shared" si="101"/>
        <v>-8.3303386659392912E-3</v>
      </c>
    </row>
    <row r="1959" spans="1:5">
      <c r="A1959" s="35">
        <v>45216</v>
      </c>
      <c r="B1959" s="37">
        <v>1442.7</v>
      </c>
      <c r="C1959" s="37">
        <v>65877.02</v>
      </c>
      <c r="D1959" s="38">
        <f t="shared" si="100"/>
        <v>-1.3525466349509844E-3</v>
      </c>
      <c r="E1959" s="38">
        <f t="shared" si="101"/>
        <v>-3.7683421795217391E-3</v>
      </c>
    </row>
    <row r="1960" spans="1:5">
      <c r="A1960" s="35">
        <v>45217</v>
      </c>
      <c r="B1960" s="37">
        <v>1440.75</v>
      </c>
      <c r="C1960" s="37">
        <v>65629.240000000005</v>
      </c>
      <c r="D1960" s="38">
        <f t="shared" si="100"/>
        <v>-5.079685266816048E-3</v>
      </c>
      <c r="E1960" s="38">
        <f t="shared" si="101"/>
        <v>-3.5354619848322636E-3</v>
      </c>
    </row>
    <row r="1961" spans="1:5">
      <c r="A1961" s="35">
        <v>45218</v>
      </c>
      <c r="B1961" s="37">
        <v>1433.45</v>
      </c>
      <c r="C1961" s="37">
        <v>65397.62</v>
      </c>
      <c r="D1961" s="38">
        <f t="shared" si="100"/>
        <v>-4.3696432242146619E-3</v>
      </c>
      <c r="E1961" s="38">
        <f t="shared" si="101"/>
        <v>-1.2706844460737445E-2</v>
      </c>
    </row>
    <row r="1962" spans="1:5">
      <c r="A1962" s="35">
        <v>45219</v>
      </c>
      <c r="B1962" s="37">
        <v>1427.2</v>
      </c>
      <c r="C1962" s="37">
        <v>64571.88</v>
      </c>
      <c r="D1962" s="38">
        <f t="shared" si="100"/>
        <v>-1.2869736717110843E-2</v>
      </c>
      <c r="E1962" s="38">
        <f t="shared" si="101"/>
        <v>-8.129669702221301E-3</v>
      </c>
    </row>
    <row r="1963" spans="1:5">
      <c r="A1963" s="35">
        <v>45222</v>
      </c>
      <c r="B1963" s="37">
        <v>1408.95</v>
      </c>
      <c r="C1963" s="37">
        <v>64049.06</v>
      </c>
      <c r="D1963" s="38">
        <f t="shared" si="100"/>
        <v>-2.7961016249571188E-2</v>
      </c>
      <c r="E1963" s="38">
        <f t="shared" si="101"/>
        <v>-1.4165799161900099E-2</v>
      </c>
    </row>
    <row r="1964" spans="1:5">
      <c r="A1964" s="35">
        <v>45224</v>
      </c>
      <c r="B1964" s="37">
        <v>1370.1</v>
      </c>
      <c r="C1964" s="37">
        <v>63148.15</v>
      </c>
      <c r="D1964" s="38">
        <f t="shared" si="100"/>
        <v>-9.0179869915162757E-3</v>
      </c>
      <c r="E1964" s="38">
        <f t="shared" si="101"/>
        <v>1.0000008488869989E-2</v>
      </c>
    </row>
    <row r="1965" spans="1:5">
      <c r="A1965" s="35">
        <v>45225</v>
      </c>
      <c r="B1965" s="37">
        <v>1357.8</v>
      </c>
      <c r="C1965" s="37">
        <v>63782.8</v>
      </c>
      <c r="D1965" s="38">
        <f t="shared" si="100"/>
        <v>1.6688659883951105E-2</v>
      </c>
      <c r="E1965" s="38">
        <f t="shared" si="101"/>
        <v>5.1581308223353521E-3</v>
      </c>
    </row>
    <row r="1966" spans="1:5">
      <c r="A1966" s="35">
        <v>45226</v>
      </c>
      <c r="B1966" s="37">
        <v>1380.65</v>
      </c>
      <c r="C1966" s="37">
        <v>64112.65</v>
      </c>
      <c r="D1966" s="38">
        <f t="shared" si="100"/>
        <v>-2.4293418282118153E-3</v>
      </c>
      <c r="E1966" s="38">
        <f t="shared" si="101"/>
        <v>-3.7147397171490436E-3</v>
      </c>
    </row>
    <row r="1967" spans="1:5">
      <c r="A1967" s="35">
        <v>45229</v>
      </c>
      <c r="B1967" s="37">
        <v>1377.3</v>
      </c>
      <c r="C1967" s="37">
        <v>63874.93</v>
      </c>
      <c r="D1967" s="38">
        <f t="shared" si="100"/>
        <v>-6.3002083881706604E-3</v>
      </c>
      <c r="E1967" s="38">
        <f t="shared" si="101"/>
        <v>-4.4498123340161741E-3</v>
      </c>
    </row>
    <row r="1968" spans="1:5">
      <c r="A1968" s="35">
        <v>45230</v>
      </c>
      <c r="B1968" s="37">
        <v>1368.65</v>
      </c>
      <c r="C1968" s="37">
        <v>63591.33</v>
      </c>
      <c r="D1968" s="38">
        <f t="shared" si="100"/>
        <v>-1.1094081899679913E-2</v>
      </c>
      <c r="E1968" s="38">
        <f t="shared" si="101"/>
        <v>7.6692073064537547E-3</v>
      </c>
    </row>
    <row r="1969" spans="1:5">
      <c r="A1969" s="35">
        <v>45231</v>
      </c>
      <c r="B1969" s="37">
        <v>1353.55</v>
      </c>
      <c r="C1969" s="37">
        <v>64080.9</v>
      </c>
      <c r="D1969" s="38">
        <f t="shared" si="100"/>
        <v>1.2408382406494507E-2</v>
      </c>
      <c r="E1969" s="38">
        <f t="shared" si="101"/>
        <v>4.4047049259823461E-3</v>
      </c>
    </row>
    <row r="1970" spans="1:5">
      <c r="A1970" s="35">
        <v>45232</v>
      </c>
      <c r="B1970" s="37">
        <v>1370.45</v>
      </c>
      <c r="C1970" s="37">
        <v>64363.78</v>
      </c>
      <c r="D1970" s="38">
        <f t="shared" si="100"/>
        <v>1.351690236141366E-2</v>
      </c>
      <c r="E1970" s="38">
        <f t="shared" si="101"/>
        <v>9.2004768626460266E-3</v>
      </c>
    </row>
    <row r="1971" spans="1:5">
      <c r="A1971" s="35">
        <v>45233</v>
      </c>
      <c r="B1971" s="37">
        <v>1389.1</v>
      </c>
      <c r="C1971" s="37">
        <v>64958.69</v>
      </c>
      <c r="D1971" s="38">
        <f t="shared" si="100"/>
        <v>1.0669250182412857E-2</v>
      </c>
      <c r="E1971" s="38">
        <f t="shared" si="101"/>
        <v>-2.5080621087003656E-4</v>
      </c>
    </row>
    <row r="1972" spans="1:5">
      <c r="A1972" s="35">
        <v>45236</v>
      </c>
      <c r="B1972" s="37">
        <v>1404</v>
      </c>
      <c r="C1972" s="37">
        <v>64942.400000000001</v>
      </c>
      <c r="D1972" s="38">
        <f t="shared" si="100"/>
        <v>2.4925668225968099E-4</v>
      </c>
      <c r="E1972" s="38">
        <f t="shared" si="101"/>
        <v>5.1124552667246911E-4</v>
      </c>
    </row>
    <row r="1973" spans="1:5">
      <c r="A1973" s="35">
        <v>45237</v>
      </c>
      <c r="B1973" s="37">
        <v>1404.35</v>
      </c>
      <c r="C1973" s="37">
        <v>64975.61</v>
      </c>
      <c r="D1973" s="38">
        <f t="shared" si="100"/>
        <v>-8.761163873494569E-3</v>
      </c>
      <c r="E1973" s="38">
        <f t="shared" si="101"/>
        <v>-2.2095751919183801E-3</v>
      </c>
    </row>
    <row r="1974" spans="1:5">
      <c r="A1974" s="35">
        <v>45238</v>
      </c>
      <c r="B1974" s="37">
        <v>1392.1</v>
      </c>
      <c r="C1974" s="37">
        <v>64832.2</v>
      </c>
      <c r="D1974" s="38">
        <f t="shared" si="100"/>
        <v>-1.2250582334739371E-2</v>
      </c>
      <c r="E1974" s="38">
        <f t="shared" si="101"/>
        <v>1.1173385322755856E-3</v>
      </c>
    </row>
    <row r="1975" spans="1:5">
      <c r="A1975" s="35">
        <v>45239</v>
      </c>
      <c r="B1975" s="37">
        <v>1375.15</v>
      </c>
      <c r="C1975" s="37">
        <v>64904.68</v>
      </c>
      <c r="D1975" s="38">
        <f t="shared" si="100"/>
        <v>-4.7014318425615325E-3</v>
      </c>
      <c r="E1975" s="38">
        <f t="shared" si="101"/>
        <v>5.4511312524241429E-3</v>
      </c>
    </row>
    <row r="1976" spans="1:5">
      <c r="A1976" s="35">
        <v>45240</v>
      </c>
      <c r="B1976" s="37">
        <v>1368.7</v>
      </c>
      <c r="C1976" s="37">
        <v>65259.45</v>
      </c>
      <c r="D1976" s="38">
        <f t="shared" si="100"/>
        <v>1.4038500255469514E-2</v>
      </c>
      <c r="E1976" s="38">
        <f t="shared" si="101"/>
        <v>-5.0014959092725582E-3</v>
      </c>
    </row>
    <row r="1977" spans="1:5">
      <c r="A1977" s="35">
        <v>45242</v>
      </c>
      <c r="B1977" s="37">
        <v>1388.05</v>
      </c>
      <c r="C1977" s="37">
        <v>64933.87</v>
      </c>
      <c r="D1977" s="38">
        <f t="shared" si="100"/>
        <v>-1.0064526343362711E-2</v>
      </c>
      <c r="E1977" s="38">
        <f t="shared" si="101"/>
        <v>1.1363128717620631E-2</v>
      </c>
    </row>
    <row r="1978" spans="1:5">
      <c r="A1978" s="35">
        <v>45243</v>
      </c>
      <c r="B1978" s="37">
        <v>1374.15</v>
      </c>
      <c r="C1978" s="37">
        <v>65675.929999999993</v>
      </c>
      <c r="D1978" s="38">
        <f t="shared" si="100"/>
        <v>2.6569616656510153E-2</v>
      </c>
      <c r="E1978" s="38">
        <f t="shared" si="101"/>
        <v>4.656756130821298E-3</v>
      </c>
    </row>
    <row r="1979" spans="1:5">
      <c r="A1979" s="35">
        <v>45245</v>
      </c>
      <c r="B1979" s="37">
        <v>1411.15</v>
      </c>
      <c r="C1979" s="37">
        <v>65982.48</v>
      </c>
      <c r="D1979" s="38">
        <f t="shared" si="100"/>
        <v>2.2942811191335746E-2</v>
      </c>
      <c r="E1979" s="38">
        <f t="shared" si="101"/>
        <v>-2.849508303285776E-3</v>
      </c>
    </row>
    <row r="1980" spans="1:5">
      <c r="A1980" s="35">
        <v>45246</v>
      </c>
      <c r="B1980" s="37">
        <v>1443.9</v>
      </c>
      <c r="C1980" s="37">
        <v>65794.73</v>
      </c>
      <c r="D1980" s="38">
        <f t="shared" si="100"/>
        <v>-4.3379499234365805E-3</v>
      </c>
      <c r="E1980" s="38">
        <f t="shared" si="101"/>
        <v>-2.1236999601672714E-3</v>
      </c>
    </row>
    <row r="1981" spans="1:5">
      <c r="A1981" s="35">
        <v>45247</v>
      </c>
      <c r="B1981" s="37">
        <v>1437.65</v>
      </c>
      <c r="C1981" s="37">
        <v>65655.149999999994</v>
      </c>
      <c r="D1981" s="38">
        <f t="shared" si="100"/>
        <v>-9.3947361595976726E-4</v>
      </c>
      <c r="E1981" s="38">
        <f t="shared" si="101"/>
        <v>4.1892081323266547E-3</v>
      </c>
    </row>
    <row r="1982" spans="1:5">
      <c r="A1982" s="35">
        <v>45250</v>
      </c>
      <c r="B1982" s="37">
        <v>1436.3</v>
      </c>
      <c r="C1982" s="37">
        <v>65930.77</v>
      </c>
      <c r="D1982" s="38">
        <f t="shared" si="100"/>
        <v>2.1559976359269988E-3</v>
      </c>
      <c r="E1982" s="38">
        <f t="shared" si="101"/>
        <v>1.4015491478716958E-3</v>
      </c>
    </row>
    <row r="1983" spans="1:5">
      <c r="A1983" s="35">
        <v>45251</v>
      </c>
      <c r="B1983" s="37">
        <v>1439.4</v>
      </c>
      <c r="C1983" s="37">
        <v>66023.240000000005</v>
      </c>
      <c r="D1983" s="38">
        <f t="shared" si="100"/>
        <v>1.2633491006263089E-2</v>
      </c>
      <c r="E1983" s="38">
        <f t="shared" si="101"/>
        <v>-8.2247149701860256E-5</v>
      </c>
    </row>
    <row r="1984" spans="1:5">
      <c r="A1984" s="35">
        <v>45252</v>
      </c>
      <c r="B1984" s="37">
        <v>1457.7</v>
      </c>
      <c r="C1984" s="37">
        <v>66017.81</v>
      </c>
      <c r="D1984" s="38">
        <f t="shared" si="100"/>
        <v>-5.4687233234170223E-3</v>
      </c>
      <c r="E1984" s="38">
        <f t="shared" si="101"/>
        <v>-7.2385453791126817E-4</v>
      </c>
    </row>
    <row r="1985" spans="1:5">
      <c r="A1985" s="35">
        <v>45253</v>
      </c>
      <c r="B1985" s="37">
        <v>1449.75</v>
      </c>
      <c r="C1985" s="37">
        <v>65970.039999999994</v>
      </c>
      <c r="D1985" s="38">
        <f t="shared" si="100"/>
        <v>-8.8683159940789232E-3</v>
      </c>
      <c r="E1985" s="38">
        <f t="shared" si="101"/>
        <v>3.089959311744534E-3</v>
      </c>
    </row>
    <row r="1986" spans="1:5">
      <c r="A1986" s="35">
        <v>45254</v>
      </c>
      <c r="B1986" s="37">
        <v>1436.95</v>
      </c>
      <c r="C1986" s="37">
        <v>66174.2</v>
      </c>
      <c r="D1986" s="38">
        <f t="shared" si="100"/>
        <v>4.2361174457512651E-3</v>
      </c>
      <c r="E1986" s="38">
        <f t="shared" si="101"/>
        <v>1.0936857918821987E-2</v>
      </c>
    </row>
    <row r="1987" spans="1:5">
      <c r="A1987" s="35">
        <v>45258</v>
      </c>
      <c r="B1987" s="37">
        <v>1443.05</v>
      </c>
      <c r="C1987" s="37">
        <v>66901.91</v>
      </c>
      <c r="D1987" s="38">
        <f t="shared" si="100"/>
        <v>1.1060878061754362E-2</v>
      </c>
      <c r="E1987" s="38">
        <f t="shared" si="101"/>
        <v>1.2925503898830455E-3</v>
      </c>
    </row>
    <row r="1988" spans="1:5">
      <c r="A1988" s="35">
        <v>45259</v>
      </c>
      <c r="B1988" s="37">
        <v>1459.1</v>
      </c>
      <c r="C1988" s="37">
        <v>66988.44</v>
      </c>
      <c r="D1988" s="38">
        <f t="shared" si="100"/>
        <v>-2.6077423506961628E-3</v>
      </c>
      <c r="E1988" s="38">
        <f t="shared" si="101"/>
        <v>7.3288251857883766E-3</v>
      </c>
    </row>
    <row r="1989" spans="1:5">
      <c r="A1989" s="35">
        <v>45260</v>
      </c>
      <c r="B1989" s="37">
        <v>1455.3</v>
      </c>
      <c r="C1989" s="37">
        <v>67481.19</v>
      </c>
      <c r="D1989" s="38">
        <f t="shared" ref="D1989:D2052" si="102">LN(B1990/B1989)</f>
        <v>-2.0979870466386052E-3</v>
      </c>
      <c r="E1989" s="38">
        <f t="shared" ref="E1989:E2052" si="103">LN(C1990/C1989)</f>
        <v>2.0300916530481338E-2</v>
      </c>
    </row>
    <row r="1990" spans="1:5">
      <c r="A1990" s="35">
        <v>45261</v>
      </c>
      <c r="B1990" s="37">
        <v>1452.25</v>
      </c>
      <c r="C1990" s="37">
        <v>68865.119999999995</v>
      </c>
      <c r="D1990" s="38">
        <f t="shared" si="102"/>
        <v>8.3656674671483827E-3</v>
      </c>
      <c r="E1990" s="38">
        <f t="shared" si="103"/>
        <v>6.2393958813346789E-3</v>
      </c>
    </row>
    <row r="1991" spans="1:5">
      <c r="A1991" s="35">
        <v>45264</v>
      </c>
      <c r="B1991" s="37">
        <v>1464.45</v>
      </c>
      <c r="C1991" s="37">
        <v>69296.14</v>
      </c>
      <c r="D1991" s="38">
        <f t="shared" si="102"/>
        <v>-7.3677149075109648E-3</v>
      </c>
      <c r="E1991" s="38">
        <f t="shared" si="103"/>
        <v>5.147047484709311E-3</v>
      </c>
    </row>
    <row r="1992" spans="1:5">
      <c r="A1992" s="35">
        <v>45265</v>
      </c>
      <c r="B1992" s="37">
        <v>1453.7</v>
      </c>
      <c r="C1992" s="37">
        <v>69653.73</v>
      </c>
      <c r="D1992" s="38">
        <f t="shared" si="102"/>
        <v>1.3935603620953278E-2</v>
      </c>
      <c r="E1992" s="38">
        <f t="shared" si="103"/>
        <v>-1.8974620606997882E-3</v>
      </c>
    </row>
    <row r="1993" spans="1:5">
      <c r="A1993" s="35">
        <v>45266</v>
      </c>
      <c r="B1993" s="37">
        <v>1474.1</v>
      </c>
      <c r="C1993" s="37">
        <v>69521.69</v>
      </c>
      <c r="D1993" s="38">
        <f t="shared" si="102"/>
        <v>-5.4077166048751386E-3</v>
      </c>
      <c r="E1993" s="38">
        <f t="shared" si="103"/>
        <v>4.3619144922976564E-3</v>
      </c>
    </row>
    <row r="1994" spans="1:5">
      <c r="A1994" s="35">
        <v>45267</v>
      </c>
      <c r="B1994" s="37">
        <v>1466.15</v>
      </c>
      <c r="C1994" s="37">
        <v>69825.600000000006</v>
      </c>
      <c r="D1994" s="38">
        <f t="shared" si="102"/>
        <v>1.6538805999236069E-2</v>
      </c>
      <c r="E1994" s="38">
        <f t="shared" si="103"/>
        <v>1.4730157686393831E-3</v>
      </c>
    </row>
    <row r="1995" spans="1:5">
      <c r="A1995" s="35">
        <v>45268</v>
      </c>
      <c r="B1995" s="37">
        <v>1490.6</v>
      </c>
      <c r="C1995" s="37">
        <v>69928.53</v>
      </c>
      <c r="D1995" s="38">
        <f t="shared" si="102"/>
        <v>-1.342642521783089E-3</v>
      </c>
      <c r="E1995" s="38">
        <f t="shared" si="103"/>
        <v>-5.412992724441291E-3</v>
      </c>
    </row>
    <row r="1996" spans="1:5">
      <c r="A1996" s="35">
        <v>45271</v>
      </c>
      <c r="B1996" s="37">
        <v>1488.6</v>
      </c>
      <c r="C1996" s="37">
        <v>69551.03</v>
      </c>
      <c r="D1996" s="38">
        <f t="shared" si="102"/>
        <v>-8.5003547653924923E-3</v>
      </c>
      <c r="E1996" s="38">
        <f t="shared" si="103"/>
        <v>4.8255074061791595E-4</v>
      </c>
    </row>
    <row r="1997" spans="1:5">
      <c r="A1997" s="35">
        <v>45272</v>
      </c>
      <c r="B1997" s="37">
        <v>1476</v>
      </c>
      <c r="C1997" s="37">
        <v>69584.600000000006</v>
      </c>
      <c r="D1997" s="38">
        <f t="shared" si="102"/>
        <v>-1.8531078333741211E-2</v>
      </c>
      <c r="E1997" s="38">
        <f t="shared" si="103"/>
        <v>1.3270829485982407E-2</v>
      </c>
    </row>
    <row r="1998" spans="1:5">
      <c r="A1998" s="35">
        <v>45273</v>
      </c>
      <c r="B1998" s="37">
        <v>1448.9</v>
      </c>
      <c r="C1998" s="37">
        <v>70514.2</v>
      </c>
      <c r="D1998" s="38">
        <f t="shared" si="102"/>
        <v>3.549344656751658E-2</v>
      </c>
      <c r="E1998" s="38">
        <f t="shared" si="103"/>
        <v>1.3656043166360418E-2</v>
      </c>
    </row>
    <row r="1999" spans="1:5">
      <c r="A1999" s="35">
        <v>45274</v>
      </c>
      <c r="B1999" s="37">
        <v>1501.25</v>
      </c>
      <c r="C1999" s="37">
        <v>71483.75</v>
      </c>
      <c r="D1999" s="38">
        <f t="shared" si="102"/>
        <v>5.0651956384616371E-2</v>
      </c>
      <c r="E1999" s="38">
        <f t="shared" si="103"/>
        <v>-2.3622051611495668E-3</v>
      </c>
    </row>
    <row r="2000" spans="1:5">
      <c r="A2000" s="35">
        <v>45275</v>
      </c>
      <c r="B2000" s="37">
        <v>1579.25</v>
      </c>
      <c r="C2000" s="37">
        <v>71315.09</v>
      </c>
      <c r="D2000" s="38">
        <f t="shared" si="102"/>
        <v>-9.8632679976888571E-3</v>
      </c>
      <c r="E2000" s="38">
        <f t="shared" si="103"/>
        <v>1.7106561068665376E-3</v>
      </c>
    </row>
    <row r="2001" spans="1:5">
      <c r="A2001" s="35">
        <v>45278</v>
      </c>
      <c r="B2001" s="37">
        <v>1563.75</v>
      </c>
      <c r="C2001" s="37">
        <v>71437.19</v>
      </c>
      <c r="D2001" s="38">
        <f t="shared" si="102"/>
        <v>-4.2937774248417594E-3</v>
      </c>
      <c r="E2001" s="38">
        <f t="shared" si="103"/>
        <v>-1.3116392728927326E-2</v>
      </c>
    </row>
    <row r="2002" spans="1:5">
      <c r="A2002" s="35">
        <v>45279</v>
      </c>
      <c r="B2002" s="37">
        <v>1557.05</v>
      </c>
      <c r="C2002" s="37">
        <v>70506.31</v>
      </c>
      <c r="D2002" s="38">
        <f t="shared" si="102"/>
        <v>-1.3774144312242336E-2</v>
      </c>
      <c r="E2002" s="38">
        <f t="shared" si="103"/>
        <v>5.0758603926002784E-3</v>
      </c>
    </row>
    <row r="2003" spans="1:5">
      <c r="A2003" s="35">
        <v>45280</v>
      </c>
      <c r="B2003" s="37">
        <v>1535.75</v>
      </c>
      <c r="C2003" s="37">
        <v>70865.100000000006</v>
      </c>
      <c r="D2003" s="38">
        <f t="shared" si="102"/>
        <v>3.2552083620778004E-4</v>
      </c>
      <c r="E2003" s="38">
        <f t="shared" si="103"/>
        <v>3.4071525618924515E-3</v>
      </c>
    </row>
    <row r="2004" spans="1:5">
      <c r="A2004" s="35">
        <v>45281</v>
      </c>
      <c r="B2004" s="37">
        <v>1536.25</v>
      </c>
      <c r="C2004" s="37">
        <v>71106.960000000006</v>
      </c>
      <c r="D2004" s="38">
        <f t="shared" si="102"/>
        <v>1.6622669519386617E-2</v>
      </c>
      <c r="E2004" s="38">
        <f t="shared" si="103"/>
        <v>3.2271009901205304E-3</v>
      </c>
    </row>
    <row r="2005" spans="1:5">
      <c r="A2005" s="35">
        <v>45282</v>
      </c>
      <c r="B2005" s="37">
        <v>1562</v>
      </c>
      <c r="C2005" s="37">
        <v>71336.800000000003</v>
      </c>
      <c r="D2005" s="38">
        <f t="shared" si="102"/>
        <v>-1.1266818040994822E-2</v>
      </c>
      <c r="E2005" s="38">
        <f t="shared" si="103"/>
        <v>9.7874033184580846E-3</v>
      </c>
    </row>
    <row r="2006" spans="1:5">
      <c r="A2006" s="35">
        <v>45286</v>
      </c>
      <c r="B2006" s="37">
        <v>1544.5</v>
      </c>
      <c r="C2006" s="37">
        <v>72038.429999999993</v>
      </c>
      <c r="D2006" s="38">
        <f t="shared" si="102"/>
        <v>1.4143598033610037E-2</v>
      </c>
      <c r="E2006" s="38">
        <f t="shared" si="103"/>
        <v>5.1499326587064352E-3</v>
      </c>
    </row>
    <row r="2007" spans="1:5">
      <c r="A2007" s="35">
        <v>45287</v>
      </c>
      <c r="B2007" s="37">
        <v>1566.5</v>
      </c>
      <c r="C2007" s="37">
        <v>72410.38</v>
      </c>
      <c r="D2007" s="38">
        <f t="shared" si="102"/>
        <v>-2.2367799707698048E-3</v>
      </c>
      <c r="E2007" s="38">
        <f t="shared" si="103"/>
        <v>-2.3521510645792549E-3</v>
      </c>
    </row>
    <row r="2008" spans="1:5">
      <c r="A2008" s="35">
        <v>45288</v>
      </c>
      <c r="B2008" s="37">
        <v>1563</v>
      </c>
      <c r="C2008" s="37">
        <v>72240.259999999995</v>
      </c>
      <c r="D2008" s="38">
        <f t="shared" si="102"/>
        <v>-1.2975696004825265E-2</v>
      </c>
      <c r="E2008" s="38">
        <f t="shared" si="103"/>
        <v>4.3844049855309823E-4</v>
      </c>
    </row>
    <row r="2009" spans="1:5">
      <c r="A2009" s="35">
        <v>45289</v>
      </c>
      <c r="B2009" s="37">
        <v>1542.85</v>
      </c>
      <c r="C2009" s="37">
        <v>72271.94</v>
      </c>
      <c r="D2009" s="38">
        <f t="shared" si="102"/>
        <v>5.4297021021655666E-3</v>
      </c>
      <c r="E2009" s="38">
        <f t="shared" si="103"/>
        <v>-5.2642791656820056E-3</v>
      </c>
    </row>
    <row r="2010" spans="1:5">
      <c r="A2010" s="35">
        <v>45292</v>
      </c>
      <c r="B2010" s="37">
        <v>1551.25</v>
      </c>
      <c r="C2010" s="37">
        <v>71892.479999999996</v>
      </c>
      <c r="D2010" s="38">
        <f t="shared" si="102"/>
        <v>-1.0563250317942852E-2</v>
      </c>
      <c r="E2010" s="38">
        <f t="shared" si="103"/>
        <v>-7.4818281524389307E-3</v>
      </c>
    </row>
    <row r="2011" spans="1:5">
      <c r="A2011" s="35">
        <v>45293</v>
      </c>
      <c r="B2011" s="37">
        <v>1534.95</v>
      </c>
      <c r="C2011" s="37">
        <v>71356.600000000006</v>
      </c>
      <c r="D2011" s="38">
        <f t="shared" si="102"/>
        <v>-2.9587468081247036E-2</v>
      </c>
      <c r="E2011" s="38">
        <f t="shared" si="103"/>
        <v>6.8569500970698284E-3</v>
      </c>
    </row>
    <row r="2012" spans="1:5">
      <c r="A2012" s="35">
        <v>45294</v>
      </c>
      <c r="B2012" s="37">
        <v>1490.2</v>
      </c>
      <c r="C2012" s="37">
        <v>71847.570000000007</v>
      </c>
      <c r="D2012" s="38">
        <f t="shared" si="102"/>
        <v>1.4655205004542329E-2</v>
      </c>
      <c r="E2012" s="38">
        <f t="shared" si="103"/>
        <v>2.4824560275436276E-3</v>
      </c>
    </row>
    <row r="2013" spans="1:5">
      <c r="A2013" s="35">
        <v>45295</v>
      </c>
      <c r="B2013" s="37">
        <v>1512.2</v>
      </c>
      <c r="C2013" s="37">
        <v>72026.149999999994</v>
      </c>
      <c r="D2013" s="38">
        <f t="shared" si="102"/>
        <v>1.3595822047892189E-2</v>
      </c>
      <c r="E2013" s="38">
        <f t="shared" si="103"/>
        <v>-9.358745798090342E-3</v>
      </c>
    </row>
    <row r="2014" spans="1:5">
      <c r="A2014" s="35">
        <v>45296</v>
      </c>
      <c r="B2014" s="37">
        <v>1532.9</v>
      </c>
      <c r="C2014" s="37">
        <v>71355.22</v>
      </c>
      <c r="D2014" s="38">
        <f t="shared" si="102"/>
        <v>-6.5121227567203682E-3</v>
      </c>
      <c r="E2014" s="38">
        <f t="shared" si="103"/>
        <v>4.3421171396303127E-4</v>
      </c>
    </row>
    <row r="2015" spans="1:5">
      <c r="A2015" s="35">
        <v>45299</v>
      </c>
      <c r="B2015" s="37">
        <v>1522.95</v>
      </c>
      <c r="C2015" s="37">
        <v>71386.210000000006</v>
      </c>
      <c r="D2015" s="38">
        <f t="shared" si="102"/>
        <v>4.062782037416791E-3</v>
      </c>
      <c r="E2015" s="38">
        <f t="shared" si="103"/>
        <v>3.7960414678877754E-3</v>
      </c>
    </row>
    <row r="2016" spans="1:5">
      <c r="A2016" s="35">
        <v>45300</v>
      </c>
      <c r="B2016" s="37">
        <v>1529.15</v>
      </c>
      <c r="C2016" s="37">
        <v>71657.710000000006</v>
      </c>
      <c r="D2016" s="38">
        <f t="shared" si="102"/>
        <v>-6.2319802849620807E-3</v>
      </c>
      <c r="E2016" s="38">
        <f t="shared" si="103"/>
        <v>8.8534656874309783E-4</v>
      </c>
    </row>
    <row r="2017" spans="1:5">
      <c r="A2017" s="35">
        <v>45301</v>
      </c>
      <c r="B2017" s="37">
        <v>1519.65</v>
      </c>
      <c r="C2017" s="37">
        <v>71721.179999999993</v>
      </c>
      <c r="D2017" s="38">
        <f t="shared" si="102"/>
        <v>-1.6353838343009304E-2</v>
      </c>
      <c r="E2017" s="38">
        <f t="shared" si="103"/>
        <v>1.1744152899916342E-2</v>
      </c>
    </row>
    <row r="2018" spans="1:5">
      <c r="A2018" s="35">
        <v>45302</v>
      </c>
      <c r="B2018" s="37">
        <v>1495</v>
      </c>
      <c r="C2018" s="37">
        <v>72568.45</v>
      </c>
      <c r="D2018" s="38">
        <f t="shared" si="102"/>
        <v>7.5473499024713675E-2</v>
      </c>
      <c r="E2018" s="38">
        <f t="shared" si="103"/>
        <v>1.041145515132442E-2</v>
      </c>
    </row>
    <row r="2019" spans="1:5">
      <c r="A2019" s="35">
        <v>45303</v>
      </c>
      <c r="B2019" s="37">
        <v>1612.2</v>
      </c>
      <c r="C2019" s="37">
        <v>73327.94</v>
      </c>
      <c r="D2019" s="38">
        <f t="shared" si="102"/>
        <v>2.4386969231422858E-2</v>
      </c>
      <c r="E2019" s="38">
        <f t="shared" si="103"/>
        <v>-2.7198497464726852E-3</v>
      </c>
    </row>
    <row r="2020" spans="1:5">
      <c r="A2020" s="35">
        <v>45306</v>
      </c>
      <c r="B2020" s="37">
        <v>1652</v>
      </c>
      <c r="C2020" s="37">
        <v>73128.77</v>
      </c>
      <c r="D2020" s="38">
        <f t="shared" si="102"/>
        <v>-1.2824007969055144E-2</v>
      </c>
      <c r="E2020" s="38">
        <f t="shared" si="103"/>
        <v>-2.2513780764534256E-2</v>
      </c>
    </row>
    <row r="2021" spans="1:5">
      <c r="A2021" s="35">
        <v>45307</v>
      </c>
      <c r="B2021" s="37">
        <v>1630.95</v>
      </c>
      <c r="C2021" s="37">
        <v>71500.759999999995</v>
      </c>
      <c r="D2021" s="38">
        <f t="shared" si="102"/>
        <v>5.47259723753191E-3</v>
      </c>
      <c r="E2021" s="38">
        <f t="shared" si="103"/>
        <v>-4.3998281895180121E-3</v>
      </c>
    </row>
    <row r="2022" spans="1:5">
      <c r="A2022" s="35">
        <v>45308</v>
      </c>
      <c r="B2022" s="37">
        <v>1639.9</v>
      </c>
      <c r="C2022" s="37">
        <v>71186.86</v>
      </c>
      <c r="D2022" s="38">
        <f t="shared" si="102"/>
        <v>1.6450879566917793E-3</v>
      </c>
      <c r="E2022" s="38">
        <f t="shared" si="103"/>
        <v>6.9485782107878893E-3</v>
      </c>
    </row>
    <row r="2023" spans="1:5">
      <c r="A2023" s="35">
        <v>45309</v>
      </c>
      <c r="B2023" s="37">
        <v>1642.6</v>
      </c>
      <c r="C2023" s="37">
        <v>71683.23</v>
      </c>
      <c r="D2023" s="38">
        <f t="shared" si="102"/>
        <v>9.9045197924411132E-3</v>
      </c>
      <c r="E2023" s="38">
        <f t="shared" si="103"/>
        <v>-3.6277820422056044E-3</v>
      </c>
    </row>
    <row r="2024" spans="1:5">
      <c r="A2024" s="35">
        <v>45310</v>
      </c>
      <c r="B2024" s="37">
        <v>1658.95</v>
      </c>
      <c r="C2024" s="37">
        <v>71423.649999999994</v>
      </c>
      <c r="D2024" s="38">
        <f t="shared" si="102"/>
        <v>-6.1674470670087262E-3</v>
      </c>
      <c r="E2024" s="38">
        <f t="shared" si="103"/>
        <v>-1.4854195214640591E-2</v>
      </c>
    </row>
    <row r="2025" spans="1:5">
      <c r="A2025" s="35">
        <v>45311</v>
      </c>
      <c r="B2025" s="37">
        <v>1648.75</v>
      </c>
      <c r="C2025" s="37">
        <v>70370.55</v>
      </c>
      <c r="D2025" s="38">
        <f t="shared" si="102"/>
        <v>-3.9806187568359559E-3</v>
      </c>
      <c r="E2025" s="38">
        <f t="shared" si="103"/>
        <v>9.7541013153960143E-3</v>
      </c>
    </row>
    <row r="2026" spans="1:5">
      <c r="A2026" s="35">
        <v>45314</v>
      </c>
      <c r="B2026" s="37">
        <v>1642.2</v>
      </c>
      <c r="C2026" s="37">
        <v>71060.31</v>
      </c>
      <c r="D2026" s="38">
        <f t="shared" si="102"/>
        <v>1.947780695957094E-2</v>
      </c>
      <c r="E2026" s="38">
        <f t="shared" si="103"/>
        <v>-5.0739035743440986E-3</v>
      </c>
    </row>
    <row r="2027" spans="1:5">
      <c r="A2027" s="35">
        <v>45315</v>
      </c>
      <c r="B2027" s="37">
        <v>1674.5</v>
      </c>
      <c r="C2027" s="37">
        <v>70700.67</v>
      </c>
      <c r="D2027" s="38">
        <f t="shared" si="102"/>
        <v>-2.2120596112390149E-3</v>
      </c>
      <c r="E2027" s="38">
        <f t="shared" si="103"/>
        <v>1.7399212251775192E-2</v>
      </c>
    </row>
    <row r="2028" spans="1:5">
      <c r="A2028" s="35">
        <v>45316</v>
      </c>
      <c r="B2028" s="37">
        <v>1670.8</v>
      </c>
      <c r="C2028" s="37">
        <v>71941.570000000007</v>
      </c>
      <c r="D2028" s="38">
        <f t="shared" si="102"/>
        <v>-8.9578859745816242E-3</v>
      </c>
      <c r="E2028" s="38">
        <f t="shared" si="103"/>
        <v>-1.1205900930972618E-2</v>
      </c>
    </row>
    <row r="2029" spans="1:5">
      <c r="A2029" s="35">
        <v>45320</v>
      </c>
      <c r="B2029" s="37">
        <v>1655.9</v>
      </c>
      <c r="C2029" s="37">
        <v>71139.899999999994</v>
      </c>
      <c r="D2029" s="38">
        <f t="shared" si="102"/>
        <v>-3.0846487700119099E-3</v>
      </c>
      <c r="E2029" s="38">
        <f t="shared" si="103"/>
        <v>8.5689010324606508E-3</v>
      </c>
    </row>
    <row r="2030" spans="1:5">
      <c r="A2030" s="35">
        <v>45321</v>
      </c>
      <c r="B2030" s="37">
        <v>1650.8</v>
      </c>
      <c r="C2030" s="37">
        <v>71752.11</v>
      </c>
      <c r="D2030" s="38">
        <f t="shared" si="102"/>
        <v>6.8218441986375739E-3</v>
      </c>
      <c r="E2030" s="38">
        <f t="shared" si="103"/>
        <v>-1.4897064005960515E-3</v>
      </c>
    </row>
    <row r="2031" spans="1:5">
      <c r="A2031" s="35">
        <v>45322</v>
      </c>
      <c r="B2031" s="37">
        <v>1662.1</v>
      </c>
      <c r="C2031" s="37">
        <v>71645.3</v>
      </c>
      <c r="D2031" s="38">
        <f t="shared" si="102"/>
        <v>-3.4051049158148293E-3</v>
      </c>
      <c r="E2031" s="38">
        <f t="shared" si="103"/>
        <v>6.1271624357531551E-3</v>
      </c>
    </row>
    <row r="2032" spans="1:5">
      <c r="A2032" s="35">
        <v>45323</v>
      </c>
      <c r="B2032" s="37">
        <v>1656.45</v>
      </c>
      <c r="C2032" s="37">
        <v>72085.63</v>
      </c>
      <c r="D2032" s="38">
        <f t="shared" si="102"/>
        <v>2.2327286314340354E-2</v>
      </c>
      <c r="E2032" s="38">
        <f t="shared" si="103"/>
        <v>-4.9258515066568243E-3</v>
      </c>
    </row>
    <row r="2033" spans="1:5">
      <c r="A2033" s="35">
        <v>45324</v>
      </c>
      <c r="B2033" s="37">
        <v>1693.85</v>
      </c>
      <c r="C2033" s="37">
        <v>71731.42</v>
      </c>
      <c r="D2033" s="38">
        <f t="shared" si="102"/>
        <v>-4.2004439680550726E-3</v>
      </c>
      <c r="E2033" s="38">
        <f t="shared" si="103"/>
        <v>6.3185016564799839E-3</v>
      </c>
    </row>
    <row r="2034" spans="1:5">
      <c r="A2034" s="35">
        <v>45327</v>
      </c>
      <c r="B2034" s="37">
        <v>1686.75</v>
      </c>
      <c r="C2034" s="37">
        <v>72186.09</v>
      </c>
      <c r="D2034" s="38">
        <f t="shared" si="102"/>
        <v>2.4884187973159434E-2</v>
      </c>
      <c r="E2034" s="38">
        <f t="shared" si="103"/>
        <v>-4.7236319441204257E-4</v>
      </c>
    </row>
    <row r="2035" spans="1:5">
      <c r="A2035" s="35">
        <v>45328</v>
      </c>
      <c r="B2035" s="37">
        <v>1729.25</v>
      </c>
      <c r="C2035" s="37">
        <v>72152</v>
      </c>
      <c r="D2035" s="38">
        <f t="shared" si="102"/>
        <v>-2.0772303583618503E-2</v>
      </c>
      <c r="E2035" s="38">
        <f t="shared" si="103"/>
        <v>-1.0079035498488948E-2</v>
      </c>
    </row>
    <row r="2036" spans="1:5">
      <c r="A2036" s="35">
        <v>45329</v>
      </c>
      <c r="B2036" s="37">
        <v>1693.7</v>
      </c>
      <c r="C2036" s="37">
        <v>71428.429999999993</v>
      </c>
      <c r="D2036" s="38">
        <f t="shared" si="102"/>
        <v>-2.9525525030693768E-4</v>
      </c>
      <c r="E2036" s="38">
        <f t="shared" si="103"/>
        <v>2.3361137909867192E-3</v>
      </c>
    </row>
    <row r="2037" spans="1:5">
      <c r="A2037" s="35">
        <v>45330</v>
      </c>
      <c r="B2037" s="37">
        <v>1693.2</v>
      </c>
      <c r="C2037" s="37">
        <v>71595.490000000005</v>
      </c>
      <c r="D2037" s="38">
        <f t="shared" si="102"/>
        <v>-1.4006206039424086E-2</v>
      </c>
      <c r="E2037" s="38">
        <f t="shared" si="103"/>
        <v>-7.3317410507249192E-3</v>
      </c>
    </row>
    <row r="2038" spans="1:5">
      <c r="A2038" s="35">
        <v>45331</v>
      </c>
      <c r="B2038" s="37">
        <v>1669.65</v>
      </c>
      <c r="C2038" s="37">
        <v>71072.490000000005</v>
      </c>
      <c r="D2038" s="38">
        <f t="shared" si="102"/>
        <v>6.0607150841820862E-3</v>
      </c>
      <c r="E2038" s="38">
        <f t="shared" si="103"/>
        <v>6.7686979542527755E-3</v>
      </c>
    </row>
    <row r="2039" spans="1:5">
      <c r="A2039" s="35">
        <v>45334</v>
      </c>
      <c r="B2039" s="37">
        <v>1679.8</v>
      </c>
      <c r="C2039" s="37">
        <v>71555.19</v>
      </c>
      <c r="D2039" s="38">
        <f t="shared" si="102"/>
        <v>2.8534081897365793E-3</v>
      </c>
      <c r="E2039" s="38">
        <f t="shared" si="103"/>
        <v>3.7333520279041344E-3</v>
      </c>
    </row>
    <row r="2040" spans="1:5">
      <c r="A2040" s="35">
        <v>45335</v>
      </c>
      <c r="B2040" s="37">
        <v>1684.6</v>
      </c>
      <c r="C2040" s="37">
        <v>71822.83</v>
      </c>
      <c r="D2040" s="38">
        <f t="shared" si="102"/>
        <v>-1.110260315447523E-2</v>
      </c>
      <c r="E2040" s="38">
        <f t="shared" si="103"/>
        <v>3.1632044594840075E-3</v>
      </c>
    </row>
    <row r="2041" spans="1:5">
      <c r="A2041" s="35">
        <v>45336</v>
      </c>
      <c r="B2041" s="37">
        <v>1666</v>
      </c>
      <c r="C2041" s="37">
        <v>72050.38</v>
      </c>
      <c r="D2041" s="38">
        <f t="shared" si="102"/>
        <v>6.9386568609220416E-3</v>
      </c>
      <c r="E2041" s="38">
        <f t="shared" si="103"/>
        <v>9.0880237847648249E-3</v>
      </c>
    </row>
    <row r="2042" spans="1:5">
      <c r="A2042" s="35">
        <v>45337</v>
      </c>
      <c r="B2042" s="37">
        <v>1677.6</v>
      </c>
      <c r="C2042" s="37">
        <v>72708.160000000003</v>
      </c>
      <c r="D2042" s="38">
        <f t="shared" si="102"/>
        <v>1.4674819559615252E-2</v>
      </c>
      <c r="E2042" s="38">
        <f t="shared" si="103"/>
        <v>4.7918132136997122E-3</v>
      </c>
    </row>
    <row r="2043" spans="1:5">
      <c r="A2043" s="35">
        <v>45338</v>
      </c>
      <c r="B2043" s="37">
        <v>1702.4</v>
      </c>
      <c r="C2043" s="37">
        <v>73057.399999999994</v>
      </c>
      <c r="D2043" s="38">
        <f t="shared" si="102"/>
        <v>-1.7343508617134477E-3</v>
      </c>
      <c r="E2043" s="38">
        <f t="shared" si="103"/>
        <v>-5.9625182026963588E-3</v>
      </c>
    </row>
    <row r="2044" spans="1:5">
      <c r="A2044" s="35">
        <v>45341</v>
      </c>
      <c r="B2044" s="37">
        <v>1699.45</v>
      </c>
      <c r="C2044" s="37">
        <v>72623.09</v>
      </c>
      <c r="D2044" s="38">
        <f t="shared" si="102"/>
        <v>-9.0436838159560131E-3</v>
      </c>
      <c r="E2044" s="38">
        <f t="shared" si="103"/>
        <v>7.3418510290321811E-3</v>
      </c>
    </row>
    <row r="2045" spans="1:5">
      <c r="A2045" s="35">
        <v>45342</v>
      </c>
      <c r="B2045" s="37">
        <v>1684.15</v>
      </c>
      <c r="C2045" s="37">
        <v>73158.240000000005</v>
      </c>
      <c r="D2045" s="38">
        <f t="shared" si="102"/>
        <v>-1.6825736743542447E-2</v>
      </c>
      <c r="E2045" s="38">
        <f t="shared" si="103"/>
        <v>-2.1107163773173055E-4</v>
      </c>
    </row>
    <row r="2046" spans="1:5">
      <c r="A2046" s="35">
        <v>45343</v>
      </c>
      <c r="B2046" s="37">
        <v>1656.05</v>
      </c>
      <c r="C2046" s="37">
        <v>73142.8</v>
      </c>
      <c r="D2046" s="38">
        <f t="shared" si="102"/>
        <v>1.450734312396198E-2</v>
      </c>
      <c r="E2046" s="38">
        <f t="shared" si="103"/>
        <v>-4.8333256457077627E-3</v>
      </c>
    </row>
    <row r="2047" spans="1:5">
      <c r="A2047" s="35">
        <v>45344</v>
      </c>
      <c r="B2047" s="37">
        <v>1680.25</v>
      </c>
      <c r="C2047" s="37">
        <v>72790.13</v>
      </c>
      <c r="D2047" s="38">
        <f t="shared" si="102"/>
        <v>-1.9361090268664404E-3</v>
      </c>
      <c r="E2047" s="38">
        <f t="shared" si="103"/>
        <v>4.182605652659049E-3</v>
      </c>
    </row>
    <row r="2048" spans="1:5">
      <c r="A2048" s="35">
        <v>45345</v>
      </c>
      <c r="B2048" s="37">
        <v>1677</v>
      </c>
      <c r="C2048" s="37">
        <v>73095.22</v>
      </c>
      <c r="D2048" s="38">
        <f t="shared" si="102"/>
        <v>-1.1002464354298233E-2</v>
      </c>
      <c r="E2048" s="38">
        <f t="shared" si="103"/>
        <v>-1.0871351311725373E-2</v>
      </c>
    </row>
    <row r="2049" spans="1:5">
      <c r="A2049" s="35">
        <v>45348</v>
      </c>
      <c r="B2049" s="37">
        <v>1658.65</v>
      </c>
      <c r="C2049" s="37">
        <v>72304.88</v>
      </c>
      <c r="D2049" s="38">
        <f t="shared" si="102"/>
        <v>3.6709435218209969E-3</v>
      </c>
      <c r="E2049" s="38">
        <f t="shared" si="103"/>
        <v>2.6990763539870006E-3</v>
      </c>
    </row>
    <row r="2050" spans="1:5">
      <c r="A2050" s="35">
        <v>45349</v>
      </c>
      <c r="B2050" s="37">
        <v>1664.75</v>
      </c>
      <c r="C2050" s="37">
        <v>72500.3</v>
      </c>
      <c r="D2050" s="38">
        <f t="shared" si="102"/>
        <v>3.2085428668399405E-3</v>
      </c>
      <c r="E2050" s="38">
        <f t="shared" si="103"/>
        <v>1.702724260158095E-2</v>
      </c>
    </row>
    <row r="2051" spans="1:5">
      <c r="A2051" s="35">
        <v>45350</v>
      </c>
      <c r="B2051" s="37">
        <v>1670.1</v>
      </c>
      <c r="C2051" s="37">
        <v>73745.350000000006</v>
      </c>
      <c r="D2051" s="38">
        <f t="shared" si="102"/>
        <v>2.9595107023391168E-3</v>
      </c>
      <c r="E2051" s="38">
        <f t="shared" si="103"/>
        <v>8.2411908304738852E-4</v>
      </c>
    </row>
    <row r="2052" spans="1:5">
      <c r="A2052" s="35">
        <v>45351</v>
      </c>
      <c r="B2052" s="37">
        <v>1675.05</v>
      </c>
      <c r="C2052" s="37">
        <v>73806.149999999994</v>
      </c>
      <c r="D2052" s="38">
        <f t="shared" si="102"/>
        <v>-1.2011795724742626E-2</v>
      </c>
      <c r="E2052" s="38">
        <f t="shared" si="103"/>
        <v>8.95729998531847E-4</v>
      </c>
    </row>
    <row r="2053" spans="1:5">
      <c r="A2053" s="35">
        <v>45352</v>
      </c>
      <c r="B2053" s="37">
        <v>1655.05</v>
      </c>
      <c r="C2053" s="37">
        <v>73872.289999999994</v>
      </c>
      <c r="D2053" s="38">
        <f t="shared" ref="D2053:D2116" si="104">LN(B2054/B2053)</f>
        <v>9.0627596165200998E-5</v>
      </c>
      <c r="E2053" s="38">
        <f t="shared" ref="E2053:E2116" si="105">LN(C2054/C2053)</f>
        <v>-2.6453525037101852E-3</v>
      </c>
    </row>
    <row r="2054" spans="1:5">
      <c r="A2054" s="35">
        <v>45353</v>
      </c>
      <c r="B2054" s="37">
        <v>1655.2</v>
      </c>
      <c r="C2054" s="37">
        <v>73677.13</v>
      </c>
      <c r="D2054" s="38">
        <f t="shared" si="104"/>
        <v>-1.0537441303148426E-2</v>
      </c>
      <c r="E2054" s="38">
        <f t="shared" si="105"/>
        <v>5.5340066378143484E-3</v>
      </c>
    </row>
    <row r="2055" spans="1:5">
      <c r="A2055" s="35">
        <v>45355</v>
      </c>
      <c r="B2055" s="37">
        <v>1637.85</v>
      </c>
      <c r="C2055" s="37">
        <v>74085.990000000005</v>
      </c>
      <c r="D2055" s="38">
        <f t="shared" si="104"/>
        <v>-1.9513265373823072E-2</v>
      </c>
      <c r="E2055" s="38">
        <f t="shared" si="105"/>
        <v>4.507258854630576E-4</v>
      </c>
    </row>
    <row r="2056" spans="1:5">
      <c r="A2056" s="35">
        <v>45356</v>
      </c>
      <c r="B2056" s="37">
        <v>1606.2</v>
      </c>
      <c r="C2056" s="37">
        <v>74119.39</v>
      </c>
      <c r="D2056" s="38">
        <f t="shared" si="104"/>
        <v>6.8869513713707481E-3</v>
      </c>
      <c r="E2056" s="38">
        <f t="shared" si="105"/>
        <v>-8.3558475447408301E-3</v>
      </c>
    </row>
    <row r="2057" spans="1:5">
      <c r="A2057" s="35">
        <v>45357</v>
      </c>
      <c r="B2057" s="37">
        <v>1617.3</v>
      </c>
      <c r="C2057" s="37">
        <v>73502.64</v>
      </c>
      <c r="D2057" s="38">
        <f t="shared" si="104"/>
        <v>-2.1643348619689446E-4</v>
      </c>
      <c r="E2057" s="38">
        <f t="shared" si="105"/>
        <v>2.246645315525746E-3</v>
      </c>
    </row>
    <row r="2058" spans="1:5">
      <c r="A2058" s="35">
        <v>45358</v>
      </c>
      <c r="B2058" s="37">
        <v>1616.95</v>
      </c>
      <c r="C2058" s="37">
        <v>73667.960000000006</v>
      </c>
      <c r="D2058" s="38">
        <f t="shared" si="104"/>
        <v>-1.0881838507237493E-2</v>
      </c>
      <c r="E2058" s="38">
        <f t="shared" si="105"/>
        <v>-1.2375640133173453E-2</v>
      </c>
    </row>
    <row r="2059" spans="1:5">
      <c r="A2059" s="35">
        <v>45362</v>
      </c>
      <c r="B2059" s="37">
        <v>1599.45</v>
      </c>
      <c r="C2059" s="37">
        <v>72761.89</v>
      </c>
      <c r="D2059" s="38">
        <f t="shared" si="104"/>
        <v>7.939885717202215E-3</v>
      </c>
      <c r="E2059" s="38">
        <f t="shared" si="105"/>
        <v>4.5988276376828629E-3</v>
      </c>
    </row>
    <row r="2060" spans="1:5">
      <c r="A2060" s="35">
        <v>45363</v>
      </c>
      <c r="B2060" s="37">
        <v>1612.2</v>
      </c>
      <c r="C2060" s="37">
        <v>73097.279999999999</v>
      </c>
      <c r="D2060" s="38">
        <f t="shared" si="104"/>
        <v>-3.101833208281748E-4</v>
      </c>
      <c r="E2060" s="38">
        <f t="shared" si="105"/>
        <v>-6.228204419880156E-3</v>
      </c>
    </row>
    <row r="2061" spans="1:5">
      <c r="A2061" s="35">
        <v>45364</v>
      </c>
      <c r="B2061" s="37">
        <v>1611.7</v>
      </c>
      <c r="C2061" s="37">
        <v>72643.429999999993</v>
      </c>
      <c r="D2061" s="38">
        <f t="shared" si="104"/>
        <v>2.4969512553329458E-2</v>
      </c>
      <c r="E2061" s="38">
        <f t="shared" si="105"/>
        <v>1.4442352614559091E-3</v>
      </c>
    </row>
    <row r="2062" spans="1:5">
      <c r="A2062" s="35">
        <v>45365</v>
      </c>
      <c r="B2062" s="37">
        <v>1652.45</v>
      </c>
      <c r="C2062" s="37">
        <v>72748.42</v>
      </c>
      <c r="D2062" s="38">
        <f t="shared" si="104"/>
        <v>-1.0677394700634949E-2</v>
      </c>
      <c r="E2062" s="38">
        <f t="shared" si="105"/>
        <v>-1.0173721478841552E-2</v>
      </c>
    </row>
    <row r="2063" spans="1:5">
      <c r="A2063" s="35">
        <v>45366</v>
      </c>
      <c r="B2063" s="37">
        <v>1634.9</v>
      </c>
      <c r="C2063" s="37">
        <v>72012.05</v>
      </c>
      <c r="D2063" s="38">
        <f t="shared" si="104"/>
        <v>-2.014154336753254E-2</v>
      </c>
      <c r="E2063" s="38">
        <f t="shared" si="105"/>
        <v>1.2440175594695723E-3</v>
      </c>
    </row>
    <row r="2064" spans="1:5">
      <c r="A2064" s="35">
        <v>45369</v>
      </c>
      <c r="B2064" s="37">
        <v>1602.3</v>
      </c>
      <c r="C2064" s="37">
        <v>72101.69</v>
      </c>
      <c r="D2064" s="38">
        <f t="shared" si="104"/>
        <v>-2.5505056369819628E-2</v>
      </c>
      <c r="E2064" s="38">
        <f t="shared" si="105"/>
        <v>7.4546326341144494E-3</v>
      </c>
    </row>
    <row r="2065" spans="1:5">
      <c r="A2065" s="35">
        <v>45370</v>
      </c>
      <c r="B2065" s="37">
        <v>1561.95</v>
      </c>
      <c r="C2065" s="37">
        <v>72641.19</v>
      </c>
      <c r="D2065" s="38">
        <f t="shared" si="104"/>
        <v>-4.7167628478954121E-3</v>
      </c>
      <c r="E2065" s="38">
        <f t="shared" si="105"/>
        <v>-2.3552935608296818E-3</v>
      </c>
    </row>
    <row r="2066" spans="1:5">
      <c r="A2066" s="35">
        <v>45371</v>
      </c>
      <c r="B2066" s="37">
        <v>1554.6</v>
      </c>
      <c r="C2066" s="37">
        <v>72470.3</v>
      </c>
      <c r="D2066" s="38">
        <f t="shared" si="104"/>
        <v>3.8587691005540105E-4</v>
      </c>
      <c r="E2066" s="38">
        <f t="shared" si="105"/>
        <v>7.2320691689827495E-3</v>
      </c>
    </row>
    <row r="2067" spans="1:5">
      <c r="A2067" s="35">
        <v>45372</v>
      </c>
      <c r="B2067" s="37">
        <v>1555.2</v>
      </c>
      <c r="C2067" s="37">
        <v>72996.31</v>
      </c>
      <c r="D2067" s="38">
        <f t="shared" si="104"/>
        <v>-3.0256383457717771E-2</v>
      </c>
      <c r="E2067" s="38">
        <f t="shared" si="105"/>
        <v>8.9335807539530042E-3</v>
      </c>
    </row>
    <row r="2068" spans="1:5">
      <c r="A2068" s="35">
        <v>45373</v>
      </c>
      <c r="B2068" s="37">
        <v>1508.85</v>
      </c>
      <c r="C2068" s="37">
        <v>73651.350000000006</v>
      </c>
      <c r="D2068" s="38">
        <f t="shared" si="104"/>
        <v>-1.0928706380386248E-2</v>
      </c>
      <c r="E2068" s="38">
        <f t="shared" si="105"/>
        <v>4.9192228187454959E-3</v>
      </c>
    </row>
    <row r="2069" spans="1:5">
      <c r="A2069" s="35">
        <v>45377</v>
      </c>
      <c r="B2069" s="37">
        <v>1492.45</v>
      </c>
      <c r="C2069" s="37">
        <v>74014.55</v>
      </c>
      <c r="D2069" s="38">
        <f t="shared" si="104"/>
        <v>-5.6105369662981458E-3</v>
      </c>
      <c r="E2069" s="38">
        <f t="shared" si="105"/>
        <v>-1.4959596068453956E-3</v>
      </c>
    </row>
    <row r="2070" spans="1:5">
      <c r="A2070" s="35">
        <v>45378</v>
      </c>
      <c r="B2070" s="37">
        <v>1484.1</v>
      </c>
      <c r="C2070" s="37">
        <v>73903.91</v>
      </c>
      <c r="D2070" s="38">
        <f t="shared" si="104"/>
        <v>9.8562600177596656E-3</v>
      </c>
      <c r="E2070" s="38">
        <f t="shared" si="105"/>
        <v>-3.6662425883849758E-4</v>
      </c>
    </row>
    <row r="2071" spans="1:5">
      <c r="A2071" s="35">
        <v>45379</v>
      </c>
      <c r="B2071" s="37">
        <v>1498.8</v>
      </c>
      <c r="C2071" s="37">
        <v>73876.820000000007</v>
      </c>
      <c r="D2071" s="38">
        <f t="shared" si="104"/>
        <v>-2.0036071619650609E-3</v>
      </c>
      <c r="E2071" s="38">
        <f t="shared" si="105"/>
        <v>4.7373411951451422E-3</v>
      </c>
    </row>
    <row r="2072" spans="1:5">
      <c r="A2072" s="35">
        <v>45383</v>
      </c>
      <c r="B2072" s="37">
        <v>1495.8</v>
      </c>
      <c r="C2072" s="37">
        <v>74227.63</v>
      </c>
      <c r="D2072" s="38">
        <f t="shared" si="104"/>
        <v>-8.4592649459764632E-3</v>
      </c>
      <c r="E2072" s="38">
        <f t="shared" si="105"/>
        <v>2.7735150372240749E-4</v>
      </c>
    </row>
    <row r="2073" spans="1:5">
      <c r="A2073" s="35">
        <v>45384</v>
      </c>
      <c r="B2073" s="37">
        <v>1483.2</v>
      </c>
      <c r="C2073" s="37">
        <v>74248.22</v>
      </c>
      <c r="D2073" s="38">
        <f t="shared" si="104"/>
        <v>-1.6531996545162291E-3</v>
      </c>
      <c r="E2073" s="38">
        <f t="shared" si="105"/>
        <v>6.6350684573204151E-3</v>
      </c>
    </row>
    <row r="2074" spans="1:5">
      <c r="A2074" s="35">
        <v>45385</v>
      </c>
      <c r="B2074" s="37">
        <v>1480.75</v>
      </c>
      <c r="C2074" s="37">
        <v>74742.5</v>
      </c>
      <c r="D2074" s="38">
        <f t="shared" si="104"/>
        <v>3.9429171341184973E-3</v>
      </c>
      <c r="E2074" s="38">
        <f t="shared" si="105"/>
        <v>-7.8701061841889269E-4</v>
      </c>
    </row>
    <row r="2075" spans="1:5">
      <c r="A2075" s="35">
        <v>45386</v>
      </c>
      <c r="B2075" s="37">
        <v>1486.6</v>
      </c>
      <c r="C2075" s="37">
        <v>74683.7</v>
      </c>
      <c r="D2075" s="38">
        <f t="shared" si="104"/>
        <v>-4.7874404509287115E-3</v>
      </c>
      <c r="E2075" s="38">
        <f t="shared" si="105"/>
        <v>4.7347887055635305E-3</v>
      </c>
    </row>
    <row r="2076" spans="1:5">
      <c r="A2076" s="35">
        <v>45387</v>
      </c>
      <c r="B2076" s="37">
        <v>1479.5</v>
      </c>
      <c r="C2076" s="37">
        <v>75038.149999999994</v>
      </c>
      <c r="D2076" s="38">
        <f t="shared" si="104"/>
        <v>-1.6573374783436057E-3</v>
      </c>
      <c r="E2076" s="38">
        <f t="shared" si="105"/>
        <v>-1.0627562420871458E-2</v>
      </c>
    </row>
    <row r="2077" spans="1:5">
      <c r="A2077" s="35">
        <v>45390</v>
      </c>
      <c r="B2077" s="37">
        <v>1477.05</v>
      </c>
      <c r="C2077" s="37">
        <v>74244.899999999994</v>
      </c>
      <c r="D2077" s="38">
        <f t="shared" si="104"/>
        <v>1.1878662429848065E-2</v>
      </c>
      <c r="E2077" s="38">
        <f t="shared" si="105"/>
        <v>-1.144815011429739E-2</v>
      </c>
    </row>
    <row r="2078" spans="1:5">
      <c r="A2078" s="35">
        <v>45391</v>
      </c>
      <c r="B2078" s="37">
        <v>1494.7</v>
      </c>
      <c r="C2078" s="37">
        <v>73399.78</v>
      </c>
      <c r="D2078" s="38">
        <f t="shared" si="104"/>
        <v>7.9963110154739701E-3</v>
      </c>
      <c r="E2078" s="38">
        <f t="shared" si="105"/>
        <v>-6.2333018062683872E-3</v>
      </c>
    </row>
    <row r="2079" spans="1:5">
      <c r="A2079" s="35">
        <v>45392</v>
      </c>
      <c r="B2079" s="37">
        <v>1506.7</v>
      </c>
      <c r="C2079" s="37">
        <v>72943.679999999993</v>
      </c>
      <c r="D2079" s="38">
        <f t="shared" si="104"/>
        <v>-1.447338710359565E-2</v>
      </c>
      <c r="E2079" s="38">
        <f t="shared" si="105"/>
        <v>-6.2529482750531265E-3</v>
      </c>
    </row>
    <row r="2080" spans="1:5">
      <c r="A2080" s="35">
        <v>45394</v>
      </c>
      <c r="B2080" s="37">
        <v>1485.05</v>
      </c>
      <c r="C2080" s="37">
        <v>72488.990000000005</v>
      </c>
      <c r="D2080" s="38">
        <f t="shared" si="104"/>
        <v>-1.1343172734755269E-2</v>
      </c>
      <c r="E2080" s="38">
        <f t="shared" si="105"/>
        <v>8.2340214289239912E-3</v>
      </c>
    </row>
    <row r="2081" spans="1:5">
      <c r="A2081" s="35">
        <v>45397</v>
      </c>
      <c r="B2081" s="37">
        <v>1468.3</v>
      </c>
      <c r="C2081" s="37">
        <v>73088.33</v>
      </c>
      <c r="D2081" s="38">
        <f t="shared" si="104"/>
        <v>-3.7152431946258606E-2</v>
      </c>
      <c r="E2081" s="38">
        <f t="shared" si="105"/>
        <v>7.636695773842391E-3</v>
      </c>
    </row>
    <row r="2082" spans="1:5">
      <c r="A2082" s="35">
        <v>45398</v>
      </c>
      <c r="B2082" s="37">
        <v>1414.75</v>
      </c>
      <c r="C2082" s="37">
        <v>73648.62</v>
      </c>
      <c r="D2082" s="38">
        <f t="shared" si="104"/>
        <v>4.0912835257795139E-3</v>
      </c>
      <c r="E2082" s="38">
        <f t="shared" si="105"/>
        <v>1.2189673235658521E-3</v>
      </c>
    </row>
    <row r="2083" spans="1:5">
      <c r="A2083" s="35">
        <v>45400</v>
      </c>
      <c r="B2083" s="37">
        <v>1420.55</v>
      </c>
      <c r="C2083" s="37">
        <v>73738.45</v>
      </c>
      <c r="D2083" s="38">
        <f t="shared" si="104"/>
        <v>-6.3203077472978753E-3</v>
      </c>
      <c r="E2083" s="38">
        <f t="shared" si="105"/>
        <v>1.5514458257306575E-3</v>
      </c>
    </row>
    <row r="2084" spans="1:5">
      <c r="A2084" s="35">
        <v>45401</v>
      </c>
      <c r="B2084" s="37">
        <v>1411.6</v>
      </c>
      <c r="C2084" s="37">
        <v>73852.94</v>
      </c>
      <c r="D2084" s="38">
        <f t="shared" si="104"/>
        <v>1.4697356787779725E-2</v>
      </c>
      <c r="E2084" s="38">
        <f t="shared" si="105"/>
        <v>6.5658132725325584E-3</v>
      </c>
    </row>
    <row r="2085" spans="1:5">
      <c r="A2085" s="35">
        <v>45404</v>
      </c>
      <c r="B2085" s="37">
        <v>1432.5</v>
      </c>
      <c r="C2085" s="37">
        <v>74339.44</v>
      </c>
      <c r="D2085" s="38">
        <f t="shared" si="104"/>
        <v>6.4018032289635115E-3</v>
      </c>
      <c r="E2085" s="38">
        <f t="shared" si="105"/>
        <v>-8.2296898048214578E-3</v>
      </c>
    </row>
    <row r="2086" spans="1:5">
      <c r="A2086" s="35">
        <v>45405</v>
      </c>
      <c r="B2086" s="37">
        <v>1441.7</v>
      </c>
      <c r="C2086" s="37">
        <v>73730.16</v>
      </c>
      <c r="D2086" s="38">
        <f t="shared" si="104"/>
        <v>-6.8556583871372707E-3</v>
      </c>
      <c r="E2086" s="38">
        <f t="shared" si="105"/>
        <v>1.2683604913330964E-2</v>
      </c>
    </row>
    <row r="2087" spans="1:5">
      <c r="A2087" s="35">
        <v>45406</v>
      </c>
      <c r="B2087" s="37">
        <v>1431.85</v>
      </c>
      <c r="C2087" s="37">
        <v>74671.28</v>
      </c>
      <c r="D2087" s="38">
        <f t="shared" si="104"/>
        <v>4.5640702866350377E-3</v>
      </c>
      <c r="E2087" s="38">
        <f t="shared" si="105"/>
        <v>-2.5275892638248012E-3</v>
      </c>
    </row>
    <row r="2088" spans="1:5">
      <c r="A2088" s="35">
        <v>45407</v>
      </c>
      <c r="B2088" s="37">
        <v>1438.4</v>
      </c>
      <c r="C2088" s="37">
        <v>74482.78</v>
      </c>
      <c r="D2088" s="38">
        <f t="shared" si="104"/>
        <v>-5.7520508596146241E-3</v>
      </c>
      <c r="E2088" s="38">
        <f t="shared" si="105"/>
        <v>1.7214660063075305E-3</v>
      </c>
    </row>
    <row r="2089" spans="1:5">
      <c r="A2089" s="35">
        <v>45408</v>
      </c>
      <c r="B2089" s="37">
        <v>1430.15</v>
      </c>
      <c r="C2089" s="37">
        <v>74611.11</v>
      </c>
      <c r="D2089" s="38">
        <f t="shared" si="104"/>
        <v>3.3855153359801556E-3</v>
      </c>
      <c r="E2089" s="38">
        <f t="shared" si="105"/>
        <v>-9.8723093239108713E-3</v>
      </c>
    </row>
    <row r="2090" spans="1:5">
      <c r="A2090" s="35">
        <v>45411</v>
      </c>
      <c r="B2090" s="37">
        <v>1435</v>
      </c>
      <c r="C2090" s="37">
        <v>73878.149999999994</v>
      </c>
      <c r="D2090" s="38">
        <f t="shared" si="104"/>
        <v>-9.7336295959057351E-3</v>
      </c>
      <c r="E2090" s="38">
        <f t="shared" si="105"/>
        <v>2.3535989498904987E-4</v>
      </c>
    </row>
    <row r="2091" spans="1:5">
      <c r="A2091" s="35">
        <v>45412</v>
      </c>
      <c r="B2091" s="37">
        <v>1421.1</v>
      </c>
      <c r="C2091" s="37">
        <v>73895.539999999994</v>
      </c>
      <c r="D2091" s="38">
        <f t="shared" si="104"/>
        <v>-4.4077012067618654E-3</v>
      </c>
      <c r="E2091" s="38">
        <f t="shared" si="105"/>
        <v>-5.2058565928025892E-3</v>
      </c>
    </row>
    <row r="2092" spans="1:5">
      <c r="A2092" s="35">
        <v>45414</v>
      </c>
      <c r="B2092" s="37">
        <v>1414.85</v>
      </c>
      <c r="C2092" s="37">
        <v>73511.850000000006</v>
      </c>
      <c r="D2092" s="38">
        <f t="shared" si="104"/>
        <v>1.1302229861339626E-3</v>
      </c>
      <c r="E2092" s="38">
        <f t="shared" si="105"/>
        <v>-6.18594989974703E-4</v>
      </c>
    </row>
    <row r="2093" spans="1:5">
      <c r="A2093" s="35">
        <v>45415</v>
      </c>
      <c r="B2093" s="37">
        <v>1416.45</v>
      </c>
      <c r="C2093" s="37">
        <v>73466.39</v>
      </c>
      <c r="D2093" s="38">
        <f t="shared" si="104"/>
        <v>6.5793183063400859E-3</v>
      </c>
      <c r="E2093" s="38">
        <f t="shared" si="105"/>
        <v>-1.4564128305212818E-2</v>
      </c>
    </row>
    <row r="2094" spans="1:5">
      <c r="A2094" s="35">
        <v>45418</v>
      </c>
      <c r="B2094" s="37">
        <v>1425.8</v>
      </c>
      <c r="C2094" s="37">
        <v>72404.17</v>
      </c>
      <c r="D2094" s="38">
        <f t="shared" si="104"/>
        <v>1.0430751633247717E-2</v>
      </c>
      <c r="E2094" s="38">
        <f t="shared" si="105"/>
        <v>3.5886498881368295E-3</v>
      </c>
    </row>
    <row r="2095" spans="1:5">
      <c r="A2095" s="35">
        <v>45419</v>
      </c>
      <c r="B2095" s="37">
        <v>1440.75</v>
      </c>
      <c r="C2095" s="37">
        <v>72664.47</v>
      </c>
      <c r="D2095" s="38">
        <f t="shared" si="104"/>
        <v>-9.3442331168821623E-3</v>
      </c>
      <c r="E2095" s="38">
        <f t="shared" si="105"/>
        <v>1.5354725150772163E-3</v>
      </c>
    </row>
    <row r="2096" spans="1:5">
      <c r="A2096" s="35">
        <v>45420</v>
      </c>
      <c r="B2096" s="37">
        <v>1427.35</v>
      </c>
      <c r="C2096" s="37">
        <v>72776.13</v>
      </c>
      <c r="D2096" s="38">
        <f t="shared" si="104"/>
        <v>7.9551028361988987E-3</v>
      </c>
      <c r="E2096" s="38">
        <f t="shared" si="105"/>
        <v>4.5034122414071096E-3</v>
      </c>
    </row>
    <row r="2097" spans="1:5">
      <c r="A2097" s="35">
        <v>45421</v>
      </c>
      <c r="B2097" s="37">
        <v>1438.75</v>
      </c>
      <c r="C2097" s="37">
        <v>73104.61</v>
      </c>
      <c r="D2097" s="38">
        <f t="shared" si="104"/>
        <v>-9.4976097152242051E-3</v>
      </c>
      <c r="E2097" s="38">
        <f t="shared" si="105"/>
        <v>-1.6096749326381943E-3</v>
      </c>
    </row>
    <row r="2098" spans="1:5">
      <c r="A2098" s="35">
        <v>45422</v>
      </c>
      <c r="B2098" s="37">
        <v>1425.15</v>
      </c>
      <c r="C2098" s="37">
        <v>72987.03</v>
      </c>
      <c r="D2098" s="38">
        <f t="shared" si="104"/>
        <v>-1.3340824896770098E-3</v>
      </c>
      <c r="E2098" s="38">
        <f t="shared" si="105"/>
        <v>9.2286579195106754E-3</v>
      </c>
    </row>
    <row r="2099" spans="1:5">
      <c r="A2099" s="35">
        <v>45425</v>
      </c>
      <c r="B2099" s="37">
        <v>1423.25</v>
      </c>
      <c r="C2099" s="37">
        <v>73663.72</v>
      </c>
      <c r="D2099" s="38">
        <f t="shared" si="104"/>
        <v>1.1235561731098346E-3</v>
      </c>
      <c r="E2099" s="38">
        <f t="shared" si="105"/>
        <v>3.4328359051977943E-3</v>
      </c>
    </row>
    <row r="2100" spans="1:5">
      <c r="A2100" s="35">
        <v>45426</v>
      </c>
      <c r="B2100" s="37">
        <v>1424.85</v>
      </c>
      <c r="C2100" s="37">
        <v>73917.03</v>
      </c>
      <c r="D2100" s="38">
        <f t="shared" si="104"/>
        <v>-2.8816438270702098E-3</v>
      </c>
      <c r="E2100" s="38">
        <f t="shared" si="105"/>
        <v>1.2021122981345092E-3</v>
      </c>
    </row>
    <row r="2101" spans="1:5">
      <c r="A2101" s="35">
        <v>45427</v>
      </c>
      <c r="B2101" s="37">
        <v>1420.75</v>
      </c>
      <c r="C2101" s="37">
        <v>74005.94</v>
      </c>
      <c r="D2101" s="38">
        <f t="shared" si="104"/>
        <v>2.237665790006238E-2</v>
      </c>
      <c r="E2101" s="38">
        <f t="shared" si="105"/>
        <v>-7.1141212488853682E-4</v>
      </c>
    </row>
    <row r="2102" spans="1:5">
      <c r="A2102" s="35">
        <v>45428</v>
      </c>
      <c r="B2102" s="37">
        <v>1452.9</v>
      </c>
      <c r="C2102" s="37">
        <v>73953.31</v>
      </c>
      <c r="D2102" s="38">
        <f t="shared" si="104"/>
        <v>-6.1098931852080251E-3</v>
      </c>
      <c r="E2102" s="38">
        <f t="shared" si="105"/>
        <v>3.613989267127258E-3</v>
      </c>
    </row>
    <row r="2103" spans="1:5">
      <c r="A2103" s="35">
        <v>45429</v>
      </c>
      <c r="B2103" s="37">
        <v>1444.05</v>
      </c>
      <c r="C2103" s="37">
        <v>74221.06</v>
      </c>
      <c r="D2103" s="38">
        <f t="shared" si="104"/>
        <v>-2.0777062198154873E-4</v>
      </c>
      <c r="E2103" s="38">
        <f t="shared" si="105"/>
        <v>1.599856629568484E-2</v>
      </c>
    </row>
    <row r="2104" spans="1:5">
      <c r="A2104" s="35">
        <v>45430</v>
      </c>
      <c r="B2104" s="37">
        <v>1443.75</v>
      </c>
      <c r="C2104" s="37">
        <v>75418.039999999994</v>
      </c>
      <c r="D2104" s="38">
        <f t="shared" si="104"/>
        <v>-6.6366928216291879E-3</v>
      </c>
      <c r="E2104" s="38">
        <f t="shared" si="105"/>
        <v>-1.0143976180821501E-4</v>
      </c>
    </row>
    <row r="2105" spans="1:5">
      <c r="A2105" s="35">
        <v>45433</v>
      </c>
      <c r="B2105" s="37">
        <v>1434.2</v>
      </c>
      <c r="C2105" s="37">
        <v>75410.39</v>
      </c>
      <c r="D2105" s="38">
        <f t="shared" si="104"/>
        <v>1.4158119392189306E-2</v>
      </c>
      <c r="E2105" s="38">
        <f t="shared" si="105"/>
        <v>-2.6379154811806042E-4</v>
      </c>
    </row>
    <row r="2106" spans="1:5">
      <c r="A2106" s="35">
        <v>45434</v>
      </c>
      <c r="B2106" s="37">
        <v>1454.65</v>
      </c>
      <c r="C2106" s="37">
        <v>75390.5</v>
      </c>
      <c r="D2106" s="38">
        <f t="shared" si="104"/>
        <v>1.2467924654833686E-2</v>
      </c>
      <c r="E2106" s="38">
        <f t="shared" si="105"/>
        <v>-2.9230707787360069E-3</v>
      </c>
    </row>
    <row r="2107" spans="1:5">
      <c r="A2107" s="35">
        <v>45435</v>
      </c>
      <c r="B2107" s="37">
        <v>1472.9</v>
      </c>
      <c r="C2107" s="37">
        <v>75170.45</v>
      </c>
      <c r="D2107" s="38">
        <f t="shared" si="104"/>
        <v>-5.3780040443297764E-3</v>
      </c>
      <c r="E2107" s="38">
        <f t="shared" si="105"/>
        <v>-8.9201507998092743E-3</v>
      </c>
    </row>
    <row r="2108" spans="1:5">
      <c r="A2108" s="35">
        <v>45436</v>
      </c>
      <c r="B2108" s="37">
        <v>1465</v>
      </c>
      <c r="C2108" s="37">
        <v>74502.899999999994</v>
      </c>
      <c r="D2108" s="38">
        <f t="shared" si="104"/>
        <v>4.4950017794516553E-3</v>
      </c>
      <c r="E2108" s="38">
        <f t="shared" si="105"/>
        <v>-8.3200997516235144E-3</v>
      </c>
    </row>
    <row r="2109" spans="1:5">
      <c r="A2109" s="35">
        <v>45439</v>
      </c>
      <c r="B2109" s="37">
        <v>1471.6</v>
      </c>
      <c r="C2109" s="37">
        <v>73885.600000000006</v>
      </c>
      <c r="D2109" s="38">
        <f t="shared" si="104"/>
        <v>-3.676224441133029E-3</v>
      </c>
      <c r="E2109" s="38">
        <f t="shared" si="105"/>
        <v>1.0241675881868873E-3</v>
      </c>
    </row>
    <row r="2110" spans="1:5">
      <c r="A2110" s="35">
        <v>45440</v>
      </c>
      <c r="B2110" s="37">
        <v>1466.2</v>
      </c>
      <c r="C2110" s="37">
        <v>73961.31</v>
      </c>
      <c r="D2110" s="38">
        <f t="shared" si="104"/>
        <v>-1.0007623450571049E-2</v>
      </c>
      <c r="E2110" s="38">
        <f t="shared" si="105"/>
        <v>3.334043432102108E-2</v>
      </c>
    </row>
    <row r="2111" spans="1:5">
      <c r="A2111" s="35">
        <v>45441</v>
      </c>
      <c r="B2111" s="37">
        <v>1451.6</v>
      </c>
      <c r="C2111" s="37">
        <v>76468.78</v>
      </c>
      <c r="D2111" s="38">
        <f t="shared" si="104"/>
        <v>-1.7968405302266944E-2</v>
      </c>
      <c r="E2111" s="38">
        <f t="shared" si="105"/>
        <v>-5.9119119546984893E-2</v>
      </c>
    </row>
    <row r="2112" spans="1:5">
      <c r="A2112" s="35">
        <v>45442</v>
      </c>
      <c r="B2112" s="37">
        <v>1425.75</v>
      </c>
      <c r="C2112" s="37">
        <v>72079.05</v>
      </c>
      <c r="D2112" s="38">
        <f t="shared" si="104"/>
        <v>-1.3771404083917922E-2</v>
      </c>
      <c r="E2112" s="38">
        <f t="shared" si="105"/>
        <v>3.1453770252930835E-2</v>
      </c>
    </row>
    <row r="2113" spans="1:5">
      <c r="A2113" s="35">
        <v>45443</v>
      </c>
      <c r="B2113" s="37">
        <v>1406.25</v>
      </c>
      <c r="C2113" s="37">
        <v>74382.240000000005</v>
      </c>
      <c r="D2113" s="38">
        <f t="shared" si="104"/>
        <v>-2.4891986686851681E-4</v>
      </c>
      <c r="E2113" s="38">
        <f t="shared" si="105"/>
        <v>9.2638833756304214E-3</v>
      </c>
    </row>
    <row r="2114" spans="1:5">
      <c r="A2114" s="35">
        <v>45446</v>
      </c>
      <c r="B2114" s="37">
        <v>1405.9</v>
      </c>
      <c r="C2114" s="37">
        <v>75074.509999999995</v>
      </c>
      <c r="D2114" s="38">
        <f t="shared" si="104"/>
        <v>-8.2134518800504944E-3</v>
      </c>
      <c r="E2114" s="38">
        <f t="shared" si="105"/>
        <v>2.1334046528090411E-2</v>
      </c>
    </row>
    <row r="2115" spans="1:5">
      <c r="A2115" s="35">
        <v>45447</v>
      </c>
      <c r="B2115" s="37">
        <v>1394.4</v>
      </c>
      <c r="C2115" s="37">
        <v>76693.36</v>
      </c>
      <c r="D2115" s="38">
        <f t="shared" si="104"/>
        <v>2.5385038942826992E-2</v>
      </c>
      <c r="E2115" s="38">
        <f t="shared" si="105"/>
        <v>-2.6540743480785644E-3</v>
      </c>
    </row>
    <row r="2116" spans="1:5">
      <c r="A2116" s="35">
        <v>45448</v>
      </c>
      <c r="B2116" s="37">
        <v>1430.25</v>
      </c>
      <c r="C2116" s="37">
        <v>76490.080000000002</v>
      </c>
      <c r="D2116" s="38">
        <f t="shared" si="104"/>
        <v>2.9112382377103653E-2</v>
      </c>
      <c r="E2116" s="38">
        <f t="shared" si="105"/>
        <v>-4.3793043072124632E-4</v>
      </c>
    </row>
    <row r="2117" spans="1:5">
      <c r="A2117" s="35">
        <v>45449</v>
      </c>
      <c r="B2117" s="37">
        <v>1472.5</v>
      </c>
      <c r="C2117" s="37">
        <v>76456.59</v>
      </c>
      <c r="D2117" s="38">
        <f t="shared" ref="D2117:D2180" si="106">LN(B2118/B2117)</f>
        <v>4.0493247789478992E-2</v>
      </c>
      <c r="E2117" s="38">
        <f t="shared" ref="E2117:E2180" si="107">LN(C2118/C2117)</f>
        <v>1.9597145126185205E-3</v>
      </c>
    </row>
    <row r="2118" spans="1:5">
      <c r="A2118" s="35">
        <v>45450</v>
      </c>
      <c r="B2118" s="37">
        <v>1533.35</v>
      </c>
      <c r="C2118" s="37">
        <v>76606.570000000007</v>
      </c>
      <c r="D2118" s="38">
        <f t="shared" si="106"/>
        <v>-2.2223136784710124E-2</v>
      </c>
      <c r="E2118" s="38">
        <f t="shared" si="107"/>
        <v>2.6637138627876827E-3</v>
      </c>
    </row>
    <row r="2119" spans="1:5">
      <c r="A2119" s="35">
        <v>45453</v>
      </c>
      <c r="B2119" s="37">
        <v>1499.65</v>
      </c>
      <c r="C2119" s="37">
        <v>76810.899999999994</v>
      </c>
      <c r="D2119" s="38">
        <f t="shared" si="106"/>
        <v>-2.7042834275520858E-3</v>
      </c>
      <c r="E2119" s="38">
        <f t="shared" si="107"/>
        <v>2.3649641750085686E-3</v>
      </c>
    </row>
    <row r="2120" spans="1:5">
      <c r="A2120" s="35">
        <v>45454</v>
      </c>
      <c r="B2120" s="37">
        <v>1495.6</v>
      </c>
      <c r="C2120" s="37">
        <v>76992.77</v>
      </c>
      <c r="D2120" s="38">
        <f t="shared" si="106"/>
        <v>-7.1126918661585849E-3</v>
      </c>
      <c r="E2120" s="38">
        <f t="shared" si="107"/>
        <v>3.9971818794499268E-3</v>
      </c>
    </row>
    <row r="2121" spans="1:5">
      <c r="A2121" s="35">
        <v>45455</v>
      </c>
      <c r="B2121" s="37">
        <v>1485</v>
      </c>
      <c r="C2121" s="37">
        <v>77301.14</v>
      </c>
      <c r="D2121" s="38">
        <f t="shared" si="106"/>
        <v>6.2096364675634803E-3</v>
      </c>
      <c r="E2121" s="38">
        <f t="shared" si="107"/>
        <v>4.7142136610986901E-4</v>
      </c>
    </row>
    <row r="2122" spans="1:5">
      <c r="A2122" s="35">
        <v>45456</v>
      </c>
      <c r="B2122" s="37">
        <v>1494.25</v>
      </c>
      <c r="C2122" s="37">
        <v>77337.59</v>
      </c>
      <c r="D2122" s="38">
        <f t="shared" si="106"/>
        <v>-3.8219169494077242E-3</v>
      </c>
      <c r="E2122" s="38">
        <f t="shared" si="107"/>
        <v>1.8259038411154722E-3</v>
      </c>
    </row>
    <row r="2123" spans="1:5">
      <c r="A2123" s="35">
        <v>45457</v>
      </c>
      <c r="B2123" s="37">
        <v>1488.55</v>
      </c>
      <c r="C2123" s="37">
        <v>77478.929999999993</v>
      </c>
      <c r="D2123" s="38">
        <f t="shared" si="106"/>
        <v>6.2282547971656893E-3</v>
      </c>
      <c r="E2123" s="38">
        <f t="shared" si="107"/>
        <v>-3.4783412770819618E-3</v>
      </c>
    </row>
    <row r="2124" spans="1:5">
      <c r="A2124" s="35">
        <v>45461</v>
      </c>
      <c r="B2124" s="37">
        <v>1497.85</v>
      </c>
      <c r="C2124" s="37">
        <v>77209.899999999994</v>
      </c>
      <c r="D2124" s="38">
        <f t="shared" si="106"/>
        <v>8.9725445764683078E-3</v>
      </c>
      <c r="E2124" s="38">
        <f t="shared" si="107"/>
        <v>1.6975632442061386E-3</v>
      </c>
    </row>
    <row r="2125" spans="1:5">
      <c r="A2125" s="35">
        <v>45462</v>
      </c>
      <c r="B2125" s="37">
        <v>1511.35</v>
      </c>
      <c r="C2125" s="37">
        <v>77341.08</v>
      </c>
      <c r="D2125" s="38">
        <f t="shared" si="106"/>
        <v>2.6101480135267826E-3</v>
      </c>
      <c r="E2125" s="38">
        <f t="shared" si="107"/>
        <v>9.1694948447498901E-3</v>
      </c>
    </row>
    <row r="2126" spans="1:5">
      <c r="A2126" s="35">
        <v>45463</v>
      </c>
      <c r="B2126" s="37">
        <v>1515.3</v>
      </c>
      <c r="C2126" s="37">
        <v>78053.52</v>
      </c>
      <c r="D2126" s="38">
        <f t="shared" si="106"/>
        <v>1.0764790528391889E-2</v>
      </c>
      <c r="E2126" s="38">
        <f t="shared" si="107"/>
        <v>7.9211647767451973E-3</v>
      </c>
    </row>
    <row r="2127" spans="1:5">
      <c r="A2127" s="35">
        <v>45464</v>
      </c>
      <c r="B2127" s="37">
        <v>1531.7</v>
      </c>
      <c r="C2127" s="37">
        <v>78674.25</v>
      </c>
      <c r="D2127" s="38">
        <f t="shared" si="106"/>
        <v>-2.9094971406320312E-3</v>
      </c>
      <c r="E2127" s="38">
        <f t="shared" si="107"/>
        <v>7.2054422553910194E-3</v>
      </c>
    </row>
    <row r="2128" spans="1:5">
      <c r="A2128" s="35">
        <v>45467</v>
      </c>
      <c r="B2128" s="37">
        <v>1527.25</v>
      </c>
      <c r="C2128" s="37">
        <v>79243.179999999993</v>
      </c>
      <c r="D2128" s="38">
        <f t="shared" si="106"/>
        <v>9.1574836227976981E-3</v>
      </c>
      <c r="E2128" s="38">
        <f t="shared" si="107"/>
        <v>-2.6592818075892306E-3</v>
      </c>
    </row>
    <row r="2129" spans="1:5">
      <c r="A2129" s="35">
        <v>45468</v>
      </c>
      <c r="B2129" s="37">
        <v>1541.3</v>
      </c>
      <c r="C2129" s="37">
        <v>79032.73</v>
      </c>
      <c r="D2129" s="38">
        <f t="shared" si="106"/>
        <v>3.2439621756806995E-5</v>
      </c>
      <c r="E2129" s="38">
        <f t="shared" si="107"/>
        <v>5.5954094824314602E-3</v>
      </c>
    </row>
    <row r="2130" spans="1:5">
      <c r="A2130" s="35">
        <v>45469</v>
      </c>
      <c r="B2130" s="37">
        <v>1541.35</v>
      </c>
      <c r="C2130" s="37">
        <v>79476.19</v>
      </c>
      <c r="D2130" s="38">
        <f t="shared" si="106"/>
        <v>2.0643781730030685E-2</v>
      </c>
      <c r="E2130" s="38">
        <f t="shared" si="107"/>
        <v>-4.3720760707731583E-4</v>
      </c>
    </row>
    <row r="2131" spans="1:5">
      <c r="A2131" s="35">
        <v>45470</v>
      </c>
      <c r="B2131" s="37">
        <v>1573.5</v>
      </c>
      <c r="C2131" s="37">
        <v>79441.45</v>
      </c>
      <c r="D2131" s="38">
        <f t="shared" si="106"/>
        <v>-4.1713827621736666E-3</v>
      </c>
      <c r="E2131" s="38">
        <f t="shared" si="107"/>
        <v>6.8413487201609757E-3</v>
      </c>
    </row>
    <row r="2132" spans="1:5">
      <c r="A2132" s="35">
        <v>45471</v>
      </c>
      <c r="B2132" s="37">
        <v>1566.95</v>
      </c>
      <c r="C2132" s="37">
        <v>79986.8</v>
      </c>
      <c r="D2132" s="38">
        <f t="shared" si="106"/>
        <v>1.4445716405229323E-2</v>
      </c>
      <c r="E2132" s="38">
        <f t="shared" si="107"/>
        <v>7.8569595085707525E-4</v>
      </c>
    </row>
    <row r="2133" spans="1:5">
      <c r="A2133" s="35">
        <v>45474</v>
      </c>
      <c r="B2133" s="37">
        <v>1589.75</v>
      </c>
      <c r="C2133" s="37">
        <v>80049.67</v>
      </c>
      <c r="D2133" s="38">
        <f t="shared" si="106"/>
        <v>1.946647158815893E-2</v>
      </c>
      <c r="E2133" s="38">
        <f t="shared" si="107"/>
        <v>-6.6318324001005298E-4</v>
      </c>
    </row>
    <row r="2134" spans="1:5">
      <c r="A2134" s="35">
        <v>45475</v>
      </c>
      <c r="B2134" s="37">
        <v>1621</v>
      </c>
      <c r="C2134" s="37">
        <v>79996.600000000006</v>
      </c>
      <c r="D2134" s="38">
        <f t="shared" si="106"/>
        <v>4.0632943918586205E-3</v>
      </c>
      <c r="E2134" s="38">
        <f t="shared" si="107"/>
        <v>-4.528717736360783E-4</v>
      </c>
    </row>
    <row r="2135" spans="1:5">
      <c r="A2135" s="35">
        <v>45476</v>
      </c>
      <c r="B2135" s="37">
        <v>1627.6</v>
      </c>
      <c r="C2135" s="37">
        <v>79960.38</v>
      </c>
      <c r="D2135" s="38">
        <f t="shared" si="106"/>
        <v>1.3153466515810123E-2</v>
      </c>
      <c r="E2135" s="38">
        <f t="shared" si="107"/>
        <v>4.8812406813047386E-3</v>
      </c>
    </row>
    <row r="2136" spans="1:5">
      <c r="A2136" s="35">
        <v>45477</v>
      </c>
      <c r="B2136" s="37">
        <v>1649.15</v>
      </c>
      <c r="C2136" s="37">
        <v>80351.64</v>
      </c>
      <c r="D2136" s="38">
        <f t="shared" si="106"/>
        <v>-1.1831269297651952E-3</v>
      </c>
      <c r="E2136" s="38">
        <f t="shared" si="107"/>
        <v>-5.3266854344766979E-3</v>
      </c>
    </row>
    <row r="2137" spans="1:5">
      <c r="A2137" s="35">
        <v>45478</v>
      </c>
      <c r="B2137" s="37">
        <v>1647.2</v>
      </c>
      <c r="C2137" s="37">
        <v>79924.77</v>
      </c>
      <c r="D2137" s="38">
        <f t="shared" si="106"/>
        <v>8.7342078736768105E-3</v>
      </c>
      <c r="E2137" s="38">
        <f t="shared" si="107"/>
        <v>-3.432566403901553E-4</v>
      </c>
    </row>
    <row r="2138" spans="1:5">
      <c r="A2138" s="35">
        <v>45481</v>
      </c>
      <c r="B2138" s="37">
        <v>1661.65</v>
      </c>
      <c r="C2138" s="37">
        <v>79897.34</v>
      </c>
      <c r="D2138" s="38">
        <f t="shared" si="106"/>
        <v>-2.651482465755649E-3</v>
      </c>
      <c r="E2138" s="38">
        <f t="shared" si="107"/>
        <v>7.754843413153285E-3</v>
      </c>
    </row>
    <row r="2139" spans="1:5">
      <c r="A2139" s="35">
        <v>45482</v>
      </c>
      <c r="B2139" s="37">
        <v>1657.25</v>
      </c>
      <c r="C2139" s="37">
        <v>80519.34</v>
      </c>
      <c r="D2139" s="38">
        <f t="shared" si="106"/>
        <v>-5.7792260581151821E-3</v>
      </c>
      <c r="E2139" s="38">
        <f t="shared" si="107"/>
        <v>1.8056365268662034E-3</v>
      </c>
    </row>
    <row r="2140" spans="1:5">
      <c r="A2140" s="35">
        <v>45483</v>
      </c>
      <c r="B2140" s="37">
        <v>1647.7</v>
      </c>
      <c r="C2140" s="37">
        <v>80664.86</v>
      </c>
      <c r="D2140" s="38">
        <f t="shared" si="106"/>
        <v>3.2416903340537094E-3</v>
      </c>
      <c r="E2140" s="38">
        <f t="shared" si="107"/>
        <v>6.4059425143991476E-4</v>
      </c>
    </row>
    <row r="2141" spans="1:5">
      <c r="A2141" s="35">
        <v>45484</v>
      </c>
      <c r="B2141" s="37">
        <v>1653.05</v>
      </c>
      <c r="C2141" s="37">
        <v>80716.55</v>
      </c>
      <c r="D2141" s="38">
        <f t="shared" si="106"/>
        <v>3.5040211304247941E-2</v>
      </c>
      <c r="E2141" s="38">
        <f t="shared" si="107"/>
        <v>7.7368022763193494E-3</v>
      </c>
    </row>
    <row r="2142" spans="1:5">
      <c r="A2142" s="35">
        <v>45485</v>
      </c>
      <c r="B2142" s="37">
        <v>1712</v>
      </c>
      <c r="C2142" s="37">
        <v>81343.460000000006</v>
      </c>
      <c r="D2142" s="38">
        <f t="shared" si="106"/>
        <v>-2.8076761541984134E-3</v>
      </c>
      <c r="E2142" s="38">
        <f t="shared" si="107"/>
        <v>-9.1240969151737475E-3</v>
      </c>
    </row>
    <row r="2143" spans="1:5">
      <c r="A2143" s="35">
        <v>45488</v>
      </c>
      <c r="B2143" s="37">
        <v>1707.2</v>
      </c>
      <c r="C2143" s="37">
        <v>80604.649999999994</v>
      </c>
      <c r="D2143" s="38">
        <f t="shared" si="106"/>
        <v>1.0836109526718155E-2</v>
      </c>
      <c r="E2143" s="38">
        <f t="shared" si="107"/>
        <v>-1.2733175561117206E-3</v>
      </c>
    </row>
    <row r="2144" spans="1:5">
      <c r="A2144" s="35">
        <v>45489</v>
      </c>
      <c r="B2144" s="37">
        <v>1725.8</v>
      </c>
      <c r="C2144" s="37">
        <v>80502.080000000002</v>
      </c>
      <c r="D2144" s="38">
        <f t="shared" si="106"/>
        <v>1.9140026752426934E-2</v>
      </c>
      <c r="E2144" s="38">
        <f t="shared" si="107"/>
        <v>-9.0771760011523533E-4</v>
      </c>
    </row>
    <row r="2145" spans="1:5">
      <c r="A2145" s="35">
        <v>45491</v>
      </c>
      <c r="B2145" s="37">
        <v>1759.15</v>
      </c>
      <c r="C2145" s="37">
        <v>80429.039999999994</v>
      </c>
      <c r="D2145" s="38">
        <f t="shared" si="106"/>
        <v>1.8975794606301194E-2</v>
      </c>
      <c r="E2145" s="38">
        <f t="shared" si="107"/>
        <v>-3.4893998411098682E-3</v>
      </c>
    </row>
    <row r="2146" spans="1:5">
      <c r="A2146" s="35">
        <v>45492</v>
      </c>
      <c r="B2146" s="37">
        <v>1792.85</v>
      </c>
      <c r="C2146" s="37">
        <v>80148.88</v>
      </c>
      <c r="D2146" s="38">
        <f t="shared" si="106"/>
        <v>9.8241340719022689E-3</v>
      </c>
      <c r="E2146" s="38">
        <f t="shared" si="107"/>
        <v>-1.3618941970148515E-3</v>
      </c>
    </row>
    <row r="2147" spans="1:5">
      <c r="A2147" s="35">
        <v>45495</v>
      </c>
      <c r="B2147" s="37">
        <v>1810.55</v>
      </c>
      <c r="C2147" s="37">
        <v>80039.8</v>
      </c>
      <c r="D2147" s="38">
        <f t="shared" si="106"/>
        <v>1.4475921049172591E-2</v>
      </c>
      <c r="E2147" s="38">
        <f t="shared" si="107"/>
        <v>1.6024384651266189E-2</v>
      </c>
    </row>
    <row r="2148" spans="1:5">
      <c r="A2148" s="35">
        <v>45496</v>
      </c>
      <c r="B2148" s="37">
        <v>1836.95</v>
      </c>
      <c r="C2148" s="37">
        <v>81332.72</v>
      </c>
      <c r="D2148" s="38">
        <f t="shared" si="106"/>
        <v>-3.6813370727321422E-3</v>
      </c>
      <c r="E2148" s="38">
        <f t="shared" si="107"/>
        <v>2.8422404323491236E-4</v>
      </c>
    </row>
    <row r="2149" spans="1:5">
      <c r="A2149" s="35">
        <v>45497</v>
      </c>
      <c r="B2149" s="37">
        <v>1830.2</v>
      </c>
      <c r="C2149" s="37">
        <v>81355.839999999997</v>
      </c>
      <c r="D2149" s="38">
        <f t="shared" si="106"/>
        <v>-2.6535010303591422E-3</v>
      </c>
      <c r="E2149" s="38">
        <f t="shared" si="107"/>
        <v>1.2230115366701842E-3</v>
      </c>
    </row>
    <row r="2150" spans="1:5">
      <c r="A2150" s="35">
        <v>45498</v>
      </c>
      <c r="B2150" s="37">
        <v>1825.35</v>
      </c>
      <c r="C2150" s="37">
        <v>81455.399999999994</v>
      </c>
      <c r="D2150" s="38">
        <f t="shared" si="106"/>
        <v>2.8834912616265567E-2</v>
      </c>
      <c r="E2150" s="38">
        <f t="shared" si="107"/>
        <v>3.5042402514255315E-3</v>
      </c>
    </row>
    <row r="2151" spans="1:5">
      <c r="A2151" s="35">
        <v>45499</v>
      </c>
      <c r="B2151" s="37">
        <v>1878.75</v>
      </c>
      <c r="C2151" s="37">
        <v>81741.34</v>
      </c>
      <c r="D2151" s="38">
        <f t="shared" si="106"/>
        <v>-3.4390404590772744E-3</v>
      </c>
      <c r="E2151" s="38">
        <f t="shared" si="107"/>
        <v>1.542826004564158E-3</v>
      </c>
    </row>
    <row r="2152" spans="1:5">
      <c r="A2152" s="35">
        <v>45502</v>
      </c>
      <c r="B2152" s="37">
        <v>1872.3</v>
      </c>
      <c r="C2152" s="37">
        <v>81867.55</v>
      </c>
      <c r="D2152" s="38">
        <f t="shared" si="106"/>
        <v>2.5071359784018935E-3</v>
      </c>
      <c r="E2152" s="38">
        <f t="shared" si="107"/>
        <v>-1.0876407115093309E-2</v>
      </c>
    </row>
    <row r="2153" spans="1:5">
      <c r="A2153" s="35">
        <v>45503</v>
      </c>
      <c r="B2153" s="37">
        <v>1877</v>
      </c>
      <c r="C2153" s="37">
        <v>80981.95</v>
      </c>
      <c r="D2153" s="38">
        <f t="shared" si="106"/>
        <v>-4.7796515606507665E-3</v>
      </c>
      <c r="E2153" s="38">
        <f t="shared" si="107"/>
        <v>-2.7828654672190808E-2</v>
      </c>
    </row>
    <row r="2154" spans="1:5">
      <c r="A2154" s="35">
        <v>45504</v>
      </c>
      <c r="B2154" s="37">
        <v>1868.05</v>
      </c>
      <c r="C2154" s="37">
        <v>78759.399999999994</v>
      </c>
      <c r="D2154" s="38">
        <f t="shared" si="106"/>
        <v>-8.4669958971807183E-3</v>
      </c>
      <c r="E2154" s="38">
        <f t="shared" si="107"/>
        <v>-2.1141080524547415E-3</v>
      </c>
    </row>
    <row r="2155" spans="1:5">
      <c r="A2155" s="35">
        <v>45505</v>
      </c>
      <c r="B2155" s="37">
        <v>1852.3</v>
      </c>
      <c r="C2155" s="37">
        <v>78593.070000000007</v>
      </c>
      <c r="D2155" s="38">
        <f t="shared" si="106"/>
        <v>-1.6822673994959039E-2</v>
      </c>
      <c r="E2155" s="38">
        <f t="shared" si="107"/>
        <v>1.1071023133415431E-2</v>
      </c>
    </row>
    <row r="2156" spans="1:5">
      <c r="A2156" s="35">
        <v>45506</v>
      </c>
      <c r="B2156" s="37">
        <v>1821.4</v>
      </c>
      <c r="C2156" s="37">
        <v>79468.009999999995</v>
      </c>
      <c r="D2156" s="38">
        <f t="shared" si="106"/>
        <v>-3.9189968045594104E-2</v>
      </c>
      <c r="E2156" s="38">
        <f t="shared" si="107"/>
        <v>-7.3479896016784389E-3</v>
      </c>
    </row>
    <row r="2157" spans="1:5">
      <c r="A2157" s="35">
        <v>45509</v>
      </c>
      <c r="B2157" s="37">
        <v>1751.4</v>
      </c>
      <c r="C2157" s="37">
        <v>78886.22</v>
      </c>
      <c r="D2157" s="38">
        <f t="shared" si="106"/>
        <v>-4.2832056165164315E-4</v>
      </c>
      <c r="E2157" s="38">
        <f t="shared" si="107"/>
        <v>1.0337174980048292E-2</v>
      </c>
    </row>
    <row r="2158" spans="1:5">
      <c r="A2158" s="35">
        <v>45510</v>
      </c>
      <c r="B2158" s="37">
        <v>1750.65</v>
      </c>
      <c r="C2158" s="37">
        <v>79705.91</v>
      </c>
      <c r="D2158" s="38">
        <f t="shared" si="106"/>
        <v>2.3345167008403282E-2</v>
      </c>
      <c r="E2158" s="38">
        <f t="shared" si="107"/>
        <v>-7.1525917889850082E-4</v>
      </c>
    </row>
    <row r="2159" spans="1:5">
      <c r="A2159" s="35">
        <v>45511</v>
      </c>
      <c r="B2159" s="37">
        <v>1792</v>
      </c>
      <c r="C2159" s="37">
        <v>79648.92</v>
      </c>
      <c r="D2159" s="38">
        <f t="shared" si="106"/>
        <v>-2.8815217162322999E-2</v>
      </c>
      <c r="E2159" s="38">
        <f t="shared" si="107"/>
        <v>-8.7373617029684915E-3</v>
      </c>
    </row>
    <row r="2160" spans="1:5">
      <c r="A2160" s="35">
        <v>45512</v>
      </c>
      <c r="B2160" s="37">
        <v>1741.1</v>
      </c>
      <c r="C2160" s="37">
        <v>78956.03</v>
      </c>
      <c r="D2160" s="38">
        <f t="shared" si="106"/>
        <v>1.6942559912425371E-2</v>
      </c>
      <c r="E2160" s="38">
        <f t="shared" si="107"/>
        <v>1.8960930548628816E-3</v>
      </c>
    </row>
    <row r="2161" spans="1:5">
      <c r="A2161" s="35">
        <v>45513</v>
      </c>
      <c r="B2161" s="37">
        <v>1770.85</v>
      </c>
      <c r="C2161" s="37">
        <v>79105.88</v>
      </c>
      <c r="D2161" s="38">
        <f t="shared" si="106"/>
        <v>1.4964969335037317E-2</v>
      </c>
      <c r="E2161" s="38">
        <f t="shared" si="107"/>
        <v>1.6685071900488589E-2</v>
      </c>
    </row>
    <row r="2162" spans="1:5">
      <c r="A2162" s="35">
        <v>45516</v>
      </c>
      <c r="B2162" s="37">
        <v>1797.55</v>
      </c>
      <c r="C2162" s="37">
        <v>80436.84</v>
      </c>
      <c r="D2162" s="38">
        <f t="shared" si="106"/>
        <v>-4.1732163583675441E-4</v>
      </c>
      <c r="E2162" s="38">
        <f t="shared" si="107"/>
        <v>-1.5118593959777287E-4</v>
      </c>
    </row>
    <row r="2163" spans="1:5">
      <c r="A2163" s="35">
        <v>45517</v>
      </c>
      <c r="B2163" s="37">
        <v>1796.8</v>
      </c>
      <c r="C2163" s="37">
        <v>80424.679999999993</v>
      </c>
      <c r="D2163" s="38">
        <f t="shared" si="106"/>
        <v>1.4284181038551896E-2</v>
      </c>
      <c r="E2163" s="38">
        <f t="shared" si="107"/>
        <v>4.6912666853485361E-3</v>
      </c>
    </row>
    <row r="2164" spans="1:5">
      <c r="A2164" s="35">
        <v>45518</v>
      </c>
      <c r="B2164" s="37">
        <v>1822.65</v>
      </c>
      <c r="C2164" s="37">
        <v>80802.86</v>
      </c>
      <c r="D2164" s="38">
        <f t="shared" si="106"/>
        <v>1.9935478242722893E-2</v>
      </c>
      <c r="E2164" s="38">
        <f t="shared" si="107"/>
        <v>1.2669739573223069E-3</v>
      </c>
    </row>
    <row r="2165" spans="1:5">
      <c r="A2165" s="35">
        <v>45520</v>
      </c>
      <c r="B2165" s="37">
        <v>1859.35</v>
      </c>
      <c r="C2165" s="37">
        <v>80905.3</v>
      </c>
      <c r="D2165" s="38">
        <f t="shared" si="106"/>
        <v>2.5513986097465183E-3</v>
      </c>
      <c r="E2165" s="38">
        <f t="shared" si="107"/>
        <v>1.8262709303396981E-3</v>
      </c>
    </row>
    <row r="2166" spans="1:5">
      <c r="A2166" s="35">
        <v>45523</v>
      </c>
      <c r="B2166" s="37">
        <v>1864.1</v>
      </c>
      <c r="C2166" s="37">
        <v>81053.19</v>
      </c>
      <c r="D2166" s="38">
        <f t="shared" si="106"/>
        <v>5.0299763585422898E-3</v>
      </c>
      <c r="E2166" s="38">
        <f t="shared" si="107"/>
        <v>4.0730384417977863E-4</v>
      </c>
    </row>
    <row r="2167" spans="1:5">
      <c r="A2167" s="35">
        <v>45524</v>
      </c>
      <c r="B2167" s="37">
        <v>1873.5</v>
      </c>
      <c r="C2167" s="37">
        <v>81086.210000000006</v>
      </c>
      <c r="D2167" s="38">
        <f t="shared" si="106"/>
        <v>-6.6742310426561296E-4</v>
      </c>
      <c r="E2167" s="38">
        <f t="shared" si="107"/>
        <v>7.5179585113725068E-3</v>
      </c>
    </row>
    <row r="2168" spans="1:5">
      <c r="A2168" s="35">
        <v>45525</v>
      </c>
      <c r="B2168" s="37">
        <v>1872.25</v>
      </c>
      <c r="C2168" s="37">
        <v>81698.11</v>
      </c>
      <c r="D2168" s="38">
        <f t="shared" si="106"/>
        <v>4.1042645961645759E-3</v>
      </c>
      <c r="E2168" s="38">
        <f t="shared" si="107"/>
        <v>1.6706457243665033E-4</v>
      </c>
    </row>
    <row r="2169" spans="1:5">
      <c r="A2169" s="35">
        <v>45526</v>
      </c>
      <c r="B2169" s="37">
        <v>1879.95</v>
      </c>
      <c r="C2169" s="37">
        <v>81711.759999999995</v>
      </c>
      <c r="D2169" s="38">
        <f t="shared" si="106"/>
        <v>-9.4060496279494248E-3</v>
      </c>
      <c r="E2169" s="38">
        <f t="shared" si="107"/>
        <v>9.0276715254021382E-4</v>
      </c>
    </row>
    <row r="2170" spans="1:5">
      <c r="A2170" s="35">
        <v>45527</v>
      </c>
      <c r="B2170" s="37">
        <v>1862.35</v>
      </c>
      <c r="C2170" s="37">
        <v>81785.56</v>
      </c>
      <c r="D2170" s="38">
        <f t="shared" si="106"/>
        <v>7.2760666612700035E-3</v>
      </c>
      <c r="E2170" s="38">
        <f t="shared" si="107"/>
        <v>4.2587867931997495E-3</v>
      </c>
    </row>
    <row r="2171" spans="1:5">
      <c r="A2171" s="35">
        <v>45530</v>
      </c>
      <c r="B2171" s="37">
        <v>1875.95</v>
      </c>
      <c r="C2171" s="37">
        <v>82134.61</v>
      </c>
      <c r="D2171" s="38">
        <f t="shared" si="106"/>
        <v>1.2817632647811827E-2</v>
      </c>
      <c r="E2171" s="38">
        <f t="shared" si="107"/>
        <v>2.8104512847209589E-3</v>
      </c>
    </row>
    <row r="2172" spans="1:5">
      <c r="A2172" s="35">
        <v>45531</v>
      </c>
      <c r="B2172" s="37">
        <v>1900.15</v>
      </c>
      <c r="C2172" s="37">
        <v>82365.77</v>
      </c>
      <c r="D2172" s="38">
        <f t="shared" si="106"/>
        <v>2.0342686468221884E-2</v>
      </c>
      <c r="E2172" s="38">
        <f t="shared" si="107"/>
        <v>2.3534257605377367E-3</v>
      </c>
    </row>
    <row r="2173" spans="1:5">
      <c r="A2173" s="35">
        <v>45532</v>
      </c>
      <c r="B2173" s="37">
        <v>1939.2</v>
      </c>
      <c r="C2173" s="37">
        <v>82559.839999999997</v>
      </c>
      <c r="D2173" s="38">
        <f t="shared" si="106"/>
        <v>-3.5127631947437336E-3</v>
      </c>
      <c r="E2173" s="38">
        <f t="shared" si="107"/>
        <v>-5.3296097139361041E-5</v>
      </c>
    </row>
    <row r="2174" spans="1:5">
      <c r="A2174" s="35">
        <v>45533</v>
      </c>
      <c r="B2174" s="37">
        <v>1932.4</v>
      </c>
      <c r="C2174" s="37">
        <v>82555.44</v>
      </c>
      <c r="D2174" s="38">
        <f t="shared" si="106"/>
        <v>5.6248051904060339E-3</v>
      </c>
      <c r="E2174" s="38">
        <f t="shared" si="107"/>
        <v>-2.4595532521498467E-3</v>
      </c>
    </row>
    <row r="2175" spans="1:5">
      <c r="A2175" s="35">
        <v>45534</v>
      </c>
      <c r="B2175" s="37">
        <v>1943.3</v>
      </c>
      <c r="C2175" s="37">
        <v>82352.639999999999</v>
      </c>
      <c r="D2175" s="38">
        <f t="shared" si="106"/>
        <v>1.0646566244497556E-2</v>
      </c>
      <c r="E2175" s="38">
        <f t="shared" si="107"/>
        <v>-1.8411005128862446E-3</v>
      </c>
    </row>
    <row r="2176" spans="1:5">
      <c r="A2176" s="35">
        <v>45537</v>
      </c>
      <c r="B2176" s="37">
        <v>1964.1</v>
      </c>
      <c r="C2176" s="37">
        <v>82201.16</v>
      </c>
      <c r="D2176" s="38">
        <f t="shared" si="106"/>
        <v>-1.2243064587972181E-2</v>
      </c>
      <c r="E2176" s="38">
        <f t="shared" si="107"/>
        <v>-1.2452092707068351E-2</v>
      </c>
    </row>
    <row r="2177" spans="1:5">
      <c r="A2177" s="35">
        <v>45538</v>
      </c>
      <c r="B2177" s="37">
        <v>1940.2</v>
      </c>
      <c r="C2177" s="37">
        <v>81183.929999999993</v>
      </c>
      <c r="D2177" s="38">
        <f t="shared" si="106"/>
        <v>-9.3987357671602295E-3</v>
      </c>
      <c r="E2177" s="38">
        <f t="shared" si="107"/>
        <v>4.6159844930972636E-3</v>
      </c>
    </row>
    <row r="2178" spans="1:5">
      <c r="A2178" s="35">
        <v>45539</v>
      </c>
      <c r="B2178" s="37">
        <v>1922.05</v>
      </c>
      <c r="C2178" s="37">
        <v>81559.539999999994</v>
      </c>
      <c r="D2178" s="38">
        <f t="shared" si="106"/>
        <v>5.6808754483079552E-3</v>
      </c>
      <c r="E2178" s="38">
        <f t="shared" si="107"/>
        <v>4.4256025667943769E-3</v>
      </c>
    </row>
    <row r="2179" spans="1:5">
      <c r="A2179" s="35">
        <v>45540</v>
      </c>
      <c r="B2179" s="37">
        <v>1933</v>
      </c>
      <c r="C2179" s="37">
        <v>81921.289999999994</v>
      </c>
      <c r="D2179" s="38">
        <f t="shared" si="106"/>
        <v>-1.6062089160045714E-2</v>
      </c>
      <c r="E2179" s="38">
        <f t="shared" si="107"/>
        <v>-4.8717565807204263E-3</v>
      </c>
    </row>
    <row r="2180" spans="1:5">
      <c r="A2180" s="35">
        <v>45541</v>
      </c>
      <c r="B2180" s="37">
        <v>1902.2</v>
      </c>
      <c r="C2180" s="37">
        <v>81523.16</v>
      </c>
      <c r="D2180" s="38">
        <f t="shared" si="106"/>
        <v>-3.9505964099685988E-3</v>
      </c>
      <c r="E2180" s="38">
        <f t="shared" si="107"/>
        <v>1.750407807615928E-2</v>
      </c>
    </row>
    <row r="2181" spans="1:5">
      <c r="A2181" s="35">
        <v>45544</v>
      </c>
      <c r="B2181" s="37">
        <v>1894.7</v>
      </c>
      <c r="C2181" s="37">
        <v>82962.710000000006</v>
      </c>
      <c r="D2181" s="38">
        <f t="shared" ref="D2181:D2244" si="108">LN(B2182/B2181)</f>
        <v>9.5599005202913635E-3</v>
      </c>
      <c r="E2181" s="38">
        <f t="shared" ref="E2181:E2244" si="109">LN(C2182/C2181)</f>
        <v>-8.6546186327279655E-4</v>
      </c>
    </row>
    <row r="2182" spans="1:5">
      <c r="A2182" s="35">
        <v>45545</v>
      </c>
      <c r="B2182" s="37">
        <v>1912.9</v>
      </c>
      <c r="C2182" s="37">
        <v>82890.94</v>
      </c>
      <c r="D2182" s="38">
        <f t="shared" si="108"/>
        <v>-1.0984126428011686E-3</v>
      </c>
      <c r="E2182" s="38">
        <f t="shared" si="109"/>
        <v>1.1796500662765818E-3</v>
      </c>
    </row>
    <row r="2183" spans="1:5">
      <c r="A2183" s="35">
        <v>45546</v>
      </c>
      <c r="B2183" s="37">
        <v>1910.8</v>
      </c>
      <c r="C2183" s="37">
        <v>82988.78</v>
      </c>
      <c r="D2183" s="38">
        <f t="shared" si="108"/>
        <v>2.0486841115576273E-2</v>
      </c>
      <c r="E2183" s="38">
        <f t="shared" si="109"/>
        <v>1.0944886225479813E-3</v>
      </c>
    </row>
    <row r="2184" spans="1:5">
      <c r="A2184" s="35">
        <v>45547</v>
      </c>
      <c r="B2184" s="37">
        <v>1950.35</v>
      </c>
      <c r="C2184" s="37">
        <v>83079.66</v>
      </c>
      <c r="D2184" s="38">
        <f t="shared" si="108"/>
        <v>-3.1068285296029733E-3</v>
      </c>
      <c r="E2184" s="38">
        <f t="shared" si="109"/>
        <v>-1.5832283052404094E-3</v>
      </c>
    </row>
    <row r="2185" spans="1:5">
      <c r="A2185" s="35">
        <v>45548</v>
      </c>
      <c r="B2185" s="37">
        <v>1944.3</v>
      </c>
      <c r="C2185" s="37">
        <v>82948.23</v>
      </c>
      <c r="D2185" s="38">
        <f t="shared" si="108"/>
        <v>2.7991441088274414E-3</v>
      </c>
      <c r="E2185" s="38">
        <f t="shared" si="109"/>
        <v>2.8479605759217188E-3</v>
      </c>
    </row>
    <row r="2186" spans="1:5">
      <c r="A2186" s="35">
        <v>45551</v>
      </c>
      <c r="B2186" s="37">
        <v>1949.75</v>
      </c>
      <c r="C2186" s="37">
        <v>83184.800000000003</v>
      </c>
      <c r="D2186" s="38">
        <f t="shared" si="108"/>
        <v>1.4862651362433786E-3</v>
      </c>
      <c r="E2186" s="38">
        <f t="shared" si="109"/>
        <v>1.6211136793689622E-2</v>
      </c>
    </row>
    <row r="2187" spans="1:5">
      <c r="A2187" s="35">
        <v>45552</v>
      </c>
      <c r="B2187" s="37">
        <v>1952.65</v>
      </c>
      <c r="C2187" s="37">
        <v>84544.31</v>
      </c>
      <c r="D2187" s="38">
        <f t="shared" si="108"/>
        <v>-3.1367981414286303E-2</v>
      </c>
      <c r="E2187" s="38">
        <f t="shared" si="109"/>
        <v>4.5352456156945468E-3</v>
      </c>
    </row>
    <row r="2188" spans="1:5">
      <c r="A2188" s="35">
        <v>45553</v>
      </c>
      <c r="B2188" s="37">
        <v>1892.35</v>
      </c>
      <c r="C2188" s="37">
        <v>84928.61</v>
      </c>
      <c r="D2188" s="38">
        <f t="shared" si="108"/>
        <v>9.5074614318664769E-4</v>
      </c>
      <c r="E2188" s="38">
        <f t="shared" si="109"/>
        <v>-1.7157056882647357E-4</v>
      </c>
    </row>
    <row r="2189" spans="1:5">
      <c r="A2189" s="35">
        <v>45554</v>
      </c>
      <c r="B2189" s="37">
        <v>1894.15</v>
      </c>
      <c r="C2189" s="37">
        <v>84914.04</v>
      </c>
      <c r="D2189" s="38">
        <f t="shared" si="108"/>
        <v>6.2890806592761821E-3</v>
      </c>
      <c r="E2189" s="38">
        <f t="shared" si="109"/>
        <v>3.0082821230221052E-3</v>
      </c>
    </row>
    <row r="2190" spans="1:5">
      <c r="A2190" s="35">
        <v>45555</v>
      </c>
      <c r="B2190" s="37">
        <v>1906.1</v>
      </c>
      <c r="C2190" s="37">
        <v>85169.87</v>
      </c>
      <c r="D2190" s="38">
        <f t="shared" si="108"/>
        <v>-4.7855788000130137E-3</v>
      </c>
      <c r="E2190" s="38">
        <f t="shared" si="109"/>
        <v>7.7921641353108518E-3</v>
      </c>
    </row>
    <row r="2191" spans="1:5">
      <c r="A2191" s="35">
        <v>45558</v>
      </c>
      <c r="B2191" s="37">
        <v>1897</v>
      </c>
      <c r="C2191" s="37">
        <v>85836.12</v>
      </c>
      <c r="D2191" s="38">
        <f t="shared" si="108"/>
        <v>4.2162960464381963E-4</v>
      </c>
      <c r="E2191" s="38">
        <f t="shared" si="109"/>
        <v>-3.0835230052884441E-3</v>
      </c>
    </row>
    <row r="2192" spans="1:5">
      <c r="A2192" s="35">
        <v>45559</v>
      </c>
      <c r="B2192" s="37">
        <v>1897.8</v>
      </c>
      <c r="C2192" s="37">
        <v>85571.85</v>
      </c>
      <c r="D2192" s="38">
        <f t="shared" si="108"/>
        <v>-9.4891672469097634E-4</v>
      </c>
      <c r="E2192" s="38">
        <f t="shared" si="109"/>
        <v>-1.4977118645560743E-2</v>
      </c>
    </row>
    <row r="2193" spans="1:5">
      <c r="A2193" s="35">
        <v>45560</v>
      </c>
      <c r="B2193" s="37">
        <v>1896</v>
      </c>
      <c r="C2193" s="37">
        <v>84299.78</v>
      </c>
      <c r="D2193" s="38">
        <f t="shared" si="108"/>
        <v>1.7653185450515222E-3</v>
      </c>
      <c r="E2193" s="38">
        <f t="shared" si="109"/>
        <v>-3.9735161934602927E-4</v>
      </c>
    </row>
    <row r="2194" spans="1:5">
      <c r="A2194" s="35">
        <v>45561</v>
      </c>
      <c r="B2194" s="37">
        <v>1899.35</v>
      </c>
      <c r="C2194" s="37">
        <v>84266.29</v>
      </c>
      <c r="D2194" s="38">
        <f t="shared" si="108"/>
        <v>4.1244755110119661E-3</v>
      </c>
      <c r="E2194" s="38">
        <f t="shared" si="109"/>
        <v>-2.1218762450238689E-2</v>
      </c>
    </row>
    <row r="2195" spans="1:5">
      <c r="A2195" s="35">
        <v>45562</v>
      </c>
      <c r="B2195" s="37">
        <v>1907.2</v>
      </c>
      <c r="C2195" s="37">
        <v>82497.100000000006</v>
      </c>
      <c r="D2195" s="38">
        <f t="shared" si="108"/>
        <v>-1.6494347304860608E-2</v>
      </c>
      <c r="E2195" s="38">
        <f t="shared" si="109"/>
        <v>-9.8505202045339156E-3</v>
      </c>
    </row>
    <row r="2196" spans="1:5">
      <c r="A2196" s="35">
        <v>45565</v>
      </c>
      <c r="B2196" s="37">
        <v>1876</v>
      </c>
      <c r="C2196" s="37">
        <v>81688.45</v>
      </c>
      <c r="D2196" s="38">
        <f t="shared" si="108"/>
        <v>1.4893864194645376E-2</v>
      </c>
      <c r="E2196" s="38">
        <f t="shared" si="109"/>
        <v>-7.8463728214358489E-3</v>
      </c>
    </row>
    <row r="2197" spans="1:5">
      <c r="A2197" s="35">
        <v>45566</v>
      </c>
      <c r="B2197" s="37">
        <v>1904.15</v>
      </c>
      <c r="C2197" s="37">
        <v>81050</v>
      </c>
      <c r="D2197" s="38">
        <f t="shared" si="108"/>
        <v>-5.8200177449511427E-3</v>
      </c>
      <c r="E2197" s="38">
        <f t="shared" si="109"/>
        <v>7.1895159606478465E-3</v>
      </c>
    </row>
    <row r="2198" spans="1:5">
      <c r="A2198" s="35">
        <v>45568</v>
      </c>
      <c r="B2198" s="37">
        <v>1893.1</v>
      </c>
      <c r="C2198" s="37">
        <v>81634.81</v>
      </c>
      <c r="D2198" s="38">
        <f t="shared" si="108"/>
        <v>1.3249744531574429E-2</v>
      </c>
      <c r="E2198" s="38">
        <f t="shared" si="109"/>
        <v>-2.0565063782127424E-3</v>
      </c>
    </row>
    <row r="2199" spans="1:5">
      <c r="A2199" s="35">
        <v>45569</v>
      </c>
      <c r="B2199" s="37">
        <v>1918.35</v>
      </c>
      <c r="C2199" s="37">
        <v>81467.100000000006</v>
      </c>
      <c r="D2199" s="38">
        <f t="shared" si="108"/>
        <v>7.9956813398371733E-3</v>
      </c>
      <c r="E2199" s="38">
        <f t="shared" si="109"/>
        <v>1.769822862229877E-3</v>
      </c>
    </row>
    <row r="2200" spans="1:5">
      <c r="A2200" s="35">
        <v>45572</v>
      </c>
      <c r="B2200" s="37">
        <v>1933.75</v>
      </c>
      <c r="C2200" s="37">
        <v>81611.41</v>
      </c>
      <c r="D2200" s="38">
        <f t="shared" si="108"/>
        <v>7.5987228914880158E-3</v>
      </c>
      <c r="E2200" s="38">
        <f t="shared" si="109"/>
        <v>-2.822826469663415E-3</v>
      </c>
    </row>
    <row r="2201" spans="1:5">
      <c r="A2201" s="35">
        <v>45573</v>
      </c>
      <c r="B2201" s="37">
        <v>1948.5</v>
      </c>
      <c r="C2201" s="37">
        <v>81381.36</v>
      </c>
      <c r="D2201" s="38">
        <f t="shared" si="108"/>
        <v>2.7675294417015832E-3</v>
      </c>
      <c r="E2201" s="38">
        <f t="shared" si="109"/>
        <v>7.244280550927973E-3</v>
      </c>
    </row>
    <row r="2202" spans="1:5">
      <c r="A2202" s="35">
        <v>45574</v>
      </c>
      <c r="B2202" s="37">
        <v>1953.9</v>
      </c>
      <c r="C2202" s="37">
        <v>81973.05</v>
      </c>
      <c r="D2202" s="38">
        <f t="shared" si="108"/>
        <v>-1.7997103315094864E-2</v>
      </c>
      <c r="E2202" s="38">
        <f t="shared" si="109"/>
        <v>-1.8673555733627729E-3</v>
      </c>
    </row>
    <row r="2203" spans="1:5">
      <c r="A2203" s="35">
        <v>45575</v>
      </c>
      <c r="B2203" s="37">
        <v>1919.05</v>
      </c>
      <c r="C2203" s="37">
        <v>81820.12</v>
      </c>
      <c r="D2203" s="38">
        <f t="shared" si="108"/>
        <v>8.2770545585113334E-3</v>
      </c>
      <c r="E2203" s="38">
        <f t="shared" si="109"/>
        <v>-3.9034719100986405E-3</v>
      </c>
    </row>
    <row r="2204" spans="1:5">
      <c r="A2204" s="35">
        <v>45576</v>
      </c>
      <c r="B2204" s="37">
        <v>1935</v>
      </c>
      <c r="C2204" s="37">
        <v>81501.36</v>
      </c>
      <c r="D2204" s="38">
        <f t="shared" si="108"/>
        <v>1.217366139681531E-2</v>
      </c>
      <c r="E2204" s="38">
        <f t="shared" si="109"/>
        <v>-6.0889509429445108E-3</v>
      </c>
    </row>
    <row r="2205" spans="1:5">
      <c r="A2205" s="35">
        <v>45579</v>
      </c>
      <c r="B2205" s="37">
        <v>1958.7</v>
      </c>
      <c r="C2205" s="37">
        <v>81006.61</v>
      </c>
      <c r="D2205" s="38">
        <f t="shared" si="108"/>
        <v>2.0419623328902457E-4</v>
      </c>
      <c r="E2205" s="38">
        <f t="shared" si="109"/>
        <v>2.6892473991049644E-3</v>
      </c>
    </row>
    <row r="2206" spans="1:5">
      <c r="A2206" s="35">
        <v>45580</v>
      </c>
      <c r="B2206" s="37">
        <v>1959.1</v>
      </c>
      <c r="C2206" s="37">
        <v>81224.75</v>
      </c>
      <c r="D2206" s="38">
        <f t="shared" si="108"/>
        <v>-2.0212082761876412E-2</v>
      </c>
      <c r="E2206" s="38">
        <f t="shared" si="109"/>
        <v>-9.0505981136651797E-4</v>
      </c>
    </row>
    <row r="2207" spans="1:5">
      <c r="A2207" s="35">
        <v>45581</v>
      </c>
      <c r="B2207" s="37">
        <v>1919.9</v>
      </c>
      <c r="C2207" s="37">
        <v>81151.27</v>
      </c>
      <c r="D2207" s="38">
        <f t="shared" si="108"/>
        <v>2.5506602078850478E-2</v>
      </c>
      <c r="E2207" s="38">
        <f t="shared" si="109"/>
        <v>-1.1533108249442195E-2</v>
      </c>
    </row>
    <row r="2208" spans="1:5">
      <c r="A2208" s="35">
        <v>45582</v>
      </c>
      <c r="B2208" s="37">
        <v>1969.5</v>
      </c>
      <c r="C2208" s="37">
        <v>80220.72</v>
      </c>
      <c r="D2208" s="38">
        <f t="shared" si="108"/>
        <v>-4.7119815880702257E-2</v>
      </c>
      <c r="E2208" s="38">
        <f t="shared" si="109"/>
        <v>-1.7309756434789117E-3</v>
      </c>
    </row>
    <row r="2209" spans="1:5">
      <c r="A2209" s="35">
        <v>45583</v>
      </c>
      <c r="B2209" s="37">
        <v>1878.85</v>
      </c>
      <c r="C2209" s="37">
        <v>80081.98</v>
      </c>
      <c r="D2209" s="38">
        <f t="shared" si="108"/>
        <v>-1.4123809360016316E-2</v>
      </c>
      <c r="E2209" s="38">
        <f t="shared" si="109"/>
        <v>-2.1005682726320319E-4</v>
      </c>
    </row>
    <row r="2210" spans="1:5">
      <c r="A2210" s="35">
        <v>45586</v>
      </c>
      <c r="B2210" s="37">
        <v>1852.5</v>
      </c>
      <c r="C2210" s="37">
        <v>80065.16</v>
      </c>
      <c r="D2210" s="38">
        <f t="shared" si="108"/>
        <v>-8.3705738730241062E-4</v>
      </c>
      <c r="E2210" s="38">
        <f t="shared" si="109"/>
        <v>-8.3135940017515595E-3</v>
      </c>
    </row>
    <row r="2211" spans="1:5">
      <c r="A2211" s="35">
        <v>45587</v>
      </c>
      <c r="B2211" s="37">
        <v>1850.95</v>
      </c>
      <c r="C2211" s="37">
        <v>79402.289999999994</v>
      </c>
      <c r="D2211" s="38">
        <f t="shared" si="108"/>
        <v>1.1762314029687417E-2</v>
      </c>
      <c r="E2211" s="38">
        <f t="shared" si="109"/>
        <v>7.5624235424538253E-3</v>
      </c>
    </row>
    <row r="2212" spans="1:5">
      <c r="A2212" s="35">
        <v>45588</v>
      </c>
      <c r="B2212" s="37">
        <v>1872.85</v>
      </c>
      <c r="C2212" s="37">
        <v>80005.039999999994</v>
      </c>
      <c r="D2212" s="38">
        <f t="shared" si="108"/>
        <v>-4.5220493140409245E-3</v>
      </c>
      <c r="E2212" s="38">
        <f t="shared" si="109"/>
        <v>4.5392702822866782E-3</v>
      </c>
    </row>
    <row r="2213" spans="1:5">
      <c r="A2213" s="35">
        <v>45589</v>
      </c>
      <c r="B2213" s="37">
        <v>1864.4</v>
      </c>
      <c r="C2213" s="37">
        <v>80369.03</v>
      </c>
      <c r="D2213" s="38">
        <f t="shared" si="108"/>
        <v>-5.9984309617567609E-3</v>
      </c>
      <c r="E2213" s="38">
        <f t="shared" si="109"/>
        <v>-5.3252796075666546E-3</v>
      </c>
    </row>
    <row r="2214" spans="1:5">
      <c r="A2214" s="35">
        <v>45590</v>
      </c>
      <c r="B2214" s="37">
        <v>1853.25</v>
      </c>
      <c r="C2214" s="37">
        <v>79942.179999999993</v>
      </c>
      <c r="D2214" s="38">
        <f t="shared" si="108"/>
        <v>6.9902153165710352E-3</v>
      </c>
      <c r="E2214" s="38">
        <f t="shared" si="109"/>
        <v>-6.9430479794111181E-3</v>
      </c>
    </row>
    <row r="2215" spans="1:5">
      <c r="A2215" s="35">
        <v>45593</v>
      </c>
      <c r="B2215" s="37">
        <v>1866.25</v>
      </c>
      <c r="C2215" s="37">
        <v>79389.06</v>
      </c>
      <c r="D2215" s="38">
        <f t="shared" si="108"/>
        <v>-1.4845076937752817E-2</v>
      </c>
      <c r="E2215" s="38">
        <f t="shared" si="109"/>
        <v>4.2115995075000367E-3</v>
      </c>
    </row>
    <row r="2216" spans="1:5">
      <c r="A2216" s="35">
        <v>45594</v>
      </c>
      <c r="B2216" s="37">
        <v>1838.75</v>
      </c>
      <c r="C2216" s="37">
        <v>79724.12</v>
      </c>
      <c r="D2216" s="38">
        <f t="shared" si="108"/>
        <v>-2.0327578111096894E-2</v>
      </c>
      <c r="E2216" s="38">
        <f t="shared" si="109"/>
        <v>-1.1884584141149467E-2</v>
      </c>
    </row>
    <row r="2217" spans="1:5">
      <c r="A2217" s="35">
        <v>45595</v>
      </c>
      <c r="B2217" s="37">
        <v>1801.75</v>
      </c>
      <c r="C2217" s="37">
        <v>78782.240000000005</v>
      </c>
      <c r="D2217" s="38">
        <f t="shared" si="108"/>
        <v>-2.5065236466966699E-2</v>
      </c>
      <c r="E2217" s="38">
        <f t="shared" si="109"/>
        <v>8.7754254296353151E-3</v>
      </c>
    </row>
    <row r="2218" spans="1:5">
      <c r="A2218" s="35">
        <v>45596</v>
      </c>
      <c r="B2218" s="37">
        <v>1757.15</v>
      </c>
      <c r="C2218" s="37">
        <v>79476.63</v>
      </c>
      <c r="D2218" s="38">
        <f t="shared" si="108"/>
        <v>2.5293086308317428E-3</v>
      </c>
      <c r="E2218" s="38">
        <f t="shared" si="109"/>
        <v>1.1279108076017728E-2</v>
      </c>
    </row>
    <row r="2219" spans="1:5">
      <c r="A2219" s="35">
        <v>45597</v>
      </c>
      <c r="B2219" s="37">
        <v>1761.6</v>
      </c>
      <c r="C2219" s="37">
        <v>80378.13</v>
      </c>
      <c r="D2219" s="38">
        <f t="shared" si="108"/>
        <v>1.8715445701045367E-3</v>
      </c>
      <c r="E2219" s="38">
        <f t="shared" si="109"/>
        <v>-1.0459580330151394E-2</v>
      </c>
    </row>
    <row r="2220" spans="1:5">
      <c r="A2220" s="35">
        <v>45600</v>
      </c>
      <c r="B2220" s="37">
        <v>1764.9</v>
      </c>
      <c r="C2220" s="37">
        <v>79541.789999999994</v>
      </c>
      <c r="D2220" s="38">
        <f t="shared" si="108"/>
        <v>-6.309169193264832E-3</v>
      </c>
      <c r="E2220" s="38">
        <f t="shared" si="109"/>
        <v>-6.976125447204272E-4</v>
      </c>
    </row>
    <row r="2221" spans="1:5">
      <c r="A2221" s="35">
        <v>45601</v>
      </c>
      <c r="B2221" s="37">
        <v>1753.8</v>
      </c>
      <c r="C2221" s="37">
        <v>79486.320000000007</v>
      </c>
      <c r="D2221" s="38">
        <f t="shared" si="108"/>
        <v>3.9411489448918376E-2</v>
      </c>
      <c r="E2221" s="38">
        <f t="shared" si="109"/>
        <v>1.2366143276690113E-4</v>
      </c>
    </row>
    <row r="2222" spans="1:5">
      <c r="A2222" s="35">
        <v>45602</v>
      </c>
      <c r="B2222" s="37">
        <v>1824.3</v>
      </c>
      <c r="C2222" s="37">
        <v>79496.149999999994</v>
      </c>
      <c r="D2222" s="38">
        <f t="shared" si="108"/>
        <v>-1.1938547344353933E-2</v>
      </c>
      <c r="E2222" s="38">
        <f t="shared" si="109"/>
        <v>-1.0380861973587606E-2</v>
      </c>
    </row>
    <row r="2223" spans="1:5">
      <c r="A2223" s="35">
        <v>45603</v>
      </c>
      <c r="B2223" s="37">
        <v>1802.65</v>
      </c>
      <c r="C2223" s="37">
        <v>78675.179999999993</v>
      </c>
      <c r="D2223" s="38">
        <f t="shared" si="108"/>
        <v>1.5631768334098513E-2</v>
      </c>
      <c r="E2223" s="38">
        <f t="shared" si="109"/>
        <v>-1.2588953867535163E-2</v>
      </c>
    </row>
    <row r="2224" spans="1:5">
      <c r="A2224" s="35">
        <v>45604</v>
      </c>
      <c r="B2224" s="37">
        <v>1831.05</v>
      </c>
      <c r="C2224" s="37">
        <v>77690.95</v>
      </c>
      <c r="D2224" s="38">
        <f t="shared" si="108"/>
        <v>1.5686914923328642E-2</v>
      </c>
      <c r="E2224" s="38">
        <f t="shared" si="109"/>
        <v>-1.4251190944865276E-3</v>
      </c>
    </row>
    <row r="2225" spans="1:5">
      <c r="A2225" s="35">
        <v>45607</v>
      </c>
      <c r="B2225" s="37">
        <v>1860</v>
      </c>
      <c r="C2225" s="37">
        <v>77580.31</v>
      </c>
      <c r="D2225" s="38">
        <f t="shared" si="108"/>
        <v>4.2650851280203253E-3</v>
      </c>
      <c r="E2225" s="38">
        <f t="shared" si="109"/>
        <v>-3.115172402477061E-3</v>
      </c>
    </row>
    <row r="2226" spans="1:5">
      <c r="A2226" s="35">
        <v>45608</v>
      </c>
      <c r="B2226" s="37">
        <v>1867.95</v>
      </c>
      <c r="C2226" s="37">
        <v>77339.009999999995</v>
      </c>
      <c r="D2226" s="38">
        <f t="shared" si="108"/>
        <v>1.8735363052460846E-4</v>
      </c>
      <c r="E2226" s="38">
        <f t="shared" si="109"/>
        <v>3.0902946466761939E-3</v>
      </c>
    </row>
    <row r="2227" spans="1:5">
      <c r="A2227" s="35">
        <v>45609</v>
      </c>
      <c r="B2227" s="37">
        <v>1868.3</v>
      </c>
      <c r="C2227" s="37">
        <v>77578.38</v>
      </c>
      <c r="D2227" s="38">
        <f t="shared" si="108"/>
        <v>-2.3042102202552096E-3</v>
      </c>
      <c r="E2227" s="38">
        <f t="shared" si="109"/>
        <v>-5.4621555234879221E-3</v>
      </c>
    </row>
    <row r="2228" spans="1:5">
      <c r="A2228" s="35">
        <v>45610</v>
      </c>
      <c r="B2228" s="37">
        <v>1864</v>
      </c>
      <c r="C2228" s="37">
        <v>77155.789999999994</v>
      </c>
      <c r="D2228" s="38">
        <f t="shared" si="108"/>
        <v>-2.8624689304688294E-2</v>
      </c>
      <c r="E2228" s="38">
        <f t="shared" si="109"/>
        <v>2.510253525282052E-2</v>
      </c>
    </row>
    <row r="2229" spans="1:5">
      <c r="A2229" s="35">
        <v>45614</v>
      </c>
      <c r="B2229" s="37">
        <v>1811.4</v>
      </c>
      <c r="C2229" s="37">
        <v>79117.11</v>
      </c>
      <c r="D2229" s="38">
        <f t="shared" si="108"/>
        <v>7.7812845359820975E-3</v>
      </c>
      <c r="E2229" s="38">
        <f t="shared" si="109"/>
        <v>1.2469657947262611E-2</v>
      </c>
    </row>
    <row r="2230" spans="1:5">
      <c r="A2230" s="35">
        <v>45615</v>
      </c>
      <c r="B2230" s="37">
        <v>1825.55</v>
      </c>
      <c r="C2230" s="37">
        <v>80109.850000000006</v>
      </c>
      <c r="D2230" s="38">
        <f t="shared" si="108"/>
        <v>4.727107648013722E-3</v>
      </c>
      <c r="E2230" s="38">
        <f t="shared" si="109"/>
        <v>-1.321434413713512E-3</v>
      </c>
    </row>
    <row r="2231" spans="1:5">
      <c r="A2231" s="35">
        <v>45617</v>
      </c>
      <c r="B2231" s="37">
        <v>1834.2</v>
      </c>
      <c r="C2231" s="37">
        <v>80004.06</v>
      </c>
      <c r="D2231" s="38">
        <f t="shared" si="108"/>
        <v>3.6796894522399086E-2</v>
      </c>
      <c r="E2231" s="38">
        <f t="shared" si="109"/>
        <v>2.8709788817487527E-3</v>
      </c>
    </row>
    <row r="2232" spans="1:5">
      <c r="A2232" s="35">
        <v>45618</v>
      </c>
      <c r="B2232" s="37">
        <v>1902.95</v>
      </c>
      <c r="C2232" s="37">
        <v>80234.080000000002</v>
      </c>
      <c r="D2232" s="38">
        <f t="shared" si="108"/>
        <v>-7.2783212046094109E-3</v>
      </c>
      <c r="E2232" s="38">
        <f t="shared" si="109"/>
        <v>-1.4946992133967451E-2</v>
      </c>
    </row>
    <row r="2233" spans="1:5">
      <c r="A2233" s="35">
        <v>45621</v>
      </c>
      <c r="B2233" s="37">
        <v>1889.15</v>
      </c>
      <c r="C2233" s="37">
        <v>79043.740000000005</v>
      </c>
      <c r="D2233" s="38">
        <f t="shared" si="108"/>
        <v>1.7161271337561349E-2</v>
      </c>
      <c r="E2233" s="38">
        <f t="shared" si="109"/>
        <v>9.5570961166821303E-3</v>
      </c>
    </row>
    <row r="2234" spans="1:5">
      <c r="A2234" s="35">
        <v>45622</v>
      </c>
      <c r="B2234" s="37">
        <v>1921.85</v>
      </c>
      <c r="C2234" s="37">
        <v>79802.789999999994</v>
      </c>
      <c r="D2234" s="38">
        <f t="shared" si="108"/>
        <v>1.1700621467758082E-3</v>
      </c>
      <c r="E2234" s="38">
        <f t="shared" si="109"/>
        <v>5.564370239660125E-3</v>
      </c>
    </row>
    <row r="2235" spans="1:5">
      <c r="A2235" s="35">
        <v>45623</v>
      </c>
      <c r="B2235" s="37">
        <v>1924.1</v>
      </c>
      <c r="C2235" s="37">
        <v>80248.08</v>
      </c>
      <c r="D2235" s="38">
        <f t="shared" si="108"/>
        <v>-3.5253746597753259E-2</v>
      </c>
      <c r="E2235" s="38">
        <f t="shared" si="109"/>
        <v>7.4201816700446566E-3</v>
      </c>
    </row>
    <row r="2236" spans="1:5">
      <c r="A2236" s="35">
        <v>45624</v>
      </c>
      <c r="B2236" s="37">
        <v>1857.45</v>
      </c>
      <c r="C2236" s="37">
        <v>80845.75</v>
      </c>
      <c r="D2236" s="38">
        <f t="shared" si="108"/>
        <v>5.3822762945211907E-4</v>
      </c>
      <c r="E2236" s="38">
        <f t="shared" si="109"/>
        <v>1.3668553236933273E-3</v>
      </c>
    </row>
    <row r="2237" spans="1:5">
      <c r="A2237" s="35">
        <v>45625</v>
      </c>
      <c r="B2237" s="37">
        <v>1858.45</v>
      </c>
      <c r="C2237" s="37">
        <v>80956.33</v>
      </c>
      <c r="D2237" s="38">
        <f t="shared" si="108"/>
        <v>1.1103347386033489E-2</v>
      </c>
      <c r="E2237" s="38">
        <f t="shared" si="109"/>
        <v>9.949923592812571E-3</v>
      </c>
    </row>
    <row r="2238" spans="1:5">
      <c r="A2238" s="35">
        <v>45628</v>
      </c>
      <c r="B2238" s="37">
        <v>1879.2</v>
      </c>
      <c r="C2238" s="37">
        <v>81765.86</v>
      </c>
      <c r="D2238" s="38">
        <f t="shared" si="108"/>
        <v>6.4711412367088172E-3</v>
      </c>
      <c r="E2238" s="38">
        <f t="shared" si="109"/>
        <v>-6.9417353381512011E-4</v>
      </c>
    </row>
    <row r="2239" spans="1:5">
      <c r="A2239" s="35">
        <v>45629</v>
      </c>
      <c r="B2239" s="37">
        <v>1891.4</v>
      </c>
      <c r="C2239" s="37">
        <v>81709.119999999995</v>
      </c>
      <c r="D2239" s="38">
        <f t="shared" si="108"/>
        <v>-5.8174896529234312E-4</v>
      </c>
      <c r="E2239" s="38">
        <f t="shared" si="109"/>
        <v>-2.4588050024332724E-3</v>
      </c>
    </row>
    <row r="2240" spans="1:5">
      <c r="A2240" s="35">
        <v>45630</v>
      </c>
      <c r="B2240" s="37">
        <v>1890.3</v>
      </c>
      <c r="C2240" s="37">
        <v>81508.460000000006</v>
      </c>
      <c r="D2240" s="38">
        <f t="shared" si="108"/>
        <v>2.3035806102242484E-2</v>
      </c>
      <c r="E2240" s="38">
        <f t="shared" si="109"/>
        <v>1.9506987274556906E-5</v>
      </c>
    </row>
    <row r="2241" spans="1:5">
      <c r="A2241" s="35">
        <v>45631</v>
      </c>
      <c r="B2241" s="37">
        <v>1934.35</v>
      </c>
      <c r="C2241" s="37">
        <v>81510.05</v>
      </c>
      <c r="D2241" s="38">
        <f t="shared" si="108"/>
        <v>-5.7808873774735032E-3</v>
      </c>
      <c r="E2241" s="38">
        <f t="shared" si="109"/>
        <v>1.9737949043379931E-4</v>
      </c>
    </row>
    <row r="2242" spans="1:5">
      <c r="A2242" s="35">
        <v>45632</v>
      </c>
      <c r="B2242" s="37">
        <v>1923.2</v>
      </c>
      <c r="C2242" s="37">
        <v>81526.14</v>
      </c>
      <c r="D2242" s="38">
        <f t="shared" si="108"/>
        <v>1.0913343944013081E-3</v>
      </c>
      <c r="E2242" s="38">
        <f t="shared" si="109"/>
        <v>-2.901189325362557E-3</v>
      </c>
    </row>
    <row r="2243" spans="1:5">
      <c r="A2243" s="35">
        <v>45635</v>
      </c>
      <c r="B2243" s="37">
        <v>1925.3</v>
      </c>
      <c r="C2243" s="37">
        <v>81289.960000000006</v>
      </c>
      <c r="D2243" s="38">
        <f t="shared" si="108"/>
        <v>1.2080683834799022E-2</v>
      </c>
      <c r="E2243" s="38">
        <f t="shared" si="109"/>
        <v>1.0318829892369059E-2</v>
      </c>
    </row>
    <row r="2244" spans="1:5">
      <c r="A2244" s="35">
        <v>45636</v>
      </c>
      <c r="B2244" s="37">
        <v>1948.7</v>
      </c>
      <c r="C2244" s="37">
        <v>82133.119999999995</v>
      </c>
      <c r="D2244" s="38">
        <f t="shared" si="108"/>
        <v>1.0210942855952677E-2</v>
      </c>
      <c r="E2244" s="38">
        <f t="shared" si="109"/>
        <v>-4.6930283156545721E-3</v>
      </c>
    </row>
    <row r="2245" spans="1:5">
      <c r="A2245" s="35">
        <v>45637</v>
      </c>
      <c r="B2245" s="37">
        <v>1968.7</v>
      </c>
      <c r="C2245" s="37">
        <v>81748.570000000007</v>
      </c>
      <c r="D2245" s="38">
        <f t="shared" ref="D2245:D2308" si="110">LN(B2246/B2245)</f>
        <v>9.1267113942471254E-3</v>
      </c>
      <c r="E2245" s="38">
        <f t="shared" ref="E2245:E2308" si="111">LN(C2246/C2245)</f>
        <v>-1.310244953213105E-2</v>
      </c>
    </row>
    <row r="2246" spans="1:5">
      <c r="A2246" s="35">
        <v>45638</v>
      </c>
      <c r="B2246" s="37">
        <v>1986.75</v>
      </c>
      <c r="C2246" s="37">
        <v>80684.45</v>
      </c>
      <c r="D2246" s="38">
        <f t="shared" si="110"/>
        <v>6.5720399091530142E-3</v>
      </c>
      <c r="E2246" s="38">
        <f t="shared" si="111"/>
        <v>-6.2443226356538838E-3</v>
      </c>
    </row>
    <row r="2247" spans="1:5">
      <c r="A2247" s="35">
        <v>45639</v>
      </c>
      <c r="B2247" s="37">
        <v>1999.85</v>
      </c>
      <c r="C2247" s="37">
        <v>80182.2</v>
      </c>
      <c r="D2247" s="38">
        <f t="shared" si="110"/>
        <v>-1.0152116342875604E-2</v>
      </c>
      <c r="E2247" s="38">
        <f t="shared" si="111"/>
        <v>-1.2097368207241293E-2</v>
      </c>
    </row>
    <row r="2248" spans="1:5">
      <c r="A2248" s="35">
        <v>45642</v>
      </c>
      <c r="B2248" s="37">
        <v>1979.65</v>
      </c>
      <c r="C2248" s="37">
        <v>79218.05</v>
      </c>
      <c r="D2248" s="38">
        <f t="shared" si="110"/>
        <v>-1.5165688016556781E-3</v>
      </c>
      <c r="E2248" s="38">
        <f t="shared" si="111"/>
        <v>-1.4962287180149849E-2</v>
      </c>
    </row>
    <row r="2249" spans="1:5">
      <c r="A2249" s="35">
        <v>45643</v>
      </c>
      <c r="B2249" s="37">
        <v>1976.65</v>
      </c>
      <c r="C2249" s="37">
        <v>78041.59</v>
      </c>
      <c r="D2249" s="38">
        <f t="shared" si="110"/>
        <v>1.1376421699475668E-3</v>
      </c>
      <c r="E2249" s="38">
        <f t="shared" si="111"/>
        <v>6.3683239352319088E-3</v>
      </c>
    </row>
    <row r="2250" spans="1:5">
      <c r="A2250" s="35">
        <v>45644</v>
      </c>
      <c r="B2250" s="37">
        <v>1978.9</v>
      </c>
      <c r="C2250" s="37">
        <v>78540.17</v>
      </c>
      <c r="D2250" s="38">
        <f t="shared" si="110"/>
        <v>-1.5660930463495433E-2</v>
      </c>
      <c r="E2250" s="38">
        <f t="shared" si="111"/>
        <v>-8.5725369206885685E-4</v>
      </c>
    </row>
    <row r="2251" spans="1:5">
      <c r="A2251" s="35">
        <v>45645</v>
      </c>
      <c r="B2251" s="37">
        <v>1948.15</v>
      </c>
      <c r="C2251" s="37">
        <v>78472.87</v>
      </c>
      <c r="D2251" s="38">
        <f t="shared" si="110"/>
        <v>-1.3487879531339725E-2</v>
      </c>
      <c r="E2251" s="38">
        <f t="shared" si="111"/>
        <v>-4.9698828286686762E-6</v>
      </c>
    </row>
    <row r="2252" spans="1:5">
      <c r="A2252" s="35">
        <v>45646</v>
      </c>
      <c r="B2252" s="37">
        <v>1922.05</v>
      </c>
      <c r="C2252" s="37">
        <v>78472.479999999996</v>
      </c>
      <c r="D2252" s="38">
        <f t="shared" si="110"/>
        <v>9.3606184842651423E-4</v>
      </c>
      <c r="E2252" s="38">
        <f t="shared" si="111"/>
        <v>2.8833482520643338E-3</v>
      </c>
    </row>
    <row r="2253" spans="1:5">
      <c r="A2253" s="35">
        <v>45649</v>
      </c>
      <c r="B2253" s="37">
        <v>1923.85</v>
      </c>
      <c r="C2253" s="37">
        <v>78699.070000000007</v>
      </c>
      <c r="D2253" s="38">
        <f t="shared" si="110"/>
        <v>-7.5917038890306399E-3</v>
      </c>
      <c r="E2253" s="38">
        <f t="shared" si="111"/>
        <v>-5.7464069557241612E-3</v>
      </c>
    </row>
    <row r="2254" spans="1:5">
      <c r="A2254" s="35">
        <v>45650</v>
      </c>
      <c r="B2254" s="37">
        <v>1909.3</v>
      </c>
      <c r="C2254" s="37">
        <v>78248.13</v>
      </c>
      <c r="D2254" s="38">
        <f t="shared" si="110"/>
        <v>-1.6249512158932609E-3</v>
      </c>
      <c r="E2254" s="38">
        <f t="shared" si="111"/>
        <v>-1.3955113919064909E-3</v>
      </c>
    </row>
    <row r="2255" spans="1:5">
      <c r="A2255" s="35">
        <v>45652</v>
      </c>
      <c r="B2255" s="37">
        <v>1906.2</v>
      </c>
      <c r="C2255" s="37">
        <v>78139.009999999995</v>
      </c>
      <c r="D2255" s="38">
        <f t="shared" si="110"/>
        <v>5.4149632019163492E-3</v>
      </c>
      <c r="E2255" s="38">
        <f t="shared" si="111"/>
        <v>4.7035952586809053E-3</v>
      </c>
    </row>
    <row r="2256" spans="1:5">
      <c r="A2256" s="35">
        <v>45653</v>
      </c>
      <c r="B2256" s="37">
        <v>1916.55</v>
      </c>
      <c r="C2256" s="37">
        <v>78507.41</v>
      </c>
      <c r="D2256" s="38">
        <f t="shared" si="110"/>
        <v>-5.6772995711115654E-3</v>
      </c>
      <c r="E2256" s="38">
        <f t="shared" si="111"/>
        <v>1.8129746775728438E-2</v>
      </c>
    </row>
    <row r="2257" spans="1:5">
      <c r="A2257" s="35">
        <v>45656</v>
      </c>
      <c r="B2257" s="37">
        <v>1905.7</v>
      </c>
      <c r="C2257" s="37">
        <v>79943.710000000006</v>
      </c>
      <c r="D2257" s="38">
        <f t="shared" si="110"/>
        <v>-1.3205347186297811E-2</v>
      </c>
      <c r="E2257" s="38">
        <f t="shared" si="111"/>
        <v>-9.0547128272353977E-3</v>
      </c>
    </row>
    <row r="2258" spans="1:5">
      <c r="A2258" s="35">
        <v>45657</v>
      </c>
      <c r="B2258" s="37">
        <v>1880.7</v>
      </c>
      <c r="C2258" s="37">
        <v>79223.11</v>
      </c>
      <c r="D2258" s="38">
        <f t="shared" si="110"/>
        <v>1.0363108265323683E-3</v>
      </c>
      <c r="E2258" s="38">
        <f t="shared" si="111"/>
        <v>-1.6008169412237244E-2</v>
      </c>
    </row>
    <row r="2259" spans="1:5">
      <c r="A2259" s="35">
        <v>45658</v>
      </c>
      <c r="B2259" s="37">
        <v>1882.65</v>
      </c>
      <c r="C2259" s="37">
        <v>77964.990000000005</v>
      </c>
      <c r="D2259" s="38">
        <f t="shared" si="110"/>
        <v>3.9064415507081535E-2</v>
      </c>
      <c r="E2259" s="38">
        <f t="shared" si="111"/>
        <v>2.998386638172965E-3</v>
      </c>
    </row>
    <row r="2260" spans="1:5">
      <c r="A2260" s="35">
        <v>45659</v>
      </c>
      <c r="B2260" s="37">
        <v>1957.65</v>
      </c>
      <c r="C2260" s="37">
        <v>78199.11</v>
      </c>
      <c r="D2260" s="38">
        <f t="shared" si="110"/>
        <v>-9.9334740494169856E-3</v>
      </c>
      <c r="E2260" s="38">
        <f t="shared" si="111"/>
        <v>-6.475315485332463E-4</v>
      </c>
    </row>
    <row r="2261" spans="1:5">
      <c r="A2261" s="35">
        <v>45660</v>
      </c>
      <c r="B2261" s="37">
        <v>1938.3</v>
      </c>
      <c r="C2261" s="37">
        <v>78148.490000000005</v>
      </c>
      <c r="D2261" s="38">
        <f t="shared" si="110"/>
        <v>-2.3218915780958077E-4</v>
      </c>
      <c r="E2261" s="38">
        <f t="shared" si="111"/>
        <v>-6.782903438421692E-3</v>
      </c>
    </row>
    <row r="2262" spans="1:5">
      <c r="A2262" s="35">
        <v>45663</v>
      </c>
      <c r="B2262" s="37">
        <v>1937.85</v>
      </c>
      <c r="C2262" s="37">
        <v>77620.210000000006</v>
      </c>
      <c r="D2262" s="38">
        <f t="shared" si="110"/>
        <v>-2.738736726332873E-3</v>
      </c>
      <c r="E2262" s="38">
        <f t="shared" si="111"/>
        <v>-3.1135685794393899E-3</v>
      </c>
    </row>
    <row r="2263" spans="1:5">
      <c r="A2263" s="35">
        <v>45664</v>
      </c>
      <c r="B2263" s="37">
        <v>1932.55</v>
      </c>
      <c r="C2263" s="37">
        <v>77378.91</v>
      </c>
      <c r="D2263" s="38">
        <f t="shared" si="110"/>
        <v>3.104224356872386E-4</v>
      </c>
      <c r="E2263" s="38">
        <f t="shared" si="111"/>
        <v>-1.3648086025479258E-2</v>
      </c>
    </row>
    <row r="2264" spans="1:5">
      <c r="A2264" s="35">
        <v>45665</v>
      </c>
      <c r="B2264" s="37">
        <v>1933.15</v>
      </c>
      <c r="C2264" s="37">
        <v>76330.009999999995</v>
      </c>
      <c r="D2264" s="38">
        <f t="shared" si="110"/>
        <v>-7.9721010641935538E-3</v>
      </c>
      <c r="E2264" s="38">
        <f t="shared" si="111"/>
        <v>2.2197273990286056E-3</v>
      </c>
    </row>
    <row r="2265" spans="1:5">
      <c r="A2265" s="35">
        <v>45666</v>
      </c>
      <c r="B2265" s="37">
        <v>1917.8</v>
      </c>
      <c r="C2265" s="37">
        <v>76499.63</v>
      </c>
      <c r="D2265" s="38">
        <f t="shared" si="110"/>
        <v>2.5178315515027583E-2</v>
      </c>
      <c r="E2265" s="38">
        <f t="shared" si="111"/>
        <v>2.9297053379151758E-3</v>
      </c>
    </row>
    <row r="2266" spans="1:5">
      <c r="A2266" s="35">
        <v>45667</v>
      </c>
      <c r="B2266" s="37">
        <v>1966.7</v>
      </c>
      <c r="C2266" s="37">
        <v>76724.08</v>
      </c>
      <c r="D2266" s="38">
        <f t="shared" si="110"/>
        <v>-2.4945921043929837E-3</v>
      </c>
      <c r="E2266" s="38">
        <f t="shared" si="111"/>
        <v>4.1457616239159532E-3</v>
      </c>
    </row>
    <row r="2267" spans="1:5">
      <c r="A2267" s="35">
        <v>45670</v>
      </c>
      <c r="B2267" s="37">
        <v>1961.8</v>
      </c>
      <c r="C2267" s="37">
        <v>77042.820000000007</v>
      </c>
      <c r="D2267" s="38">
        <f t="shared" si="110"/>
        <v>-1.1535335928020174E-2</v>
      </c>
      <c r="E2267" s="38">
        <f t="shared" si="111"/>
        <v>-5.5119764001930758E-3</v>
      </c>
    </row>
    <row r="2268" spans="1:5">
      <c r="A2268" s="35">
        <v>45671</v>
      </c>
      <c r="B2268" s="37">
        <v>1939.3</v>
      </c>
      <c r="C2268" s="37">
        <v>76619.33</v>
      </c>
      <c r="D2268" s="38">
        <f t="shared" si="110"/>
        <v>5.399719992976071E-3</v>
      </c>
      <c r="E2268" s="38">
        <f t="shared" si="111"/>
        <v>5.9093387603085515E-3</v>
      </c>
    </row>
    <row r="2269" spans="1:5">
      <c r="A2269" s="35">
        <v>45672</v>
      </c>
      <c r="B2269" s="37">
        <v>1949.8</v>
      </c>
      <c r="C2269" s="37">
        <v>77073.440000000002</v>
      </c>
      <c r="D2269" s="38">
        <f t="shared" si="110"/>
        <v>-1.217765306840715E-2</v>
      </c>
      <c r="E2269" s="38">
        <f t="shared" si="111"/>
        <v>-1.6154500301053011E-2</v>
      </c>
    </row>
    <row r="2270" spans="1:5">
      <c r="A2270" s="35">
        <v>45673</v>
      </c>
      <c r="B2270" s="37">
        <v>1926.2</v>
      </c>
      <c r="C2270" s="37">
        <v>75838.36</v>
      </c>
      <c r="D2270" s="38">
        <f t="shared" si="110"/>
        <v>-5.9408587526831945E-2</v>
      </c>
      <c r="E2270" s="38">
        <f t="shared" si="111"/>
        <v>7.4437749353449961E-3</v>
      </c>
    </row>
    <row r="2271" spans="1:5">
      <c r="A2271" s="35">
        <v>45674</v>
      </c>
      <c r="B2271" s="37">
        <v>1815.1</v>
      </c>
      <c r="C2271" s="37">
        <v>76404.990000000005</v>
      </c>
      <c r="D2271" s="38">
        <f t="shared" si="110"/>
        <v>-1.0197473564102291E-3</v>
      </c>
      <c r="E2271" s="38">
        <f t="shared" si="111"/>
        <v>1.5091024059513524E-3</v>
      </c>
    </row>
    <row r="2272" spans="1:5">
      <c r="A2272" s="35">
        <v>45677</v>
      </c>
      <c r="B2272" s="37">
        <v>1813.25</v>
      </c>
      <c r="C2272" s="37">
        <v>76520.38</v>
      </c>
      <c r="D2272" s="38">
        <f t="shared" si="110"/>
        <v>-7.4452676436736137E-3</v>
      </c>
      <c r="E2272" s="38">
        <f t="shared" si="111"/>
        <v>-4.3208525772494557E-3</v>
      </c>
    </row>
    <row r="2273" spans="1:5">
      <c r="A2273" s="35">
        <v>45678</v>
      </c>
      <c r="B2273" s="37">
        <v>1799.8</v>
      </c>
      <c r="C2273" s="37">
        <v>76190.460000000006</v>
      </c>
      <c r="D2273" s="38">
        <f t="shared" si="110"/>
        <v>3.1071310365983984E-2</v>
      </c>
      <c r="E2273" s="38">
        <f t="shared" si="111"/>
        <v>-1.0877757414749714E-2</v>
      </c>
    </row>
    <row r="2274" spans="1:5">
      <c r="A2274" s="35">
        <v>45679</v>
      </c>
      <c r="B2274" s="37">
        <v>1856.6</v>
      </c>
      <c r="C2274" s="37">
        <v>75366.17</v>
      </c>
      <c r="D2274" s="38">
        <f t="shared" si="110"/>
        <v>4.4069507557151829E-3</v>
      </c>
      <c r="E2274" s="38">
        <f t="shared" si="111"/>
        <v>7.076760714453862E-3</v>
      </c>
    </row>
    <row r="2275" spans="1:5">
      <c r="A2275" s="35">
        <v>45680</v>
      </c>
      <c r="B2275" s="37">
        <v>1864.8</v>
      </c>
      <c r="C2275" s="37">
        <v>75901.41</v>
      </c>
      <c r="D2275" s="38">
        <f t="shared" si="110"/>
        <v>5.5348474831345279E-3</v>
      </c>
      <c r="E2275" s="38">
        <f t="shared" si="111"/>
        <v>8.2862364124920533E-3</v>
      </c>
    </row>
    <row r="2276" spans="1:5">
      <c r="A2276" s="35">
        <v>45681</v>
      </c>
      <c r="B2276" s="37">
        <v>1875.15</v>
      </c>
      <c r="C2276" s="37">
        <v>76532.960000000006</v>
      </c>
      <c r="D2276" s="38">
        <f t="shared" si="110"/>
        <v>-2.8698974148848908E-2</v>
      </c>
      <c r="E2276" s="38">
        <f t="shared" si="111"/>
        <v>2.9596981722874506E-3</v>
      </c>
    </row>
    <row r="2277" spans="1:5">
      <c r="A2277" s="35">
        <v>45684</v>
      </c>
      <c r="B2277" s="37">
        <v>1822.1</v>
      </c>
      <c r="C2277" s="37">
        <v>76759.81</v>
      </c>
      <c r="D2277" s="38">
        <f t="shared" si="110"/>
        <v>3.8616960006611066E-3</v>
      </c>
      <c r="E2277" s="38">
        <f t="shared" si="111"/>
        <v>9.6040952820533633E-3</v>
      </c>
    </row>
    <row r="2278" spans="1:5">
      <c r="A2278" s="35">
        <v>45685</v>
      </c>
      <c r="B2278" s="37">
        <v>1829.15</v>
      </c>
      <c r="C2278" s="37">
        <v>77500.570000000007</v>
      </c>
      <c r="D2278" s="38">
        <f t="shared" si="110"/>
        <v>2.7872424248162539E-2</v>
      </c>
      <c r="E2278" s="38">
        <f t="shared" si="111"/>
        <v>6.9545457242069483E-5</v>
      </c>
    </row>
    <row r="2279" spans="1:5">
      <c r="A2279" s="35">
        <v>45686</v>
      </c>
      <c r="B2279" s="37">
        <v>1880.85</v>
      </c>
      <c r="C2279" s="37">
        <v>77505.960000000006</v>
      </c>
      <c r="D2279" s="38">
        <f t="shared" si="110"/>
        <v>-1.1227963010695778E-2</v>
      </c>
      <c r="E2279" s="38">
        <f t="shared" si="111"/>
        <v>-4.1271560082297666E-3</v>
      </c>
    </row>
    <row r="2280" spans="1:5">
      <c r="A2280" s="35">
        <v>45687</v>
      </c>
      <c r="B2280" s="37">
        <v>1859.85</v>
      </c>
      <c r="C2280" s="37">
        <v>77186.740000000005</v>
      </c>
      <c r="D2280" s="38">
        <f t="shared" si="110"/>
        <v>1.080253292105446E-2</v>
      </c>
      <c r="E2280" s="38">
        <f t="shared" si="111"/>
        <v>1.7938017954698123E-2</v>
      </c>
    </row>
    <row r="2281" spans="1:5">
      <c r="A2281" s="35">
        <v>45688</v>
      </c>
      <c r="B2281" s="37">
        <v>1880.05</v>
      </c>
      <c r="C2281" s="37">
        <v>78583.81</v>
      </c>
      <c r="D2281" s="38">
        <f t="shared" si="110"/>
        <v>-1.5086233147055227E-2</v>
      </c>
      <c r="E2281" s="38">
        <f t="shared" si="111"/>
        <v>-3.9849572440173306E-3</v>
      </c>
    </row>
    <row r="2282" spans="1:5">
      <c r="A2282" s="35">
        <v>45689</v>
      </c>
      <c r="B2282" s="37">
        <v>1851.9</v>
      </c>
      <c r="C2282" s="37">
        <v>78271.28</v>
      </c>
      <c r="D2282" s="38">
        <f t="shared" si="110"/>
        <v>6.432101836518744E-3</v>
      </c>
      <c r="E2282" s="38">
        <f t="shared" si="111"/>
        <v>-2.7265514675839531E-3</v>
      </c>
    </row>
    <row r="2283" spans="1:5">
      <c r="A2283" s="35">
        <v>45691</v>
      </c>
      <c r="B2283" s="37">
        <v>1863.85</v>
      </c>
      <c r="C2283" s="37">
        <v>78058.16</v>
      </c>
      <c r="D2283" s="38">
        <f t="shared" si="110"/>
        <v>1.8814830478852181E-2</v>
      </c>
      <c r="E2283" s="38">
        <f t="shared" si="111"/>
        <v>-2.5394074063200796E-3</v>
      </c>
    </row>
    <row r="2284" spans="1:5">
      <c r="A2284" s="35">
        <v>45692</v>
      </c>
      <c r="B2284" s="37">
        <v>1899.25</v>
      </c>
      <c r="C2284" s="37">
        <v>77860.19</v>
      </c>
      <c r="D2284" s="38">
        <f t="shared" si="110"/>
        <v>-1.1326670248312826E-3</v>
      </c>
      <c r="E2284" s="38">
        <f t="shared" si="111"/>
        <v>-7.0681865083340404E-3</v>
      </c>
    </row>
    <row r="2285" spans="1:5">
      <c r="A2285" s="35">
        <v>45693</v>
      </c>
      <c r="B2285" s="37">
        <v>1897.1</v>
      </c>
      <c r="C2285" s="37">
        <v>77311.8</v>
      </c>
      <c r="D2285" s="38">
        <f t="shared" si="110"/>
        <v>9.8871787983958216E-3</v>
      </c>
      <c r="E2285" s="38">
        <f t="shared" si="111"/>
        <v>-1.3257540599412285E-2</v>
      </c>
    </row>
    <row r="2286" spans="1:5">
      <c r="A2286" s="35">
        <v>45694</v>
      </c>
      <c r="B2286" s="37">
        <v>1915.95</v>
      </c>
      <c r="C2286" s="37">
        <v>76293.600000000006</v>
      </c>
      <c r="D2286" s="38">
        <f t="shared" si="110"/>
        <v>-6.9133750093946598E-3</v>
      </c>
      <c r="E2286" s="38">
        <f t="shared" si="111"/>
        <v>-1.6071922542731476E-3</v>
      </c>
    </row>
    <row r="2287" spans="1:5">
      <c r="A2287" s="35">
        <v>45695</v>
      </c>
      <c r="B2287" s="37">
        <v>1902.75</v>
      </c>
      <c r="C2287" s="37">
        <v>76171.08</v>
      </c>
      <c r="D2287" s="38">
        <f t="shared" si="110"/>
        <v>-1.2454053802797845E-2</v>
      </c>
      <c r="E2287" s="38">
        <f t="shared" si="111"/>
        <v>-4.2163994399206168E-4</v>
      </c>
    </row>
    <row r="2288" spans="1:5">
      <c r="A2288" s="35">
        <v>45698</v>
      </c>
      <c r="B2288" s="37">
        <v>1879.2</v>
      </c>
      <c r="C2288" s="37">
        <v>76138.97</v>
      </c>
      <c r="D2288" s="38">
        <f t="shared" si="110"/>
        <v>-1.2779554454920687E-3</v>
      </c>
      <c r="E2288" s="38">
        <f t="shared" si="111"/>
        <v>-2.627071350893513E-3</v>
      </c>
    </row>
    <row r="2289" spans="1:5">
      <c r="A2289" s="35">
        <v>45699</v>
      </c>
      <c r="B2289" s="37">
        <v>1876.8</v>
      </c>
      <c r="C2289" s="37">
        <v>75939.210000000006</v>
      </c>
      <c r="D2289" s="38">
        <f t="shared" si="110"/>
        <v>-6.9776118202628124E-3</v>
      </c>
      <c r="E2289" s="38">
        <f t="shared" si="111"/>
        <v>7.5887184348850652E-4</v>
      </c>
    </row>
    <row r="2290" spans="1:5">
      <c r="A2290" s="35">
        <v>45700</v>
      </c>
      <c r="B2290" s="37">
        <v>1863.75</v>
      </c>
      <c r="C2290" s="37">
        <v>75996.86</v>
      </c>
      <c r="D2290" s="38">
        <f t="shared" si="110"/>
        <v>-1.1060269209188203E-2</v>
      </c>
      <c r="E2290" s="38">
        <f t="shared" si="111"/>
        <v>-3.8785438508640095E-4</v>
      </c>
    </row>
    <row r="2291" spans="1:5">
      <c r="A2291" s="35">
        <v>45701</v>
      </c>
      <c r="B2291" s="37">
        <v>1843.25</v>
      </c>
      <c r="C2291" s="37">
        <v>75967.39</v>
      </c>
      <c r="D2291" s="38">
        <f t="shared" si="110"/>
        <v>7.0549413454174857E-3</v>
      </c>
      <c r="E2291" s="38">
        <f t="shared" si="111"/>
        <v>-3.7141251131271748E-4</v>
      </c>
    </row>
    <row r="2292" spans="1:5">
      <c r="A2292" s="35">
        <v>45702</v>
      </c>
      <c r="B2292" s="37">
        <v>1856.3</v>
      </c>
      <c r="C2292" s="37">
        <v>75939.179999999993</v>
      </c>
      <c r="D2292" s="38">
        <f t="shared" si="110"/>
        <v>-7.407641540345805E-3</v>
      </c>
      <c r="E2292" s="38">
        <f t="shared" si="111"/>
        <v>-2.6796760709041226E-3</v>
      </c>
    </row>
    <row r="2293" spans="1:5">
      <c r="A2293" s="35">
        <v>45705</v>
      </c>
      <c r="B2293" s="37">
        <v>1842.6</v>
      </c>
      <c r="C2293" s="37">
        <v>75735.960000000006</v>
      </c>
      <c r="D2293" s="38">
        <f t="shared" si="110"/>
        <v>4.818503678835657E-3</v>
      </c>
      <c r="E2293" s="38">
        <f t="shared" si="111"/>
        <v>-5.6260775058055079E-3</v>
      </c>
    </row>
    <row r="2294" spans="1:5">
      <c r="A2294" s="35">
        <v>45706</v>
      </c>
      <c r="B2294" s="37">
        <v>1851.5</v>
      </c>
      <c r="C2294" s="37">
        <v>75311.06</v>
      </c>
      <c r="D2294" s="38">
        <f t="shared" si="110"/>
        <v>-2.2227384791863893E-2</v>
      </c>
      <c r="E2294" s="38">
        <f t="shared" si="111"/>
        <v>-1.1440011409003262E-2</v>
      </c>
    </row>
    <row r="2295" spans="1:5">
      <c r="A2295" s="35">
        <v>45707</v>
      </c>
      <c r="B2295" s="37">
        <v>1810.8</v>
      </c>
      <c r="C2295" s="37">
        <v>74454.41</v>
      </c>
      <c r="D2295" s="38">
        <f t="shared" si="110"/>
        <v>6.9615745139084183E-3</v>
      </c>
      <c r="E2295" s="38">
        <f t="shared" si="111"/>
        <v>1.9819332752632232E-3</v>
      </c>
    </row>
    <row r="2296" spans="1:5">
      <c r="A2296" s="35">
        <v>45708</v>
      </c>
      <c r="B2296" s="37">
        <v>1823.45</v>
      </c>
      <c r="C2296" s="37">
        <v>74602.12</v>
      </c>
      <c r="D2296" s="38">
        <f t="shared" si="110"/>
        <v>-4.5622021635407153E-3</v>
      </c>
      <c r="E2296" s="38">
        <f t="shared" si="111"/>
        <v>1.3819027724043851E-4</v>
      </c>
    </row>
    <row r="2297" spans="1:5">
      <c r="A2297" s="35">
        <v>45709</v>
      </c>
      <c r="B2297" s="37">
        <v>1815.15</v>
      </c>
      <c r="C2297" s="37">
        <v>74612.429999999993</v>
      </c>
      <c r="D2297" s="38">
        <f t="shared" si="110"/>
        <v>-2.8499120947015958E-2</v>
      </c>
      <c r="E2297" s="38">
        <f t="shared" si="111"/>
        <v>-1.9137650967485504E-2</v>
      </c>
    </row>
    <row r="2298" spans="1:5">
      <c r="A2298" s="35">
        <v>45712</v>
      </c>
      <c r="B2298" s="37">
        <v>1764.15</v>
      </c>
      <c r="C2298" s="37">
        <v>73198.100000000006</v>
      </c>
      <c r="D2298" s="38">
        <f t="shared" si="110"/>
        <v>2.293092006548788E-3</v>
      </c>
      <c r="E2298" s="38">
        <f t="shared" si="111"/>
        <v>-1.5334553513637391E-3</v>
      </c>
    </row>
    <row r="2299" spans="1:5">
      <c r="A2299" s="35">
        <v>45713</v>
      </c>
      <c r="B2299" s="37">
        <v>1768.2</v>
      </c>
      <c r="C2299" s="37">
        <v>73085.94</v>
      </c>
      <c r="D2299" s="38">
        <f t="shared" si="110"/>
        <v>-2.2647501470374819E-3</v>
      </c>
      <c r="E2299" s="38">
        <f t="shared" si="111"/>
        <v>-1.3145225672824225E-3</v>
      </c>
    </row>
    <row r="2300" spans="1:5">
      <c r="A2300" s="35">
        <v>45715</v>
      </c>
      <c r="B2300" s="37">
        <v>1764.2</v>
      </c>
      <c r="C2300" s="37">
        <v>72989.929999999993</v>
      </c>
      <c r="D2300" s="38">
        <f t="shared" si="110"/>
        <v>-4.4123313254372416E-2</v>
      </c>
      <c r="E2300" s="38">
        <f t="shared" si="111"/>
        <v>1.0091405059128082E-2</v>
      </c>
    </row>
    <row r="2301" spans="1:5">
      <c r="A2301" s="35">
        <v>45716</v>
      </c>
      <c r="B2301" s="37">
        <v>1688.05</v>
      </c>
      <c r="C2301" s="37">
        <v>73730.23</v>
      </c>
      <c r="D2301" s="38">
        <f t="shared" si="110"/>
        <v>1.1807625073720771E-2</v>
      </c>
      <c r="E2301" s="38">
        <f t="shared" si="111"/>
        <v>8.2374840354015391E-3</v>
      </c>
    </row>
    <row r="2302" spans="1:5">
      <c r="A2302" s="35">
        <v>45719</v>
      </c>
      <c r="B2302" s="37">
        <v>1708.1</v>
      </c>
      <c r="C2302" s="37">
        <v>74340.09</v>
      </c>
      <c r="D2302" s="38">
        <f t="shared" si="110"/>
        <v>-1.0830643277410937E-2</v>
      </c>
      <c r="E2302" s="38">
        <f t="shared" si="111"/>
        <v>-1.0102731061983516E-4</v>
      </c>
    </row>
    <row r="2303" spans="1:5">
      <c r="A2303" s="35">
        <v>45720</v>
      </c>
      <c r="B2303" s="37">
        <v>1689.7</v>
      </c>
      <c r="C2303" s="37">
        <v>74332.58</v>
      </c>
      <c r="D2303" s="38">
        <f t="shared" si="110"/>
        <v>1.2410098986149446E-2</v>
      </c>
      <c r="E2303" s="38">
        <f t="shared" si="111"/>
        <v>-2.9291135156013525E-3</v>
      </c>
    </row>
    <row r="2304" spans="1:5">
      <c r="A2304" s="35">
        <v>45721</v>
      </c>
      <c r="B2304" s="37">
        <v>1710.8</v>
      </c>
      <c r="C2304" s="37">
        <v>74115.17</v>
      </c>
      <c r="D2304" s="38">
        <f t="shared" si="110"/>
        <v>1.4018693884623548E-3</v>
      </c>
      <c r="E2304" s="38">
        <f t="shared" si="111"/>
        <v>-1.73393842146196E-4</v>
      </c>
    </row>
    <row r="2305" spans="1:5">
      <c r="A2305" s="35">
        <v>45722</v>
      </c>
      <c r="B2305" s="37">
        <v>1713.2</v>
      </c>
      <c r="C2305" s="37">
        <v>74102.320000000007</v>
      </c>
      <c r="D2305" s="38">
        <f t="shared" si="110"/>
        <v>-1.6152398126524588E-2</v>
      </c>
      <c r="E2305" s="38">
        <f t="shared" si="111"/>
        <v>-9.7966633295466462E-4</v>
      </c>
    </row>
    <row r="2306" spans="1:5">
      <c r="A2306" s="35">
        <v>45723</v>
      </c>
      <c r="B2306" s="37">
        <v>1685.75</v>
      </c>
      <c r="C2306" s="37">
        <v>74029.759999999995</v>
      </c>
      <c r="D2306" s="38">
        <f t="shared" si="110"/>
        <v>1.003402250673641E-2</v>
      </c>
      <c r="E2306" s="38">
        <f t="shared" si="111"/>
        <v>-2.7167852049278219E-3</v>
      </c>
    </row>
    <row r="2307" spans="1:5">
      <c r="A2307" s="35">
        <v>45726</v>
      </c>
      <c r="B2307" s="37">
        <v>1702.75</v>
      </c>
      <c r="C2307" s="37">
        <v>73828.91</v>
      </c>
      <c r="D2307" s="38">
        <f t="shared" si="110"/>
        <v>-2.5065608293497531E-2</v>
      </c>
      <c r="E2307" s="38">
        <f t="shared" si="111"/>
        <v>4.6086923053575823E-3</v>
      </c>
    </row>
    <row r="2308" spans="1:5">
      <c r="A2308" s="35">
        <v>45727</v>
      </c>
      <c r="B2308" s="37">
        <v>1660.6</v>
      </c>
      <c r="C2308" s="37">
        <v>74169.95</v>
      </c>
      <c r="D2308" s="38">
        <f t="shared" si="110"/>
        <v>-4.3696570590323204E-2</v>
      </c>
      <c r="E2308" s="38">
        <f t="shared" si="111"/>
        <v>1.5137786112346788E-2</v>
      </c>
    </row>
    <row r="2309" spans="1:5">
      <c r="A2309" s="35">
        <v>45728</v>
      </c>
      <c r="B2309" s="37">
        <v>1589.6</v>
      </c>
      <c r="C2309" s="37">
        <v>75301.259999999995</v>
      </c>
      <c r="D2309" s="38">
        <f t="shared" ref="D2309:D2372" si="112">LN(B2310/B2309)</f>
        <v>-6.5323614587972315E-3</v>
      </c>
      <c r="E2309" s="38">
        <f t="shared" ref="E2309:E2372" si="113">LN(C2310/C2309)</f>
        <v>1.9607262810614951E-3</v>
      </c>
    </row>
    <row r="2310" spans="1:5">
      <c r="A2310" s="35">
        <v>45729</v>
      </c>
      <c r="B2310" s="37">
        <v>1579.25</v>
      </c>
      <c r="C2310" s="37">
        <v>75449.05</v>
      </c>
      <c r="D2310" s="38">
        <f t="shared" si="112"/>
        <v>7.1298175714076531E-3</v>
      </c>
      <c r="E2310" s="38">
        <f t="shared" si="113"/>
        <v>1.1845028027897844E-2</v>
      </c>
    </row>
    <row r="2311" spans="1:5">
      <c r="A2311" s="35">
        <v>45733</v>
      </c>
      <c r="B2311" s="37">
        <v>1590.55</v>
      </c>
      <c r="C2311" s="37">
        <v>76348.06</v>
      </c>
      <c r="D2311" s="38">
        <f t="shared" si="112"/>
        <v>1.140869110822499E-2</v>
      </c>
      <c r="E2311" s="38">
        <f t="shared" si="113"/>
        <v>7.2749033976609685E-3</v>
      </c>
    </row>
    <row r="2312" spans="1:5">
      <c r="A2312" s="35">
        <v>45734</v>
      </c>
      <c r="B2312" s="37">
        <v>1608.8</v>
      </c>
      <c r="C2312" s="37">
        <v>76905.509999999995</v>
      </c>
      <c r="D2312" s="38">
        <f t="shared" si="112"/>
        <v>-1.3926712016270762E-2</v>
      </c>
      <c r="E2312" s="38">
        <f t="shared" si="113"/>
        <v>1.3931024785141955E-2</v>
      </c>
    </row>
    <row r="2313" spans="1:5">
      <c r="A2313" s="35">
        <v>45735</v>
      </c>
      <c r="B2313" s="37">
        <v>1586.55</v>
      </c>
      <c r="C2313" s="37">
        <v>77984.38</v>
      </c>
      <c r="D2313" s="38">
        <f t="shared" si="112"/>
        <v>1.7246654872339534E-2</v>
      </c>
      <c r="E2313" s="38">
        <f t="shared" si="113"/>
        <v>4.2063679851137627E-4</v>
      </c>
    </row>
    <row r="2314" spans="1:5">
      <c r="A2314" s="35">
        <v>45736</v>
      </c>
      <c r="B2314" s="37">
        <v>1614.15</v>
      </c>
      <c r="C2314" s="37">
        <v>78017.19</v>
      </c>
      <c r="D2314" s="38">
        <f t="shared" si="112"/>
        <v>-1.3440601491166585E-2</v>
      </c>
      <c r="E2314" s="38">
        <f t="shared" si="113"/>
        <v>-9.384013519976581E-3</v>
      </c>
    </row>
    <row r="2315" spans="1:5">
      <c r="A2315" s="35">
        <v>45737</v>
      </c>
      <c r="B2315" s="37">
        <v>1592.6</v>
      </c>
      <c r="C2315" s="37">
        <v>77288.5</v>
      </c>
      <c r="D2315" s="38">
        <f t="shared" si="112"/>
        <v>-2.5119316886662514E-4</v>
      </c>
      <c r="E2315" s="38">
        <f t="shared" si="113"/>
        <v>4.1051110772688734E-3</v>
      </c>
    </row>
    <row r="2316" spans="1:5">
      <c r="A2316" s="35">
        <v>45740</v>
      </c>
      <c r="B2316" s="37">
        <v>1592.2</v>
      </c>
      <c r="C2316" s="37">
        <v>77606.429999999993</v>
      </c>
      <c r="D2316" s="38">
        <f t="shared" si="112"/>
        <v>2.4505708442547031E-2</v>
      </c>
      <c r="E2316" s="38">
        <f t="shared" si="113"/>
        <v>-2.4707577043421142E-3</v>
      </c>
    </row>
    <row r="2317" spans="1:5">
      <c r="A2317" s="35">
        <v>45741</v>
      </c>
      <c r="B2317" s="37">
        <v>1631.7</v>
      </c>
      <c r="C2317" s="37">
        <v>77414.92</v>
      </c>
      <c r="D2317" s="38">
        <f t="shared" si="112"/>
        <v>-2.077570584189959E-2</v>
      </c>
      <c r="E2317" s="38">
        <f t="shared" si="113"/>
        <v>-1.8123738582420588E-2</v>
      </c>
    </row>
    <row r="2318" spans="1:5">
      <c r="A2318" s="35">
        <v>45742</v>
      </c>
      <c r="B2318" s="37">
        <v>1598.15</v>
      </c>
      <c r="C2318" s="37">
        <v>76024.509999999995</v>
      </c>
      <c r="D2318" s="38">
        <f t="shared" si="112"/>
        <v>3.3732111817771043E-3</v>
      </c>
      <c r="E2318" s="38">
        <f t="shared" si="113"/>
        <v>7.7689387780687453E-3</v>
      </c>
    </row>
    <row r="2319" spans="1:5">
      <c r="A2319" s="35">
        <v>45743</v>
      </c>
      <c r="B2319" s="37">
        <v>1603.55</v>
      </c>
      <c r="C2319" s="37">
        <v>76617.440000000002</v>
      </c>
      <c r="D2319" s="38">
        <f t="shared" si="112"/>
        <v>-2.0889557474651099E-2</v>
      </c>
      <c r="E2319" s="38">
        <f t="shared" si="113"/>
        <v>-4.2126032131148657E-3</v>
      </c>
    </row>
    <row r="2320" spans="1:5">
      <c r="A2320" s="35">
        <v>45744</v>
      </c>
      <c r="B2320" s="37">
        <v>1570.4</v>
      </c>
      <c r="C2320" s="37">
        <v>76295.360000000001</v>
      </c>
      <c r="D2320" s="38">
        <f t="shared" si="112"/>
        <v>-2.7697951916501037E-2</v>
      </c>
      <c r="E2320" s="38">
        <f t="shared" si="113"/>
        <v>-1.2273260920504306E-2</v>
      </c>
    </row>
    <row r="2321" spans="1:5">
      <c r="A2321" s="35">
        <v>45748</v>
      </c>
      <c r="B2321" s="37">
        <v>1527.5</v>
      </c>
      <c r="C2321" s="37">
        <v>75364.69</v>
      </c>
      <c r="D2321" s="38">
        <f t="shared" si="112"/>
        <v>1.4525739991069053E-2</v>
      </c>
      <c r="E2321" s="38">
        <f t="shared" si="113"/>
        <v>-2.999216268886231E-2</v>
      </c>
    </row>
    <row r="2322" spans="1:5">
      <c r="A2322" s="35">
        <v>45749</v>
      </c>
      <c r="B2322" s="37">
        <v>1549.85</v>
      </c>
      <c r="C2322" s="37">
        <v>73137.899999999994</v>
      </c>
      <c r="D2322" s="38">
        <f t="shared" si="112"/>
        <v>-3.4695046617191083E-2</v>
      </c>
      <c r="E2322" s="38">
        <f t="shared" si="113"/>
        <v>1.4782342910552644E-2</v>
      </c>
    </row>
    <row r="2323" spans="1:5">
      <c r="A2323" s="35">
        <v>45750</v>
      </c>
      <c r="B2323" s="37">
        <v>1497</v>
      </c>
      <c r="C2323" s="37">
        <v>74227.08</v>
      </c>
      <c r="D2323" s="38">
        <f t="shared" si="112"/>
        <v>-3.0314598805870011E-2</v>
      </c>
      <c r="E2323" s="38">
        <f t="shared" si="113"/>
        <v>-5.1316266678289148E-3</v>
      </c>
    </row>
    <row r="2324" spans="1:5">
      <c r="A2324" s="35">
        <v>45751</v>
      </c>
      <c r="B2324" s="37">
        <v>1452.3</v>
      </c>
      <c r="C2324" s="37">
        <v>73847.149999999994</v>
      </c>
      <c r="D2324" s="38">
        <f t="shared" si="112"/>
        <v>-3.8248934570729767E-2</v>
      </c>
      <c r="E2324" s="38">
        <f t="shared" si="113"/>
        <v>1.7585301826580635E-2</v>
      </c>
    </row>
    <row r="2325" spans="1:5">
      <c r="A2325" s="35">
        <v>45754</v>
      </c>
      <c r="B2325" s="37">
        <v>1397.8</v>
      </c>
      <c r="C2325" s="37">
        <v>75157.259999999995</v>
      </c>
      <c r="D2325" s="38">
        <f t="shared" si="112"/>
        <v>2.2285241872040926E-2</v>
      </c>
      <c r="E2325" s="38">
        <f t="shared" si="113"/>
        <v>2.0773775801835814E-2</v>
      </c>
    </row>
    <row r="2326" spans="1:5">
      <c r="A2326" s="35">
        <v>45755</v>
      </c>
      <c r="B2326" s="37">
        <v>1429.3</v>
      </c>
      <c r="C2326" s="37">
        <v>76734.89</v>
      </c>
      <c r="D2326" s="38">
        <f t="shared" si="112"/>
        <v>-1.7717068331921021E-2</v>
      </c>
      <c r="E2326" s="38">
        <f t="shared" si="113"/>
        <v>4.0239571766423074E-3</v>
      </c>
    </row>
    <row r="2327" spans="1:5">
      <c r="A2327" s="35">
        <v>45756</v>
      </c>
      <c r="B2327" s="37">
        <v>1404.2</v>
      </c>
      <c r="C2327" s="37">
        <v>77044.289999999994</v>
      </c>
      <c r="D2327" s="38">
        <f t="shared" si="112"/>
        <v>4.5474001909301667E-3</v>
      </c>
      <c r="E2327" s="38">
        <f t="shared" si="113"/>
        <v>1.9395650957286629E-2</v>
      </c>
    </row>
    <row r="2328" spans="1:5">
      <c r="A2328" s="35">
        <v>45758</v>
      </c>
      <c r="B2328" s="37">
        <v>1410.6</v>
      </c>
      <c r="C2328" s="37">
        <v>78553.2</v>
      </c>
      <c r="D2328" s="38">
        <f t="shared" si="112"/>
        <v>1.1734370070289872E-2</v>
      </c>
      <c r="E2328" s="38">
        <f t="shared" si="113"/>
        <v>1.0829313165022846E-2</v>
      </c>
    </row>
    <row r="2329" spans="1:5">
      <c r="A2329" s="35">
        <v>45762</v>
      </c>
      <c r="B2329" s="37">
        <v>1427.25</v>
      </c>
      <c r="C2329" s="37">
        <v>79408.5</v>
      </c>
      <c r="D2329" s="38">
        <f t="shared" si="112"/>
        <v>-1.0034412159841083E-2</v>
      </c>
      <c r="E2329" s="38">
        <f t="shared" si="113"/>
        <v>2.3532738854759351E-3</v>
      </c>
    </row>
    <row r="2330" spans="1:5">
      <c r="A2330" s="35">
        <v>45763</v>
      </c>
      <c r="B2330" s="37">
        <v>1413</v>
      </c>
      <c r="C2330" s="37">
        <v>79595.59</v>
      </c>
      <c r="D2330" s="38">
        <f t="shared" si="112"/>
        <v>5.0826030634658096E-3</v>
      </c>
      <c r="E2330" s="38">
        <f t="shared" si="113"/>
        <v>6.5230112463528023E-3</v>
      </c>
    </row>
    <row r="2331" spans="1:5">
      <c r="A2331" s="35">
        <v>45764</v>
      </c>
      <c r="B2331" s="37">
        <v>1420.2</v>
      </c>
      <c r="C2331" s="37">
        <v>80116.490000000005</v>
      </c>
      <c r="D2331" s="38">
        <f t="shared" si="112"/>
        <v>2.1076146347218279E-2</v>
      </c>
      <c r="E2331" s="38">
        <f t="shared" si="113"/>
        <v>-3.9402764571878591E-3</v>
      </c>
    </row>
    <row r="2332" spans="1:5">
      <c r="A2332" s="35">
        <v>45768</v>
      </c>
      <c r="B2332" s="37">
        <v>1450.45</v>
      </c>
      <c r="C2332" s="37">
        <v>79801.429999999993</v>
      </c>
      <c r="D2332" s="38">
        <f t="shared" si="112"/>
        <v>-1.9528267335571347E-2</v>
      </c>
      <c r="E2332" s="38">
        <f t="shared" si="113"/>
        <v>-7.4069307170356868E-3</v>
      </c>
    </row>
    <row r="2333" spans="1:5">
      <c r="A2333" s="35">
        <v>45769</v>
      </c>
      <c r="B2333" s="37">
        <v>1422.4</v>
      </c>
      <c r="C2333" s="37">
        <v>79212.53</v>
      </c>
      <c r="D2333" s="38">
        <f t="shared" si="112"/>
        <v>3.6210703927747175E-2</v>
      </c>
      <c r="E2333" s="38">
        <f t="shared" si="113"/>
        <v>1.2618047635388815E-2</v>
      </c>
    </row>
    <row r="2334" spans="1:5">
      <c r="A2334" s="35">
        <v>45770</v>
      </c>
      <c r="B2334" s="37">
        <v>1474.85</v>
      </c>
      <c r="C2334" s="37">
        <v>80218.37</v>
      </c>
      <c r="D2334" s="38">
        <f t="shared" si="112"/>
        <v>-2.4099259834861018E-3</v>
      </c>
      <c r="E2334" s="38">
        <f t="shared" si="113"/>
        <v>8.7236212109341709E-4</v>
      </c>
    </row>
    <row r="2335" spans="1:5">
      <c r="A2335" s="35">
        <v>45771</v>
      </c>
      <c r="B2335" s="37">
        <v>1471.3</v>
      </c>
      <c r="C2335" s="37">
        <v>80288.38</v>
      </c>
      <c r="D2335" s="38">
        <f t="shared" si="112"/>
        <v>6.030850059464854E-3</v>
      </c>
      <c r="E2335" s="38">
        <f t="shared" si="113"/>
        <v>-5.7484361887548234E-4</v>
      </c>
    </row>
    <row r="2336" spans="1:5">
      <c r="A2336" s="35">
        <v>45772</v>
      </c>
      <c r="B2336" s="37">
        <v>1480.2</v>
      </c>
      <c r="C2336" s="37">
        <v>80242.240000000005</v>
      </c>
      <c r="D2336" s="38">
        <f t="shared" si="112"/>
        <v>1.3502567538924168E-3</v>
      </c>
      <c r="E2336" s="38">
        <f t="shared" si="113"/>
        <v>3.2318451005905664E-3</v>
      </c>
    </row>
    <row r="2337" spans="1:5">
      <c r="A2337" s="35">
        <v>45775</v>
      </c>
      <c r="B2337" s="37">
        <v>1482.2</v>
      </c>
      <c r="C2337" s="37">
        <v>80501.990000000005</v>
      </c>
      <c r="D2337" s="38">
        <f t="shared" si="112"/>
        <v>1.0202800279326293E-2</v>
      </c>
      <c r="E2337" s="38">
        <f t="shared" si="113"/>
        <v>3.6559512355194565E-3</v>
      </c>
    </row>
    <row r="2338" spans="1:5">
      <c r="A2338" s="35">
        <v>45776</v>
      </c>
      <c r="B2338" s="37">
        <v>1497.4</v>
      </c>
      <c r="C2338" s="37">
        <v>80796.84</v>
      </c>
      <c r="D2338" s="38">
        <f t="shared" si="112"/>
        <v>1.0012349399653236E-3</v>
      </c>
      <c r="E2338" s="38">
        <f t="shared" si="113"/>
        <v>-1.9297827671506955E-3</v>
      </c>
    </row>
    <row r="2339" spans="1:5">
      <c r="A2339" s="35">
        <v>45777</v>
      </c>
      <c r="B2339" s="37">
        <v>1498.9</v>
      </c>
      <c r="C2339" s="37">
        <v>80641.070000000007</v>
      </c>
      <c r="D2339" s="38">
        <f t="shared" si="112"/>
        <v>5.0243837709075282E-3</v>
      </c>
      <c r="E2339" s="38">
        <f t="shared" si="113"/>
        <v>1.3100120624653755E-3</v>
      </c>
    </row>
    <row r="2340" spans="1:5">
      <c r="A2340" s="35">
        <v>45779</v>
      </c>
      <c r="B2340" s="37">
        <v>1506.45</v>
      </c>
      <c r="C2340" s="37">
        <v>80746.78</v>
      </c>
      <c r="D2340" s="38">
        <f t="shared" si="112"/>
        <v>8.2942127741516452E-4</v>
      </c>
      <c r="E2340" s="38">
        <f t="shared" si="113"/>
        <v>-5.1150587503582621E-3</v>
      </c>
    </row>
    <row r="2341" spans="1:5">
      <c r="A2341" s="35">
        <v>45782</v>
      </c>
      <c r="B2341" s="37">
        <v>1507.7</v>
      </c>
      <c r="C2341" s="37">
        <v>80334.81</v>
      </c>
      <c r="D2341" s="38">
        <f t="shared" si="112"/>
        <v>2.3848967912021971E-3</v>
      </c>
      <c r="E2341" s="38">
        <f t="shared" si="113"/>
        <v>-1.1018873196378258E-2</v>
      </c>
    </row>
    <row r="2342" spans="1:5">
      <c r="A2342" s="35">
        <v>45783</v>
      </c>
      <c r="B2342" s="37">
        <v>1511.3</v>
      </c>
      <c r="C2342" s="37">
        <v>79454.47</v>
      </c>
      <c r="D2342" s="38">
        <f t="shared" si="112"/>
        <v>-1.8544279769591354E-3</v>
      </c>
      <c r="E2342" s="38">
        <f t="shared" si="113"/>
        <v>3.6764081973884769E-2</v>
      </c>
    </row>
    <row r="2343" spans="1:5">
      <c r="A2343" s="35">
        <v>45784</v>
      </c>
      <c r="B2343" s="37">
        <v>1508.5</v>
      </c>
      <c r="C2343" s="37">
        <v>82429.899999999994</v>
      </c>
      <c r="D2343" s="38">
        <f t="shared" si="112"/>
        <v>1.8213433298867555E-3</v>
      </c>
      <c r="E2343" s="38">
        <f t="shared" si="113"/>
        <v>-1.5670876142664651E-2</v>
      </c>
    </row>
    <row r="2344" spans="1:5">
      <c r="A2344" s="35">
        <v>45785</v>
      </c>
      <c r="B2344" s="37">
        <v>1511.25</v>
      </c>
      <c r="C2344" s="37">
        <v>81148.22</v>
      </c>
      <c r="D2344" s="38">
        <f t="shared" si="112"/>
        <v>-2.5176413735695483E-3</v>
      </c>
      <c r="E2344" s="38">
        <f t="shared" si="113"/>
        <v>2.2444786518905149E-3</v>
      </c>
    </row>
    <row r="2345" spans="1:5">
      <c r="A2345" s="35">
        <v>45786</v>
      </c>
      <c r="B2345" s="37">
        <v>1507.45</v>
      </c>
      <c r="C2345" s="37">
        <v>81330.559999999998</v>
      </c>
      <c r="D2345" s="38">
        <f t="shared" si="112"/>
        <v>7.6133941216974921E-2</v>
      </c>
      <c r="E2345" s="38">
        <f t="shared" si="113"/>
        <v>1.4648992317767996E-2</v>
      </c>
    </row>
    <row r="2346" spans="1:5">
      <c r="A2346" s="35">
        <v>45789</v>
      </c>
      <c r="B2346" s="37">
        <v>1626.7</v>
      </c>
      <c r="C2346" s="37">
        <v>82530.740000000005</v>
      </c>
      <c r="D2346" s="38">
        <f t="shared" si="112"/>
        <v>-3.6051216207385231E-2</v>
      </c>
      <c r="E2346" s="38">
        <f t="shared" si="113"/>
        <v>-2.4281024341493689E-3</v>
      </c>
    </row>
    <row r="2347" spans="1:5">
      <c r="A2347" s="35">
        <v>45790</v>
      </c>
      <c r="B2347" s="37">
        <v>1569.1</v>
      </c>
      <c r="C2347" s="37">
        <v>82330.59</v>
      </c>
      <c r="D2347" s="38">
        <f t="shared" si="112"/>
        <v>1.4865694258321844E-2</v>
      </c>
      <c r="E2347" s="38">
        <f t="shared" si="113"/>
        <v>-3.2991085766561697E-3</v>
      </c>
    </row>
    <row r="2348" spans="1:5">
      <c r="A2348" s="35">
        <v>45791</v>
      </c>
      <c r="B2348" s="37">
        <v>1592.6</v>
      </c>
      <c r="C2348" s="37">
        <v>82059.42</v>
      </c>
      <c r="D2348" s="38">
        <f t="shared" si="112"/>
        <v>1.2882876992604621E-2</v>
      </c>
      <c r="E2348" s="38">
        <f t="shared" si="113"/>
        <v>-1.0695380841525699E-2</v>
      </c>
    </row>
    <row r="2349" spans="1:5">
      <c r="A2349" s="35">
        <v>45792</v>
      </c>
      <c r="B2349" s="37">
        <v>1613.25</v>
      </c>
      <c r="C2349" s="37">
        <v>81186.44</v>
      </c>
      <c r="D2349" s="38">
        <f t="shared" si="112"/>
        <v>-1.4674006668431983E-2</v>
      </c>
      <c r="E2349" s="38">
        <f t="shared" si="113"/>
        <v>5.0397239491148452E-3</v>
      </c>
    </row>
    <row r="2350" spans="1:5">
      <c r="A2350" s="35">
        <v>45793</v>
      </c>
      <c r="B2350" s="37">
        <v>1589.75</v>
      </c>
      <c r="C2350" s="37">
        <v>81596.63</v>
      </c>
      <c r="D2350" s="38">
        <f t="shared" si="112"/>
        <v>-1.9435970195386131E-2</v>
      </c>
      <c r="E2350" s="38">
        <f t="shared" si="113"/>
        <v>-7.9316992001674073E-3</v>
      </c>
    </row>
    <row r="2351" spans="1:5">
      <c r="A2351" s="35">
        <v>45796</v>
      </c>
      <c r="B2351" s="37">
        <v>1559.15</v>
      </c>
      <c r="C2351" s="37">
        <v>80951.990000000005</v>
      </c>
      <c r="D2351" s="38">
        <f t="shared" si="112"/>
        <v>8.0139768037040132E-4</v>
      </c>
      <c r="E2351" s="38">
        <f t="shared" si="113"/>
        <v>9.4557228236654099E-3</v>
      </c>
    </row>
    <row r="2352" spans="1:5">
      <c r="A2352" s="35">
        <v>45797</v>
      </c>
      <c r="B2352" s="37">
        <v>1560.4</v>
      </c>
      <c r="C2352" s="37">
        <v>81721.08</v>
      </c>
      <c r="D2352" s="38">
        <f t="shared" si="112"/>
        <v>4.9224967544843476E-3</v>
      </c>
      <c r="E2352" s="38">
        <f t="shared" si="113"/>
        <v>5.5567789427261984E-3</v>
      </c>
    </row>
    <row r="2353" spans="1:5">
      <c r="A2353" s="35">
        <v>45798</v>
      </c>
      <c r="B2353" s="37">
        <v>1568.1</v>
      </c>
      <c r="C2353" s="37">
        <v>82176.45</v>
      </c>
      <c r="D2353" s="38">
        <f t="shared" si="112"/>
        <v>-1.212602674638864E-2</v>
      </c>
      <c r="E2353" s="38">
        <f t="shared" si="113"/>
        <v>-7.6324480589944829E-3</v>
      </c>
    </row>
    <row r="2354" spans="1:5">
      <c r="A2354" s="35">
        <v>45799</v>
      </c>
      <c r="B2354" s="37">
        <v>1549.2</v>
      </c>
      <c r="C2354" s="37">
        <v>81551.63</v>
      </c>
      <c r="D2354" s="38">
        <f t="shared" si="112"/>
        <v>9.8276154683397572E-3</v>
      </c>
      <c r="E2354" s="38">
        <f t="shared" si="113"/>
        <v>-2.9387740163643677E-3</v>
      </c>
    </row>
    <row r="2355" spans="1:5">
      <c r="A2355" s="35">
        <v>45800</v>
      </c>
      <c r="B2355" s="37">
        <v>1564.5</v>
      </c>
      <c r="C2355" s="37">
        <v>81312.320000000007</v>
      </c>
      <c r="D2355" s="38">
        <f t="shared" si="112"/>
        <v>1.0111695428298815E-2</v>
      </c>
      <c r="E2355" s="38">
        <f t="shared" si="113"/>
        <v>3.9362943928080039E-3</v>
      </c>
    </row>
    <row r="2356" spans="1:5">
      <c r="A2356" s="35">
        <v>45803</v>
      </c>
      <c r="B2356" s="37">
        <v>1580.4</v>
      </c>
      <c r="C2356" s="37">
        <v>81633.02</v>
      </c>
      <c r="D2356" s="38">
        <f t="shared" si="112"/>
        <v>-6.2839395585344527E-3</v>
      </c>
      <c r="E2356" s="38">
        <f t="shared" si="113"/>
        <v>-2.2321017645775187E-3</v>
      </c>
    </row>
    <row r="2357" spans="1:5">
      <c r="A2357" s="35">
        <v>45804</v>
      </c>
      <c r="B2357" s="37">
        <v>1570.5</v>
      </c>
      <c r="C2357" s="37">
        <v>81451.009999999995</v>
      </c>
      <c r="D2357" s="38">
        <f t="shared" si="112"/>
        <v>9.8646012040698732E-4</v>
      </c>
      <c r="E2357" s="38">
        <f t="shared" si="113"/>
        <v>-9.4899578907183544E-4</v>
      </c>
    </row>
    <row r="2358" spans="1:5">
      <c r="A2358" s="35">
        <v>45805</v>
      </c>
      <c r="B2358" s="37">
        <v>1572.05</v>
      </c>
      <c r="C2358" s="37">
        <v>81373.75</v>
      </c>
      <c r="D2358" s="38">
        <f t="shared" si="112"/>
        <v>8.4562413039472283E-3</v>
      </c>
      <c r="E2358" s="38">
        <f t="shared" si="113"/>
        <v>-7.8494642108835073E-3</v>
      </c>
    </row>
    <row r="2359" spans="1:5">
      <c r="A2359" s="35">
        <v>45806</v>
      </c>
      <c r="B2359" s="37">
        <v>1585.4</v>
      </c>
      <c r="C2359" s="37">
        <v>80737.509999999995</v>
      </c>
      <c r="D2359" s="38">
        <f t="shared" si="112"/>
        <v>-1.4357657222140021E-2</v>
      </c>
      <c r="E2359" s="38">
        <f t="shared" si="113"/>
        <v>3.2242742840114039E-3</v>
      </c>
    </row>
    <row r="2360" spans="1:5">
      <c r="A2360" s="35">
        <v>45807</v>
      </c>
      <c r="B2360" s="37">
        <v>1562.8</v>
      </c>
      <c r="C2360" s="37">
        <v>80998.25</v>
      </c>
      <c r="D2360" s="38">
        <f t="shared" si="112"/>
        <v>-5.5181404057736451E-3</v>
      </c>
      <c r="E2360" s="38">
        <f t="shared" si="113"/>
        <v>5.4640521036252087E-3</v>
      </c>
    </row>
    <row r="2361" spans="1:5">
      <c r="A2361" s="35">
        <v>45810</v>
      </c>
      <c r="B2361" s="37">
        <v>1554.2</v>
      </c>
      <c r="C2361" s="37">
        <v>81442.039999999994</v>
      </c>
      <c r="D2361" s="38">
        <f t="shared" si="112"/>
        <v>-7.6537164567515824E-3</v>
      </c>
      <c r="E2361" s="38">
        <f t="shared" si="113"/>
        <v>9.1297498809147174E-3</v>
      </c>
    </row>
    <row r="2362" spans="1:5">
      <c r="A2362" s="35">
        <v>45811</v>
      </c>
      <c r="B2362" s="37">
        <v>1542.35</v>
      </c>
      <c r="C2362" s="37">
        <v>82188.990000000005</v>
      </c>
      <c r="D2362" s="38">
        <f t="shared" si="112"/>
        <v>5.7538302004266463E-3</v>
      </c>
      <c r="E2362" s="38">
        <f t="shared" si="113"/>
        <v>3.1126000170178837E-3</v>
      </c>
    </row>
    <row r="2363" spans="1:5">
      <c r="A2363" s="35">
        <v>45812</v>
      </c>
      <c r="B2363" s="37">
        <v>1551.25</v>
      </c>
      <c r="C2363" s="37">
        <v>82445.210000000006</v>
      </c>
      <c r="D2363" s="38">
        <f t="shared" si="112"/>
        <v>1.9963942746076425E-3</v>
      </c>
      <c r="E2363" s="38">
        <f t="shared" si="113"/>
        <v>-6.4900507280179847E-4</v>
      </c>
    </row>
    <row r="2364" spans="1:5">
      <c r="A2364" s="35">
        <v>45813</v>
      </c>
      <c r="B2364" s="37">
        <v>1554.35</v>
      </c>
      <c r="C2364" s="37">
        <v>82391.72</v>
      </c>
      <c r="D2364" s="38">
        <f t="shared" si="112"/>
        <v>6.2211591102872563E-3</v>
      </c>
      <c r="E2364" s="38">
        <f t="shared" si="113"/>
        <v>1.4968452257717914E-3</v>
      </c>
    </row>
    <row r="2365" spans="1:5">
      <c r="A2365" s="35">
        <v>45814</v>
      </c>
      <c r="B2365" s="37">
        <v>1564.05</v>
      </c>
      <c r="C2365" s="37">
        <v>82515.14</v>
      </c>
      <c r="D2365" s="38">
        <f t="shared" si="112"/>
        <v>5.4198946677703414E-3</v>
      </c>
      <c r="E2365" s="38">
        <f t="shared" si="113"/>
        <v>-1.0025958622437882E-2</v>
      </c>
    </row>
    <row r="2366" spans="1:5">
      <c r="A2366" s="35">
        <v>45817</v>
      </c>
      <c r="B2366" s="37">
        <v>1572.55</v>
      </c>
      <c r="C2366" s="37">
        <v>81691.98</v>
      </c>
      <c r="D2366" s="38">
        <f t="shared" si="112"/>
        <v>1.495862277526684E-2</v>
      </c>
      <c r="E2366" s="38">
        <f t="shared" si="113"/>
        <v>-7.0435517215645229E-3</v>
      </c>
    </row>
    <row r="2367" spans="1:5">
      <c r="A2367" s="35">
        <v>45818</v>
      </c>
      <c r="B2367" s="37">
        <v>1596.25</v>
      </c>
      <c r="C2367" s="37">
        <v>81118.600000000006</v>
      </c>
      <c r="D2367" s="38">
        <f t="shared" si="112"/>
        <v>2.1352242120482586E-2</v>
      </c>
      <c r="E2367" s="38">
        <f t="shared" si="113"/>
        <v>8.3178951750893151E-3</v>
      </c>
    </row>
    <row r="2368" spans="1:5">
      <c r="A2368" s="35">
        <v>45819</v>
      </c>
      <c r="B2368" s="37">
        <v>1630.7</v>
      </c>
      <c r="C2368" s="37">
        <v>81796.149999999994</v>
      </c>
      <c r="D2368" s="38">
        <f t="shared" si="112"/>
        <v>-1.4391403688613399E-2</v>
      </c>
      <c r="E2368" s="38">
        <f t="shared" si="113"/>
        <v>-2.6055923241490118E-3</v>
      </c>
    </row>
    <row r="2369" spans="1:5">
      <c r="A2369" s="35">
        <v>45820</v>
      </c>
      <c r="B2369" s="37">
        <v>1607.4</v>
      </c>
      <c r="C2369" s="37">
        <v>81583.3</v>
      </c>
      <c r="D2369" s="38">
        <f t="shared" si="112"/>
        <v>-3.6460564861971198E-3</v>
      </c>
      <c r="E2369" s="38">
        <f t="shared" si="113"/>
        <v>-1.700812957741382E-3</v>
      </c>
    </row>
    <row r="2370" spans="1:5">
      <c r="A2370" s="35">
        <v>45821</v>
      </c>
      <c r="B2370" s="37">
        <v>1601.55</v>
      </c>
      <c r="C2370" s="37">
        <v>81444.66</v>
      </c>
      <c r="D2370" s="38">
        <f t="shared" si="112"/>
        <v>1.3766378692388274E-2</v>
      </c>
      <c r="E2370" s="38">
        <f t="shared" si="113"/>
        <v>-1.0170354608778341E-3</v>
      </c>
    </row>
    <row r="2371" spans="1:5">
      <c r="A2371" s="35">
        <v>45824</v>
      </c>
      <c r="B2371" s="37">
        <v>1623.75</v>
      </c>
      <c r="C2371" s="37">
        <v>81361.87</v>
      </c>
      <c r="D2371" s="38">
        <f t="shared" si="112"/>
        <v>1.0049412065545901E-2</v>
      </c>
      <c r="E2371" s="38">
        <f t="shared" si="113"/>
        <v>1.2777846742154911E-2</v>
      </c>
    </row>
    <row r="2372" spans="1:5">
      <c r="A2372" s="35">
        <v>45825</v>
      </c>
      <c r="B2372" s="37">
        <v>1640.15</v>
      </c>
      <c r="C2372" s="37">
        <v>82408.17</v>
      </c>
      <c r="D2372" s="38">
        <f t="shared" si="112"/>
        <v>-4.4913685547202176E-3</v>
      </c>
      <c r="E2372" s="38">
        <f t="shared" si="113"/>
        <v>-6.2247865340592512E-3</v>
      </c>
    </row>
    <row r="2373" spans="1:5">
      <c r="A2373" s="35">
        <v>45826</v>
      </c>
      <c r="B2373" s="37">
        <v>1632.8</v>
      </c>
      <c r="C2373" s="37">
        <v>81896.789999999994</v>
      </c>
      <c r="D2373" s="38">
        <f t="shared" ref="D2373:D2436" si="114">LN(B2374/B2373)</f>
        <v>-8.7965381293359669E-3</v>
      </c>
      <c r="E2373" s="38">
        <f t="shared" ref="E2373:E2436" si="115">LN(C2374/C2373)</f>
        <v>1.931298743229152E-3</v>
      </c>
    </row>
    <row r="2374" spans="1:5">
      <c r="A2374" s="35">
        <v>45827</v>
      </c>
      <c r="B2374" s="37">
        <v>1618.5</v>
      </c>
      <c r="C2374" s="37">
        <v>82055.11</v>
      </c>
      <c r="D2374" s="38">
        <f t="shared" si="114"/>
        <v>2.0676786109646416E-3</v>
      </c>
      <c r="E2374" s="38">
        <f t="shared" si="115"/>
        <v>8.4995034481868646E-3</v>
      </c>
    </row>
    <row r="2375" spans="1:5">
      <c r="A2375" s="35">
        <v>45828</v>
      </c>
      <c r="B2375" s="37">
        <v>1621.85</v>
      </c>
      <c r="C2375" s="37">
        <v>82755.509999999995</v>
      </c>
      <c r="D2375" s="38">
        <f t="shared" si="114"/>
        <v>-2.3172358028501046E-2</v>
      </c>
      <c r="E2375" s="38">
        <f t="shared" si="115"/>
        <v>1.2015659658121529E-2</v>
      </c>
    </row>
    <row r="2376" spans="1:5">
      <c r="A2376" s="35">
        <v>45831</v>
      </c>
      <c r="B2376" s="37">
        <v>1584.7</v>
      </c>
      <c r="C2376" s="37">
        <v>83755.87</v>
      </c>
      <c r="D2376" s="38">
        <f t="shared" si="114"/>
        <v>-1.9897361479672576E-3</v>
      </c>
      <c r="E2376" s="38">
        <f t="shared" si="115"/>
        <v>3.6114857990626678E-3</v>
      </c>
    </row>
    <row r="2377" spans="1:5">
      <c r="A2377" s="35">
        <v>45832</v>
      </c>
      <c r="B2377" s="37">
        <v>1581.55</v>
      </c>
      <c r="C2377" s="37">
        <v>84058.9</v>
      </c>
      <c r="D2377" s="38">
        <f t="shared" si="114"/>
        <v>2.1239127463757512E-2</v>
      </c>
      <c r="E2377" s="38">
        <f t="shared" si="115"/>
        <v>-5.396953767773968E-3</v>
      </c>
    </row>
    <row r="2378" spans="1:5">
      <c r="A2378" s="35">
        <v>45833</v>
      </c>
      <c r="B2378" s="37">
        <v>1615.5</v>
      </c>
      <c r="C2378" s="37">
        <v>83606.460000000006</v>
      </c>
      <c r="D2378" s="38">
        <f t="shared" si="114"/>
        <v>-3.0954960779607627E-4</v>
      </c>
      <c r="E2378" s="38">
        <f t="shared" si="115"/>
        <v>1.0858095998911679E-3</v>
      </c>
    </row>
    <row r="2379" spans="1:5">
      <c r="A2379" s="35">
        <v>45834</v>
      </c>
      <c r="B2379" s="37">
        <v>1615</v>
      </c>
      <c r="C2379" s="37">
        <v>83697.289999999994</v>
      </c>
      <c r="D2379" s="38">
        <f t="shared" si="114"/>
        <v>-3.9707211867883981E-3</v>
      </c>
      <c r="E2379" s="38">
        <f t="shared" si="115"/>
        <v>-3.4421097665683171E-3</v>
      </c>
    </row>
    <row r="2380" spans="1:5">
      <c r="A2380" s="35">
        <v>45835</v>
      </c>
      <c r="B2380" s="37">
        <v>1608.6</v>
      </c>
      <c r="C2380" s="37">
        <v>83409.69</v>
      </c>
      <c r="D2380" s="38">
        <f t="shared" si="114"/>
        <v>-4.5484361415375736E-3</v>
      </c>
      <c r="E2380" s="38">
        <f t="shared" si="115"/>
        <v>-2.0428552918917158E-3</v>
      </c>
    </row>
    <row r="2381" spans="1:5">
      <c r="A2381" s="35">
        <v>45838</v>
      </c>
      <c r="B2381" s="37">
        <v>1601.3</v>
      </c>
      <c r="C2381" s="37">
        <v>83239.47</v>
      </c>
      <c r="D2381" s="38">
        <f t="shared" si="114"/>
        <v>4.2686506419275742E-3</v>
      </c>
      <c r="E2381" s="38">
        <f t="shared" si="115"/>
        <v>2.3209617578732696E-3</v>
      </c>
    </row>
    <row r="2382" spans="1:5">
      <c r="A2382" s="35">
        <v>45839</v>
      </c>
      <c r="B2382" s="37">
        <v>1608.15</v>
      </c>
      <c r="C2382" s="37">
        <v>83432.89</v>
      </c>
      <c r="D2382" s="38">
        <f t="shared" si="114"/>
        <v>1.0876152778902446E-3</v>
      </c>
      <c r="E2382" s="38">
        <f t="shared" si="115"/>
        <v>1.1517576091502651E-4</v>
      </c>
    </row>
    <row r="2383" spans="1:5">
      <c r="A2383" s="35">
        <v>45840</v>
      </c>
      <c r="B2383" s="37">
        <v>1609.9</v>
      </c>
      <c r="C2383" s="37">
        <v>83442.5</v>
      </c>
      <c r="D2383" s="38">
        <f t="shared" si="114"/>
        <v>5.1114561188912878E-3</v>
      </c>
      <c r="E2383" s="38">
        <f t="shared" si="115"/>
        <v>3.2306567998694096E-3</v>
      </c>
    </row>
    <row r="2384" spans="1:5">
      <c r="A2384" s="35">
        <v>45841</v>
      </c>
      <c r="B2384" s="37">
        <v>1618.15</v>
      </c>
      <c r="C2384" s="37">
        <v>83712.509999999995</v>
      </c>
      <c r="D2384" s="38">
        <f t="shared" si="114"/>
        <v>1.353466423517099E-2</v>
      </c>
      <c r="E2384" s="38">
        <f t="shared" si="115"/>
        <v>-2.109794353952186E-3</v>
      </c>
    </row>
    <row r="2385" spans="1:5">
      <c r="A2385" s="35">
        <v>45842</v>
      </c>
      <c r="B2385" s="37">
        <v>1640.2</v>
      </c>
      <c r="C2385" s="37">
        <v>83536.08</v>
      </c>
      <c r="D2385" s="38">
        <f t="shared" si="114"/>
        <v>-7.7730905195865698E-3</v>
      </c>
      <c r="E2385" s="38">
        <f t="shared" si="115"/>
        <v>-4.148120259392798E-3</v>
      </c>
    </row>
    <row r="2386" spans="1:5">
      <c r="A2386" s="35">
        <v>45845</v>
      </c>
      <c r="B2386" s="37">
        <v>1627.5</v>
      </c>
      <c r="C2386" s="37">
        <v>83190.28</v>
      </c>
      <c r="D2386" s="38">
        <f t="shared" si="114"/>
        <v>6.8276370127413723E-3</v>
      </c>
      <c r="E2386" s="38">
        <f t="shared" si="115"/>
        <v>-8.3265237851848466E-3</v>
      </c>
    </row>
    <row r="2387" spans="1:5">
      <c r="A2387" s="35">
        <v>45846</v>
      </c>
      <c r="B2387" s="37">
        <v>1638.65</v>
      </c>
      <c r="C2387" s="37">
        <v>82500.47</v>
      </c>
      <c r="D2387" s="38">
        <f t="shared" si="114"/>
        <v>-2.90293705868771E-3</v>
      </c>
      <c r="E2387" s="38">
        <f t="shared" si="115"/>
        <v>-2.9985346641082803E-3</v>
      </c>
    </row>
    <row r="2388" spans="1:5">
      <c r="A2388" s="35">
        <v>45847</v>
      </c>
      <c r="B2388" s="37">
        <v>1633.9</v>
      </c>
      <c r="C2388" s="37">
        <v>82253.460000000006</v>
      </c>
      <c r="D2388" s="38">
        <f t="shared" si="114"/>
        <v>-1.0551833710075733E-2</v>
      </c>
      <c r="E2388" s="38">
        <f t="shared" si="115"/>
        <v>3.8519836905301628E-3</v>
      </c>
    </row>
    <row r="2389" spans="1:5">
      <c r="A2389" s="35">
        <v>45848</v>
      </c>
      <c r="B2389" s="37">
        <v>1616.75</v>
      </c>
      <c r="C2389" s="37">
        <v>82570.91</v>
      </c>
      <c r="D2389" s="38">
        <f t="shared" si="114"/>
        <v>-1.360692299799373E-2</v>
      </c>
      <c r="E2389" s="38">
        <f t="shared" si="115"/>
        <v>7.6958751936028597E-4</v>
      </c>
    </row>
    <row r="2390" spans="1:5">
      <c r="A2390" s="35">
        <v>45849</v>
      </c>
      <c r="B2390" s="37">
        <v>1594.9</v>
      </c>
      <c r="C2390" s="37">
        <v>82634.48</v>
      </c>
      <c r="D2390" s="38">
        <f t="shared" si="114"/>
        <v>-1.544883585140275E-2</v>
      </c>
      <c r="E2390" s="38">
        <f t="shared" si="115"/>
        <v>-4.5513030785865978E-3</v>
      </c>
    </row>
    <row r="2391" spans="1:5">
      <c r="A2391" s="35">
        <v>45852</v>
      </c>
      <c r="B2391" s="37">
        <v>1570.45</v>
      </c>
      <c r="C2391" s="37">
        <v>82259.240000000005</v>
      </c>
      <c r="D2391" s="38">
        <f t="shared" si="114"/>
        <v>9.096013907035537E-3</v>
      </c>
      <c r="E2391" s="38">
        <f t="shared" si="115"/>
        <v>-6.1153618792050887E-3</v>
      </c>
    </row>
    <row r="2392" spans="1:5">
      <c r="A2392" s="35">
        <v>45853</v>
      </c>
      <c r="B2392" s="37">
        <v>1584.8</v>
      </c>
      <c r="C2392" s="37">
        <v>81757.73</v>
      </c>
      <c r="D2392" s="38">
        <f t="shared" si="114"/>
        <v>1.4906019085627324E-2</v>
      </c>
      <c r="E2392" s="38">
        <f t="shared" si="115"/>
        <v>5.3990764245261651E-3</v>
      </c>
    </row>
    <row r="2393" spans="1:5">
      <c r="A2393" s="35">
        <v>45854</v>
      </c>
      <c r="B2393" s="37">
        <v>1608.6</v>
      </c>
      <c r="C2393" s="37">
        <v>82200.34</v>
      </c>
      <c r="D2393" s="38">
        <f t="shared" si="114"/>
        <v>-1.6231986130731096E-2</v>
      </c>
      <c r="E2393" s="38">
        <f t="shared" si="115"/>
        <v>-1.6461140704182662E-4</v>
      </c>
    </row>
    <row r="2394" spans="1:5">
      <c r="A2394" s="35">
        <v>45855</v>
      </c>
      <c r="B2394" s="37">
        <v>1582.7</v>
      </c>
      <c r="C2394" s="37">
        <v>82186.81</v>
      </c>
      <c r="D2394" s="38">
        <f t="shared" si="114"/>
        <v>2.4295981029340392E-3</v>
      </c>
      <c r="E2394" s="38">
        <f t="shared" si="115"/>
        <v>6.5468514320486402E-3</v>
      </c>
    </row>
    <row r="2395" spans="1:5">
      <c r="A2395" s="35">
        <v>45856</v>
      </c>
      <c r="B2395" s="37">
        <v>1586.55</v>
      </c>
      <c r="C2395" s="37">
        <v>82726.64</v>
      </c>
      <c r="D2395" s="38">
        <f t="shared" si="114"/>
        <v>-1.2298379110301126E-3</v>
      </c>
      <c r="E2395" s="38">
        <f t="shared" si="115"/>
        <v>-6.5789738906508266E-3</v>
      </c>
    </row>
    <row r="2396" spans="1:5">
      <c r="A2396" s="35">
        <v>45859</v>
      </c>
      <c r="B2396" s="37">
        <v>1584.6</v>
      </c>
      <c r="C2396" s="37">
        <v>82184.17</v>
      </c>
      <c r="D2396" s="38">
        <f t="shared" si="114"/>
        <v>-9.1926979496655906E-3</v>
      </c>
      <c r="E2396" s="38">
        <f t="shared" si="115"/>
        <v>-8.8126702124193702E-3</v>
      </c>
    </row>
    <row r="2397" spans="1:5">
      <c r="A2397" s="35">
        <v>45860</v>
      </c>
      <c r="B2397" s="37">
        <v>1570.1</v>
      </c>
      <c r="C2397" s="37">
        <v>81463.09</v>
      </c>
      <c r="D2397" s="38">
        <f t="shared" si="114"/>
        <v>2.7349357165132263E-3</v>
      </c>
      <c r="E2397" s="38">
        <f t="shared" si="115"/>
        <v>-7.0472175612989168E-3</v>
      </c>
    </row>
    <row r="2398" spans="1:5">
      <c r="A2398" s="35">
        <v>45861</v>
      </c>
      <c r="B2398" s="37">
        <v>1574.4</v>
      </c>
      <c r="C2398" s="37">
        <v>80891.02</v>
      </c>
      <c r="D2398" s="38">
        <f t="shared" si="114"/>
        <v>-1.33316125949915E-2</v>
      </c>
      <c r="E2398" s="38">
        <f t="shared" si="115"/>
        <v>5.509880641996953E-3</v>
      </c>
    </row>
    <row r="2399" spans="1:5">
      <c r="A2399" s="35">
        <v>45862</v>
      </c>
      <c r="B2399" s="37">
        <v>1553.55</v>
      </c>
      <c r="C2399" s="37">
        <v>81337.95</v>
      </c>
      <c r="D2399" s="38">
        <f t="shared" si="114"/>
        <v>-2.4731234558551817E-2</v>
      </c>
      <c r="E2399" s="38">
        <f t="shared" si="115"/>
        <v>1.7677214765775379E-3</v>
      </c>
    </row>
    <row r="2400" spans="1:5">
      <c r="A2400" s="35">
        <v>45863</v>
      </c>
      <c r="B2400" s="37">
        <v>1515.6</v>
      </c>
      <c r="C2400" s="37">
        <v>81481.86</v>
      </c>
      <c r="D2400" s="38">
        <f t="shared" si="114"/>
        <v>3.2984794309023349E-4</v>
      </c>
      <c r="E2400" s="38">
        <f t="shared" si="115"/>
        <v>-3.6427735953952745E-3</v>
      </c>
    </row>
    <row r="2401" spans="1:5">
      <c r="A2401" s="35">
        <v>45866</v>
      </c>
      <c r="B2401" s="37">
        <v>1516.1</v>
      </c>
      <c r="C2401" s="37">
        <v>81185.58</v>
      </c>
      <c r="D2401" s="38">
        <f t="shared" si="114"/>
        <v>-1.4851732956491987E-3</v>
      </c>
      <c r="E2401" s="38">
        <f t="shared" si="115"/>
        <v>-7.2401123037891526E-3</v>
      </c>
    </row>
    <row r="2402" spans="1:5">
      <c r="A2402" s="35">
        <v>45867</v>
      </c>
      <c r="B2402" s="37">
        <v>1513.85</v>
      </c>
      <c r="C2402" s="37">
        <v>80599.91</v>
      </c>
      <c r="D2402" s="38">
        <f t="shared" si="114"/>
        <v>3.4290646545169687E-3</v>
      </c>
      <c r="E2402" s="38">
        <f t="shared" si="115"/>
        <v>5.1827061948420319E-3</v>
      </c>
    </row>
    <row r="2403" spans="1:5">
      <c r="A2403" s="35">
        <v>45868</v>
      </c>
      <c r="B2403" s="37">
        <v>1519.05</v>
      </c>
      <c r="C2403" s="37">
        <v>81018.720000000001</v>
      </c>
      <c r="D2403" s="38">
        <f t="shared" si="114"/>
        <v>-6.903071026873246E-3</v>
      </c>
      <c r="E2403" s="38">
        <f t="shared" si="115"/>
        <v>-3.8146582404051362E-3</v>
      </c>
    </row>
    <row r="2404" spans="1:5">
      <c r="A2404" s="35">
        <v>45869</v>
      </c>
      <c r="B2404" s="37">
        <v>1508.6</v>
      </c>
      <c r="C2404" s="37">
        <v>80710.25</v>
      </c>
      <c r="D2404" s="38">
        <f t="shared" si="114"/>
        <v>-2.5511587657408619E-2</v>
      </c>
      <c r="E2404" s="38">
        <f t="shared" si="115"/>
        <v>-2.0620860439292286E-3</v>
      </c>
    </row>
    <row r="2405" spans="1:5">
      <c r="A2405" s="35">
        <v>45870</v>
      </c>
      <c r="B2405" s="37">
        <v>1470.6</v>
      </c>
      <c r="C2405" s="37">
        <v>80543.990000000005</v>
      </c>
      <c r="D2405" s="38">
        <f t="shared" si="114"/>
        <v>6.6080655240039615E-3</v>
      </c>
      <c r="E2405" s="38">
        <f t="shared" si="115"/>
        <v>9.8369869054918172E-4</v>
      </c>
    </row>
    <row r="2406" spans="1:5">
      <c r="A2406" s="35">
        <v>45873</v>
      </c>
      <c r="B2406" s="37">
        <v>1480.35</v>
      </c>
      <c r="C2406" s="37">
        <v>80623.259999999995</v>
      </c>
      <c r="D2406" s="38">
        <f t="shared" si="114"/>
        <v>-1.4013358122478845E-2</v>
      </c>
      <c r="E2406" s="38">
        <f t="shared" si="115"/>
        <v>-9.5397656640470712E-3</v>
      </c>
    </row>
    <row r="2407" spans="1:5">
      <c r="A2407" s="35">
        <v>45874</v>
      </c>
      <c r="B2407" s="37">
        <v>1459.75</v>
      </c>
      <c r="C2407" s="37">
        <v>79857.789999999994</v>
      </c>
      <c r="D2407" s="38">
        <f t="shared" si="114"/>
        <v>-1.6577827419241142E-2</v>
      </c>
      <c r="E2407" s="38">
        <f t="shared" si="115"/>
        <v>9.3018407551517628E-3</v>
      </c>
    </row>
    <row r="2408" spans="1:5">
      <c r="A2408" s="35">
        <v>45875</v>
      </c>
      <c r="B2408" s="37">
        <v>1435.75</v>
      </c>
      <c r="C2408" s="37">
        <v>80604.08</v>
      </c>
      <c r="D2408" s="38">
        <f t="shared" si="114"/>
        <v>1.3224753093309318E-3</v>
      </c>
      <c r="E2408" s="38">
        <f t="shared" si="115"/>
        <v>-4.5820865551343968E-3</v>
      </c>
    </row>
    <row r="2409" spans="1:5">
      <c r="A2409" s="35">
        <v>45876</v>
      </c>
      <c r="B2409" s="37">
        <v>1437.65</v>
      </c>
      <c r="C2409" s="37">
        <v>80235.59</v>
      </c>
      <c r="D2409" s="38">
        <f t="shared" si="114"/>
        <v>-9.7858398091258993E-3</v>
      </c>
      <c r="E2409" s="38">
        <f t="shared" si="115"/>
        <v>3.7856559418433687E-3</v>
      </c>
    </row>
    <row r="2410" spans="1:5">
      <c r="A2410" s="35">
        <v>45877</v>
      </c>
      <c r="B2410" s="37">
        <v>1423.65</v>
      </c>
      <c r="C2410" s="37">
        <v>80539.91</v>
      </c>
      <c r="D2410" s="38">
        <f t="shared" si="114"/>
        <v>3.0508676549186992E-3</v>
      </c>
      <c r="E2410" s="38">
        <f t="shared" si="115"/>
        <v>7.1677886755436987E-4</v>
      </c>
    </row>
    <row r="2411" spans="1:5">
      <c r="A2411" s="35">
        <v>45880</v>
      </c>
      <c r="B2411" s="37">
        <v>1428</v>
      </c>
      <c r="C2411" s="37">
        <v>80597.66</v>
      </c>
      <c r="D2411" s="38">
        <f t="shared" si="114"/>
        <v>-2.7348286741477523E-3</v>
      </c>
      <c r="E2411" s="38">
        <f t="shared" si="115"/>
        <v>8.3534693555106579E-3</v>
      </c>
    </row>
    <row r="2412" spans="1:5">
      <c r="A2412" s="35">
        <v>45881</v>
      </c>
      <c r="B2412" s="37">
        <v>1424.1</v>
      </c>
      <c r="C2412" s="37">
        <v>81273.75</v>
      </c>
      <c r="D2412" s="38">
        <f t="shared" si="114"/>
        <v>1.3332867488591866E-3</v>
      </c>
      <c r="E2412" s="38">
        <f t="shared" si="115"/>
        <v>4.5500229678224272E-3</v>
      </c>
    </row>
    <row r="2413" spans="1:5">
      <c r="A2413" s="35">
        <v>45882</v>
      </c>
      <c r="B2413" s="37">
        <v>1426</v>
      </c>
      <c r="C2413" s="37">
        <v>81644.39</v>
      </c>
      <c r="D2413" s="38">
        <f t="shared" si="114"/>
        <v>1.493006556197457E-2</v>
      </c>
      <c r="E2413" s="38">
        <f t="shared" si="115"/>
        <v>2.6109750461601536E-3</v>
      </c>
    </row>
    <row r="2414" spans="1:5">
      <c r="A2414" s="35">
        <v>45883</v>
      </c>
      <c r="B2414" s="37">
        <v>1447.45</v>
      </c>
      <c r="C2414" s="37">
        <v>81857.84</v>
      </c>
      <c r="D2414" s="38">
        <f t="shared" si="114"/>
        <v>-8.2205072627636773E-3</v>
      </c>
      <c r="E2414" s="38">
        <f t="shared" si="115"/>
        <v>1.7438215607865771E-3</v>
      </c>
    </row>
    <row r="2415" spans="1:5">
      <c r="A2415" s="35">
        <v>45887</v>
      </c>
      <c r="B2415" s="37">
        <v>1435.6</v>
      </c>
      <c r="C2415" s="37">
        <v>82000.710000000006</v>
      </c>
      <c r="D2415" s="38">
        <f t="shared" si="114"/>
        <v>3.0602332965941701E-3</v>
      </c>
      <c r="E2415" s="38">
        <f t="shared" si="115"/>
        <v>-8.4976369163543997E-3</v>
      </c>
    </row>
    <row r="2416" spans="1:5">
      <c r="A2416" s="35">
        <v>45888</v>
      </c>
      <c r="B2416" s="37">
        <v>1440</v>
      </c>
      <c r="C2416" s="37">
        <v>81306.850000000006</v>
      </c>
      <c r="D2416" s="38">
        <f t="shared" si="114"/>
        <v>3.8051493557587308E-2</v>
      </c>
      <c r="E2416" s="38">
        <f t="shared" si="115"/>
        <v>4.0389698485176831E-3</v>
      </c>
    </row>
    <row r="2417" spans="1:5">
      <c r="A2417" s="35">
        <v>45889</v>
      </c>
      <c r="B2417" s="37">
        <v>1495.85</v>
      </c>
      <c r="C2417" s="37">
        <v>81635.91</v>
      </c>
      <c r="D2417" s="38">
        <f t="shared" si="114"/>
        <v>5.6807740746791786E-4</v>
      </c>
      <c r="E2417" s="38">
        <f t="shared" si="115"/>
        <v>-1.0458871203565267E-2</v>
      </c>
    </row>
    <row r="2418" spans="1:5">
      <c r="A2418" s="35">
        <v>45890</v>
      </c>
      <c r="B2418" s="37">
        <v>1496.7</v>
      </c>
      <c r="C2418" s="37">
        <v>80786.539999999994</v>
      </c>
      <c r="D2418" s="38">
        <f t="shared" si="114"/>
        <v>-6.0986014841864682E-3</v>
      </c>
      <c r="E2418" s="38">
        <f t="shared" si="115"/>
        <v>-8.7771146282006121E-3</v>
      </c>
    </row>
    <row r="2419" spans="1:5">
      <c r="A2419" s="35">
        <v>45891</v>
      </c>
      <c r="B2419" s="37">
        <v>1487.6</v>
      </c>
      <c r="C2419" s="37">
        <v>80080.570000000007</v>
      </c>
      <c r="D2419" s="38">
        <f t="shared" si="114"/>
        <v>2.9801556485388916E-2</v>
      </c>
      <c r="E2419" s="38">
        <f t="shared" si="115"/>
        <v>-3.3888284008110831E-3</v>
      </c>
    </row>
    <row r="2420" spans="1:5">
      <c r="A2420" s="35">
        <v>45894</v>
      </c>
      <c r="B2420" s="37">
        <v>1532.6</v>
      </c>
      <c r="C2420" s="37">
        <v>79809.649999999994</v>
      </c>
      <c r="D2420" s="38">
        <f t="shared" si="114"/>
        <v>-1.7959481716671361E-3</v>
      </c>
      <c r="E2420" s="38">
        <f t="shared" si="115"/>
        <v>6.9279874918637407E-3</v>
      </c>
    </row>
    <row r="2421" spans="1:5">
      <c r="A2421" s="35">
        <v>45895</v>
      </c>
      <c r="B2421" s="37">
        <v>1529.85</v>
      </c>
      <c r="C2421" s="37">
        <v>80364.490000000005</v>
      </c>
      <c r="D2421" s="38">
        <f t="shared" si="114"/>
        <v>-1.967125049654524E-2</v>
      </c>
      <c r="E2421" s="38">
        <f t="shared" si="115"/>
        <v>-2.5742220737683744E-3</v>
      </c>
    </row>
    <row r="2422" spans="1:5">
      <c r="A2422" s="35">
        <v>45897</v>
      </c>
      <c r="B2422" s="37">
        <v>1500.05</v>
      </c>
      <c r="C2422" s="37">
        <v>80157.88</v>
      </c>
      <c r="D2422" s="38">
        <f t="shared" si="114"/>
        <v>-2.0610259766621179E-2</v>
      </c>
      <c r="E2422" s="38">
        <f t="shared" si="115"/>
        <v>5.0997590143822026E-3</v>
      </c>
    </row>
    <row r="2423" spans="1:5">
      <c r="A2423" s="35">
        <v>45898</v>
      </c>
      <c r="B2423" s="37">
        <v>1469.45</v>
      </c>
      <c r="C2423" s="37">
        <v>80567.710000000006</v>
      </c>
      <c r="D2423" s="38">
        <f t="shared" si="114"/>
        <v>2.0210193083505558E-2</v>
      </c>
      <c r="E2423" s="38">
        <f t="shared" si="115"/>
        <v>1.8637737241397265E-3</v>
      </c>
    </row>
    <row r="2424" spans="1:5">
      <c r="A2424" s="35">
        <v>45901</v>
      </c>
      <c r="B2424" s="37">
        <v>1499.45</v>
      </c>
      <c r="C2424" s="37">
        <v>80718.009999999995</v>
      </c>
      <c r="D2424" s="38">
        <f t="shared" si="114"/>
        <v>-1.5684707291850637E-3</v>
      </c>
      <c r="E2424" s="38">
        <f t="shared" si="115"/>
        <v>-8.9822898419889517E-5</v>
      </c>
    </row>
    <row r="2425" spans="1:5">
      <c r="A2425" s="35">
        <v>45902</v>
      </c>
      <c r="B2425" s="37">
        <v>1497.1</v>
      </c>
      <c r="C2425" s="37">
        <v>80710.759999999995</v>
      </c>
      <c r="D2425" s="38">
        <f t="shared" si="114"/>
        <v>-1.1960900557600801E-2</v>
      </c>
      <c r="E2425" s="38">
        <f t="shared" si="115"/>
        <v>9.4787523429988769E-4</v>
      </c>
    </row>
    <row r="2426" spans="1:5">
      <c r="A2426" s="35">
        <v>45903</v>
      </c>
      <c r="B2426" s="37">
        <v>1479.3</v>
      </c>
      <c r="C2426" s="37">
        <v>80787.3</v>
      </c>
      <c r="D2426" s="38">
        <f t="shared" si="114"/>
        <v>-1.0909013726859786E-2</v>
      </c>
      <c r="E2426" s="38">
        <f t="shared" si="115"/>
        <v>3.879462235693484E-3</v>
      </c>
    </row>
    <row r="2427" spans="1:5">
      <c r="A2427" s="35">
        <v>45904</v>
      </c>
      <c r="B2427" s="37">
        <v>1463.25</v>
      </c>
      <c r="C2427" s="37">
        <v>81101.320000000007</v>
      </c>
      <c r="D2427" s="38">
        <f t="shared" si="114"/>
        <v>-1.300059581692767E-2</v>
      </c>
      <c r="E2427" s="38">
        <f t="shared" si="115"/>
        <v>3.9849561555301656E-3</v>
      </c>
    </row>
    <row r="2428" spans="1:5">
      <c r="A2428" s="35">
        <v>45905</v>
      </c>
      <c r="B2428" s="37">
        <v>1444.35</v>
      </c>
      <c r="C2428" s="37">
        <v>81425.149999999994</v>
      </c>
      <c r="D2428" s="38">
        <f t="shared" si="114"/>
        <v>-8.1335172055461962E-3</v>
      </c>
      <c r="E2428" s="38">
        <f t="shared" si="115"/>
        <v>1.5165623311634705E-3</v>
      </c>
    </row>
    <row r="2429" spans="1:5">
      <c r="A2429" s="35">
        <v>45908</v>
      </c>
      <c r="B2429" s="37">
        <v>1432.65</v>
      </c>
      <c r="C2429" s="37">
        <v>81548.73</v>
      </c>
      <c r="D2429" s="38">
        <f t="shared" si="114"/>
        <v>4.9100895279023948E-2</v>
      </c>
      <c r="E2429" s="38">
        <f t="shared" si="115"/>
        <v>4.3556205920120611E-3</v>
      </c>
    </row>
    <row r="2430" spans="1:5">
      <c r="A2430" s="35">
        <v>45909</v>
      </c>
      <c r="B2430" s="37">
        <v>1504.75</v>
      </c>
      <c r="C2430" s="37">
        <v>81904.7</v>
      </c>
      <c r="D2430" s="38">
        <f t="shared" si="114"/>
        <v>1.8371491874840534E-2</v>
      </c>
      <c r="E2430" s="38">
        <f t="shared" si="115"/>
        <v>-1.4534754863242108E-3</v>
      </c>
    </row>
    <row r="2431" spans="1:5">
      <c r="A2431" s="35">
        <v>45910</v>
      </c>
      <c r="B2431" s="37">
        <v>1532.65</v>
      </c>
      <c r="C2431" s="37">
        <v>81785.740000000005</v>
      </c>
      <c r="D2431" s="38">
        <f t="shared" si="114"/>
        <v>-1.5219793155827187E-2</v>
      </c>
      <c r="E2431" s="38">
        <f t="shared" si="115"/>
        <v>7.2481640087189237E-3</v>
      </c>
    </row>
    <row r="2432" spans="1:5">
      <c r="A2432" s="35">
        <v>45911</v>
      </c>
      <c r="B2432" s="37">
        <v>1509.5</v>
      </c>
      <c r="C2432" s="37">
        <v>82380.69</v>
      </c>
      <c r="D2432" s="38">
        <f t="shared" si="114"/>
        <v>1.0576530611675756E-2</v>
      </c>
      <c r="E2432" s="38">
        <f t="shared" si="115"/>
        <v>3.7924763037424682E-3</v>
      </c>
    </row>
    <row r="2433" spans="1:5">
      <c r="A2433" s="35">
        <v>45912</v>
      </c>
      <c r="B2433" s="37">
        <v>1525.55</v>
      </c>
      <c r="C2433" s="37">
        <v>82693.710000000006</v>
      </c>
      <c r="D2433" s="38">
        <f t="shared" si="114"/>
        <v>-1.1537575241658724E-2</v>
      </c>
      <c r="E2433" s="38">
        <f t="shared" si="115"/>
        <v>3.8652453288902824E-3</v>
      </c>
    </row>
    <row r="2434" spans="1:5">
      <c r="A2434" s="35">
        <v>45915</v>
      </c>
      <c r="B2434" s="37">
        <v>1508.05</v>
      </c>
      <c r="C2434" s="37">
        <v>83013.960000000006</v>
      </c>
      <c r="D2434" s="38">
        <f t="shared" si="114"/>
        <v>2.1858656116791777E-3</v>
      </c>
      <c r="E2434" s="38">
        <f t="shared" si="115"/>
        <v>-4.681601828264853E-3</v>
      </c>
    </row>
    <row r="2435" spans="1:5">
      <c r="A2435" s="35">
        <v>45916</v>
      </c>
      <c r="B2435" s="37">
        <v>1511.35</v>
      </c>
      <c r="C2435" s="37">
        <v>82626.23</v>
      </c>
      <c r="D2435" s="38">
        <f t="shared" si="114"/>
        <v>7.678782766572018E-3</v>
      </c>
      <c r="E2435" s="38">
        <f t="shared" si="115"/>
        <v>-5.6589841175509392E-3</v>
      </c>
    </row>
    <row r="2436" spans="1:5">
      <c r="A2436" s="35">
        <v>45917</v>
      </c>
      <c r="B2436" s="37">
        <v>1523</v>
      </c>
      <c r="C2436" s="37">
        <v>82159.97</v>
      </c>
      <c r="D2436" s="38">
        <f t="shared" si="114"/>
        <v>1.1262666999518283E-2</v>
      </c>
      <c r="E2436" s="38">
        <f t="shared" si="115"/>
        <v>-7.0460578506305132E-4</v>
      </c>
    </row>
    <row r="2437" spans="1:5">
      <c r="A2437" s="35">
        <v>45918</v>
      </c>
      <c r="B2437" s="37">
        <v>1540.25</v>
      </c>
      <c r="C2437" s="37">
        <v>82102.100000000006</v>
      </c>
      <c r="D2437" s="38">
        <f t="shared" ref="D2437:D2478" si="116">LN(B2438/B2437)</f>
        <v>3.2461735731925564E-5</v>
      </c>
      <c r="E2437" s="38">
        <f t="shared" ref="E2437:E2478" si="117">LN(C2438/C2437)</f>
        <v>-4.7183014558664325E-3</v>
      </c>
    </row>
    <row r="2438" spans="1:5">
      <c r="A2438" s="35">
        <v>45919</v>
      </c>
      <c r="B2438" s="37">
        <v>1540.3</v>
      </c>
      <c r="C2438" s="37">
        <v>81715.63</v>
      </c>
      <c r="D2438" s="38">
        <f t="shared" si="116"/>
        <v>-2.6445430095567348E-2</v>
      </c>
      <c r="E2438" s="38">
        <f t="shared" si="117"/>
        <v>-6.8267211172575379E-3</v>
      </c>
    </row>
    <row r="2439" spans="1:5">
      <c r="A2439" s="35">
        <v>45922</v>
      </c>
      <c r="B2439" s="37">
        <v>1500.1</v>
      </c>
      <c r="C2439" s="37">
        <v>81159.679999999993</v>
      </c>
      <c r="D2439" s="38">
        <f t="shared" si="116"/>
        <v>-1.5677905708102386E-3</v>
      </c>
      <c r="E2439" s="38">
        <f t="shared" si="117"/>
        <v>-9.0753456013282496E-3</v>
      </c>
    </row>
    <row r="2440" spans="1:5">
      <c r="A2440" s="35">
        <v>45923</v>
      </c>
      <c r="B2440" s="37">
        <v>1497.75</v>
      </c>
      <c r="C2440" s="37">
        <v>80426.460000000006</v>
      </c>
      <c r="D2440" s="38">
        <f t="shared" si="116"/>
        <v>-2.3730354223334446E-3</v>
      </c>
      <c r="E2440" s="38">
        <f t="shared" si="117"/>
        <v>-7.6521509237366294E-4</v>
      </c>
    </row>
    <row r="2441" spans="1:5">
      <c r="A2441" s="35">
        <v>45924</v>
      </c>
      <c r="B2441" s="37">
        <v>1494.2</v>
      </c>
      <c r="C2441" s="37">
        <v>80364.94</v>
      </c>
      <c r="D2441" s="38">
        <f t="shared" si="116"/>
        <v>-6.4118923198996794E-3</v>
      </c>
      <c r="E2441" s="38">
        <f t="shared" si="117"/>
        <v>-1.2117096547230334E-3</v>
      </c>
    </row>
    <row r="2442" spans="1:5">
      <c r="A2442" s="35">
        <v>45925</v>
      </c>
      <c r="B2442" s="37">
        <v>1484.65</v>
      </c>
      <c r="C2442" s="37">
        <v>80267.62</v>
      </c>
      <c r="D2442" s="38">
        <f t="shared" si="116"/>
        <v>-2.4581481460575698E-2</v>
      </c>
      <c r="E2442" s="38">
        <f t="shared" si="117"/>
        <v>8.8767822861958393E-3</v>
      </c>
    </row>
    <row r="2443" spans="1:5">
      <c r="A2443" s="35">
        <v>45926</v>
      </c>
      <c r="B2443" s="37">
        <v>1448.6</v>
      </c>
      <c r="C2443" s="37">
        <v>80983.31</v>
      </c>
      <c r="D2443" s="38">
        <f t="shared" si="116"/>
        <v>-5.7461475562212419E-3</v>
      </c>
      <c r="E2443" s="38">
        <f t="shared" si="117"/>
        <v>2.7604597033519807E-3</v>
      </c>
    </row>
    <row r="2444" spans="1:5">
      <c r="A2444" s="35">
        <v>45929</v>
      </c>
      <c r="B2444" s="37">
        <v>1440.3</v>
      </c>
      <c r="C2444" s="37">
        <v>81207.17</v>
      </c>
      <c r="D2444" s="38">
        <f t="shared" si="116"/>
        <v>1.214287102558778E-3</v>
      </c>
      <c r="E2444" s="38">
        <f t="shared" si="117"/>
        <v>7.1529101558482841E-3</v>
      </c>
    </row>
    <row r="2445" spans="1:5">
      <c r="A2445" s="35">
        <v>45930</v>
      </c>
      <c r="B2445" s="37">
        <v>1442.05</v>
      </c>
      <c r="C2445" s="37">
        <v>81790.12</v>
      </c>
      <c r="D2445" s="38">
        <f t="shared" si="116"/>
        <v>2.4933350867583507E-3</v>
      </c>
      <c r="E2445" s="38">
        <f t="shared" si="117"/>
        <v>1.6691014398185714E-3</v>
      </c>
    </row>
    <row r="2446" spans="1:5">
      <c r="A2446" s="35">
        <v>45931</v>
      </c>
      <c r="B2446" s="37">
        <v>1445.65</v>
      </c>
      <c r="C2446" s="37">
        <v>81926.75</v>
      </c>
      <c r="D2446" s="38">
        <f t="shared" si="116"/>
        <v>6.2236361873331482E-4</v>
      </c>
      <c r="E2446" s="38">
        <f t="shared" si="117"/>
        <v>-1.8703684936314496E-3</v>
      </c>
    </row>
    <row r="2447" spans="1:5">
      <c r="A2447" s="35">
        <v>45933</v>
      </c>
      <c r="B2447" s="37">
        <v>1446.55</v>
      </c>
      <c r="C2447" s="37">
        <v>81773.66</v>
      </c>
      <c r="D2447" s="38">
        <f t="shared" si="116"/>
        <v>1.9578268505542451E-2</v>
      </c>
      <c r="E2447" s="38">
        <f t="shared" si="117"/>
        <v>4.8606415250531665E-3</v>
      </c>
    </row>
    <row r="2448" spans="1:5">
      <c r="A2448" s="35">
        <v>45936</v>
      </c>
      <c r="B2448" s="37">
        <v>1475.15</v>
      </c>
      <c r="C2448" s="37">
        <v>82172.100000000006</v>
      </c>
      <c r="D2448" s="38">
        <f t="shared" si="116"/>
        <v>-1.2998050801738357E-2</v>
      </c>
      <c r="E2448" s="38">
        <f t="shared" si="117"/>
        <v>3.9924042961068202E-3</v>
      </c>
    </row>
    <row r="2449" spans="1:5">
      <c r="A2449" s="35">
        <v>45937</v>
      </c>
      <c r="B2449" s="37">
        <v>1456.1</v>
      </c>
      <c r="C2449" s="37">
        <v>82500.820000000007</v>
      </c>
      <c r="D2449" s="38">
        <f t="shared" si="116"/>
        <v>2.6331132732584302E-2</v>
      </c>
      <c r="E2449" s="38">
        <f t="shared" si="117"/>
        <v>-2.1085034269835499E-3</v>
      </c>
    </row>
    <row r="2450" spans="1:5">
      <c r="A2450" s="35">
        <v>45938</v>
      </c>
      <c r="B2450" s="37">
        <v>1494.95</v>
      </c>
      <c r="C2450" s="37">
        <v>82327.05</v>
      </c>
      <c r="D2450" s="38">
        <f t="shared" si="116"/>
        <v>9.6194594013250187E-3</v>
      </c>
      <c r="E2450" s="38">
        <f t="shared" si="117"/>
        <v>-3.6149390568061346E-3</v>
      </c>
    </row>
    <row r="2451" spans="1:5">
      <c r="A2451" s="35">
        <v>45939</v>
      </c>
      <c r="B2451" s="37">
        <v>1509.4</v>
      </c>
      <c r="C2451" s="37">
        <v>82029.98</v>
      </c>
      <c r="D2451" s="38">
        <f t="shared" si="116"/>
        <v>3.2080460102884953E-3</v>
      </c>
      <c r="E2451" s="38">
        <f t="shared" si="117"/>
        <v>6.9906266636516109E-3</v>
      </c>
    </row>
    <row r="2452" spans="1:5">
      <c r="A2452" s="35">
        <v>45940</v>
      </c>
      <c r="B2452" s="37">
        <v>1514.25</v>
      </c>
      <c r="C2452" s="37">
        <v>82605.429999999993</v>
      </c>
      <c r="D2452" s="38">
        <f t="shared" si="116"/>
        <v>-1.4132748321866133E-2</v>
      </c>
      <c r="E2452" s="38">
        <f t="shared" si="117"/>
        <v>1.0383834580443209E-2</v>
      </c>
    </row>
    <row r="2453" spans="1:5">
      <c r="A2453" s="35">
        <v>45943</v>
      </c>
      <c r="B2453" s="37">
        <v>1493</v>
      </c>
      <c r="C2453" s="37">
        <v>83467.66</v>
      </c>
      <c r="D2453" s="38">
        <f t="shared" si="116"/>
        <v>-2.1456357970144808E-3</v>
      </c>
      <c r="E2453" s="38">
        <f t="shared" si="117"/>
        <v>5.7882186943284744E-3</v>
      </c>
    </row>
    <row r="2454" spans="1:5">
      <c r="A2454" s="35">
        <v>45944</v>
      </c>
      <c r="B2454" s="37">
        <v>1489.8</v>
      </c>
      <c r="C2454" s="37">
        <v>83952.19</v>
      </c>
      <c r="D2454" s="38">
        <f t="shared" si="116"/>
        <v>-1.07299338994636E-2</v>
      </c>
      <c r="E2454" s="38">
        <f t="shared" si="117"/>
        <v>4.8858325154465254E-3</v>
      </c>
    </row>
    <row r="2455" spans="1:5">
      <c r="A2455" s="35">
        <v>45945</v>
      </c>
      <c r="B2455" s="37">
        <v>1473.9</v>
      </c>
      <c r="C2455" s="37">
        <v>84363.37</v>
      </c>
      <c r="D2455" s="38">
        <f t="shared" si="116"/>
        <v>-7.8054744091562078E-4</v>
      </c>
      <c r="E2455" s="38">
        <f t="shared" si="117"/>
        <v>7.4613556621878842E-4</v>
      </c>
    </row>
    <row r="2456" spans="1:5">
      <c r="A2456" s="35">
        <v>45946</v>
      </c>
      <c r="B2456" s="37">
        <v>1472.75</v>
      </c>
      <c r="C2456" s="37">
        <v>84426.34</v>
      </c>
      <c r="D2456" s="38">
        <f t="shared" si="116"/>
        <v>-2.1585917312739684E-2</v>
      </c>
      <c r="E2456" s="38">
        <f t="shared" si="117"/>
        <v>1.5393291135152578E-3</v>
      </c>
    </row>
    <row r="2457" spans="1:5">
      <c r="A2457" s="35">
        <v>45947</v>
      </c>
      <c r="B2457" s="37">
        <v>1441.3</v>
      </c>
      <c r="C2457" s="37">
        <v>84556.4</v>
      </c>
      <c r="D2457" s="38">
        <f t="shared" si="116"/>
        <v>1.3917821462243551E-2</v>
      </c>
      <c r="E2457" s="38">
        <f t="shared" si="117"/>
        <v>-4.0827634027628332E-3</v>
      </c>
    </row>
    <row r="2458" spans="1:5">
      <c r="A2458" s="35">
        <v>45950</v>
      </c>
      <c r="B2458" s="37">
        <v>1461.5</v>
      </c>
      <c r="C2458" s="37">
        <v>84211.88</v>
      </c>
      <c r="D2458" s="38">
        <f t="shared" si="116"/>
        <v>7.158714737520968E-3</v>
      </c>
      <c r="E2458" s="38">
        <f t="shared" si="117"/>
        <v>6.709979426373169E-3</v>
      </c>
    </row>
    <row r="2459" spans="1:5">
      <c r="A2459" s="35">
        <v>45951</v>
      </c>
      <c r="B2459" s="37">
        <v>1472</v>
      </c>
      <c r="C2459" s="37">
        <v>84778.84</v>
      </c>
      <c r="D2459" s="38">
        <f t="shared" si="116"/>
        <v>3.7893798492280403E-2</v>
      </c>
      <c r="E2459" s="38">
        <f t="shared" si="117"/>
        <v>-1.7789116121045042E-3</v>
      </c>
    </row>
    <row r="2460" spans="1:5">
      <c r="A2460" s="35">
        <v>45953</v>
      </c>
      <c r="B2460" s="37">
        <v>1528.85</v>
      </c>
      <c r="C2460" s="37">
        <v>84628.160000000003</v>
      </c>
      <c r="D2460" s="38">
        <f t="shared" si="116"/>
        <v>-2.259148050963659E-3</v>
      </c>
      <c r="E2460" s="38">
        <f t="shared" si="117"/>
        <v>4.3504194678941725E-3</v>
      </c>
    </row>
    <row r="2461" spans="1:5">
      <c r="A2461" s="35">
        <v>45954</v>
      </c>
      <c r="B2461" s="37">
        <v>1525.4</v>
      </c>
      <c r="C2461" s="37">
        <v>84997.13</v>
      </c>
      <c r="D2461" s="38">
        <f t="shared" si="116"/>
        <v>-1.3596671743317659E-2</v>
      </c>
      <c r="E2461" s="38">
        <f t="shared" si="117"/>
        <v>-6.9972474067602954E-3</v>
      </c>
    </row>
    <row r="2462" spans="1:5">
      <c r="A2462" s="35">
        <v>45957</v>
      </c>
      <c r="B2462" s="37">
        <v>1504.8</v>
      </c>
      <c r="C2462" s="37">
        <v>84404.46</v>
      </c>
      <c r="D2462" s="38">
        <f t="shared" si="116"/>
        <v>-2.7949708751923413E-3</v>
      </c>
      <c r="E2462" s="38">
        <f t="shared" si="117"/>
        <v>-5.5333541403649166E-3</v>
      </c>
    </row>
    <row r="2463" spans="1:5">
      <c r="A2463" s="35">
        <v>45958</v>
      </c>
      <c r="B2463" s="37">
        <v>1500.6</v>
      </c>
      <c r="C2463" s="37">
        <v>83938.71</v>
      </c>
      <c r="D2463" s="38">
        <f t="shared" si="116"/>
        <v>6.7742837266733932E-3</v>
      </c>
      <c r="E2463" s="38">
        <f t="shared" si="117"/>
        <v>4.7380495558743983E-4</v>
      </c>
    </row>
    <row r="2464" spans="1:5">
      <c r="A2464" s="35">
        <v>45959</v>
      </c>
      <c r="B2464" s="37">
        <v>1510.8</v>
      </c>
      <c r="C2464" s="37">
        <v>83978.49</v>
      </c>
      <c r="D2464" s="38">
        <f t="shared" si="116"/>
        <v>-1.1449998610788992E-2</v>
      </c>
      <c r="E2464" s="38">
        <f t="shared" si="117"/>
        <v>-6.2034040308422394E-3</v>
      </c>
    </row>
    <row r="2465" spans="1:5">
      <c r="A2465" s="35">
        <v>45960</v>
      </c>
      <c r="B2465" s="37">
        <v>1493.6</v>
      </c>
      <c r="C2465" s="37">
        <v>83459.149999999994</v>
      </c>
      <c r="D2465" s="38">
        <f t="shared" si="116"/>
        <v>-7.4594613556322308E-3</v>
      </c>
      <c r="E2465" s="38">
        <f t="shared" si="117"/>
        <v>-1.7765772841330171E-3</v>
      </c>
    </row>
    <row r="2466" spans="1:5">
      <c r="A2466" s="35">
        <v>45961</v>
      </c>
      <c r="B2466" s="37">
        <v>1482.5</v>
      </c>
      <c r="C2466" s="37">
        <v>83311.009999999995</v>
      </c>
      <c r="D2466" s="38">
        <f t="shared" si="116"/>
        <v>1.9205828300295699E-3</v>
      </c>
      <c r="E2466" s="38">
        <f t="shared" si="117"/>
        <v>-1.1377115452741084E-3</v>
      </c>
    </row>
    <row r="2467" spans="1:5">
      <c r="A2467" s="35">
        <v>45964</v>
      </c>
      <c r="B2467" s="37">
        <v>1485.35</v>
      </c>
      <c r="C2467" s="37">
        <v>83216.28</v>
      </c>
      <c r="D2467" s="38">
        <f t="shared" si="116"/>
        <v>-1.1749504527449054E-2</v>
      </c>
      <c r="E2467" s="38">
        <f t="shared" si="117"/>
        <v>3.8268937988953956E-3</v>
      </c>
    </row>
    <row r="2468" spans="1:5">
      <c r="A2468" s="35">
        <v>45965</v>
      </c>
      <c r="B2468" s="37">
        <v>1468</v>
      </c>
      <c r="C2468" s="37">
        <v>83535.350000000006</v>
      </c>
      <c r="D2468" s="38">
        <f t="shared" si="116"/>
        <v>-1.1928092067757107E-3</v>
      </c>
      <c r="E2468" s="38">
        <f t="shared" si="117"/>
        <v>4.0138239541054836E-3</v>
      </c>
    </row>
    <row r="2469" spans="1:5">
      <c r="A2469" s="35">
        <v>45967</v>
      </c>
      <c r="B2469" s="37">
        <v>1466.25</v>
      </c>
      <c r="C2469" s="37">
        <v>83871.320000000007</v>
      </c>
      <c r="D2469" s="38">
        <f t="shared" si="116"/>
        <v>7.5418213161357146E-3</v>
      </c>
      <c r="E2469" s="38">
        <f t="shared" si="117"/>
        <v>7.0714049265424477E-3</v>
      </c>
    </row>
    <row r="2470" spans="1:5">
      <c r="A2470" s="35">
        <v>45968</v>
      </c>
      <c r="B2470" s="37">
        <v>1477.35</v>
      </c>
      <c r="C2470" s="37">
        <v>84466.51</v>
      </c>
      <c r="D2470" s="38">
        <f t="shared" si="116"/>
        <v>2.4901435395901315E-2</v>
      </c>
      <c r="E2470" s="38">
        <f t="shared" si="117"/>
        <v>1.4395202066147319E-4</v>
      </c>
    </row>
    <row r="2471" spans="1:5">
      <c r="A2471" s="35">
        <v>45971</v>
      </c>
      <c r="B2471" s="37">
        <v>1514.6</v>
      </c>
      <c r="C2471" s="37">
        <v>84478.67</v>
      </c>
      <c r="D2471" s="38">
        <f t="shared" si="116"/>
        <v>1.0508437696098416E-2</v>
      </c>
      <c r="E2471" s="38">
        <f t="shared" si="117"/>
        <v>9.9514062309826704E-4</v>
      </c>
    </row>
    <row r="2472" spans="1:5">
      <c r="A2472" s="35">
        <v>45972</v>
      </c>
      <c r="B2472" s="37">
        <v>1530.6</v>
      </c>
      <c r="C2472" s="37">
        <v>84562.78</v>
      </c>
      <c r="D2472" s="38">
        <f t="shared" si="116"/>
        <v>1.3497933680950576E-2</v>
      </c>
      <c r="E2472" s="38">
        <f t="shared" si="117"/>
        <v>4.5798140183542606E-3</v>
      </c>
    </row>
    <row r="2473" spans="1:5">
      <c r="A2473" s="35">
        <v>45973</v>
      </c>
      <c r="B2473" s="37">
        <v>1551.4</v>
      </c>
      <c r="C2473" s="37">
        <v>84950.95</v>
      </c>
      <c r="D2473" s="38">
        <f t="shared" si="116"/>
        <v>-5.8505217383809415E-3</v>
      </c>
      <c r="E2473" s="38">
        <f t="shared" si="117"/>
        <v>-3.2770161990704075E-3</v>
      </c>
    </row>
    <row r="2474" spans="1:5">
      <c r="A2474" s="35">
        <v>45974</v>
      </c>
      <c r="B2474" s="37">
        <v>1542.35</v>
      </c>
      <c r="C2474" s="37">
        <v>84673.02</v>
      </c>
      <c r="D2474" s="38">
        <f t="shared" si="116"/>
        <v>-2.6176839909027649E-2</v>
      </c>
      <c r="E2474" s="38">
        <f t="shared" si="117"/>
        <v>6.0456035026732564E-3</v>
      </c>
    </row>
    <row r="2475" spans="1:5">
      <c r="A2475" s="35">
        <v>45975</v>
      </c>
      <c r="B2475" s="37">
        <v>1502.5</v>
      </c>
      <c r="C2475" s="37">
        <v>85186.47</v>
      </c>
      <c r="D2475" s="38">
        <f t="shared" si="116"/>
        <v>3.3885949836175672E-3</v>
      </c>
      <c r="E2475" s="38">
        <f t="shared" si="117"/>
        <v>5.2243675829646459E-3</v>
      </c>
    </row>
    <row r="2476" spans="1:5">
      <c r="A2476" s="35">
        <v>45978</v>
      </c>
      <c r="B2476" s="37">
        <v>1507.6</v>
      </c>
      <c r="C2476" s="37">
        <v>85632.68</v>
      </c>
      <c r="D2476" s="38">
        <f t="shared" si="116"/>
        <v>-1.466659548573887E-2</v>
      </c>
      <c r="E2476" s="38">
        <f t="shared" si="117"/>
        <v>-4.6909744312330325E-3</v>
      </c>
    </row>
    <row r="2477" spans="1:5">
      <c r="A2477" s="35">
        <v>45979</v>
      </c>
      <c r="B2477" s="37">
        <v>1485.65</v>
      </c>
      <c r="C2477" s="37">
        <v>85231.92</v>
      </c>
      <c r="D2477" s="38">
        <f t="shared" si="116"/>
        <v>3.6741388571312775E-2</v>
      </c>
      <c r="E2477" s="38">
        <f t="shared" si="117"/>
        <v>-3.8935554975232821E-3</v>
      </c>
    </row>
    <row r="2478" spans="1:5">
      <c r="A2478" s="35">
        <v>45980</v>
      </c>
      <c r="B2478" s="37">
        <v>1541.25</v>
      </c>
      <c r="C2478" s="37">
        <v>84900.71</v>
      </c>
      <c r="D2478" s="38">
        <f t="shared" si="116"/>
        <v>-2.9239786914352006E-3</v>
      </c>
      <c r="E2478" s="38">
        <f t="shared" si="117"/>
        <v>-3.7017473385971399E-3</v>
      </c>
    </row>
    <row r="2479" spans="1:5">
      <c r="A2479" s="35">
        <v>45981</v>
      </c>
      <c r="B2479" s="37">
        <v>1536.75</v>
      </c>
      <c r="C2479" s="37">
        <v>84587.01</v>
      </c>
      <c r="D2479" s="38"/>
      <c r="E2479" s="38"/>
    </row>
    <row r="2480" spans="1:5">
      <c r="B2480" s="1"/>
      <c r="C2480" s="1"/>
      <c r="D2480" s="1"/>
      <c r="E2480" s="1"/>
    </row>
    <row r="2481" spans="2:5">
      <c r="B2481" s="1"/>
      <c r="C2481" s="1"/>
      <c r="D2481" s="1"/>
      <c r="E2481" s="1"/>
    </row>
    <row r="2482" spans="2:5">
      <c r="B2482" s="1"/>
      <c r="C2482" s="1"/>
      <c r="D2482" s="1"/>
      <c r="E2482" s="1"/>
    </row>
  </sheetData>
  <mergeCells count="2">
    <mergeCell ref="A1:E2"/>
    <mergeCell ref="H1:L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F93C-927D-4607-8E18-9FB91927267C}">
  <dimension ref="A1:L520"/>
  <sheetViews>
    <sheetView zoomScaleNormal="100" workbookViewId="0">
      <selection activeCell="C9" sqref="C9"/>
    </sheetView>
  </sheetViews>
  <sheetFormatPr defaultColWidth="13.109375" defaultRowHeight="14.4"/>
  <cols>
    <col min="1" max="1" width="10.6640625" style="8" bestFit="1" customWidth="1"/>
    <col min="2" max="2" width="10.33203125" bestFit="1" customWidth="1"/>
    <col min="3" max="3" width="21.5546875" customWidth="1"/>
    <col min="4" max="4" width="13.33203125" bestFit="1" customWidth="1"/>
    <col min="5" max="5" width="12.88671875" bestFit="1" customWidth="1"/>
    <col min="8" max="8" width="19.88671875" style="8" customWidth="1"/>
    <col min="9" max="9" width="17.109375" style="1" customWidth="1"/>
    <col min="10" max="10" width="18" customWidth="1"/>
    <col min="11" max="11" width="13.33203125" bestFit="1" customWidth="1"/>
    <col min="12" max="12" width="12.88671875" bestFit="1" customWidth="1"/>
  </cols>
  <sheetData>
    <row r="1" spans="1:12">
      <c r="A1" s="150" t="s">
        <v>54</v>
      </c>
      <c r="B1" s="150"/>
      <c r="C1" s="150"/>
      <c r="D1" s="150"/>
      <c r="E1" s="150"/>
      <c r="H1" s="150" t="s">
        <v>55</v>
      </c>
      <c r="I1" s="150"/>
      <c r="J1" s="150"/>
      <c r="K1" s="150"/>
      <c r="L1" s="150"/>
    </row>
    <row r="2" spans="1:12">
      <c r="A2" s="150"/>
      <c r="B2" s="150"/>
      <c r="C2" s="150"/>
      <c r="D2" s="150"/>
      <c r="E2" s="150"/>
      <c r="H2" s="150"/>
      <c r="I2" s="150"/>
      <c r="J2" s="150"/>
      <c r="K2" s="150"/>
      <c r="L2" s="150"/>
    </row>
    <row r="3" spans="1:12">
      <c r="A3" s="39" t="s">
        <v>62</v>
      </c>
      <c r="B3" s="42" t="s">
        <v>57</v>
      </c>
      <c r="C3" s="40" t="s">
        <v>58</v>
      </c>
      <c r="D3" s="43" t="s">
        <v>59</v>
      </c>
      <c r="E3" s="43" t="s">
        <v>60</v>
      </c>
      <c r="H3" s="39" t="s">
        <v>62</v>
      </c>
      <c r="I3" s="42" t="s">
        <v>57</v>
      </c>
      <c r="J3" s="40" t="s">
        <v>58</v>
      </c>
      <c r="K3" s="40" t="s">
        <v>59</v>
      </c>
      <c r="L3" s="40" t="s">
        <v>60</v>
      </c>
    </row>
    <row r="4" spans="1:12">
      <c r="A4" s="41" t="s">
        <v>63</v>
      </c>
      <c r="B4" s="37">
        <v>533.16999999999996</v>
      </c>
      <c r="C4" s="37">
        <v>26128.2</v>
      </c>
      <c r="D4" s="38">
        <f t="shared" ref="D4:D67" si="0">LN(B5/B4)</f>
        <v>-1.6337699124217044E-2</v>
      </c>
      <c r="E4" s="38">
        <f t="shared" ref="E4:E67" si="1">LN(C5/C4)</f>
        <v>-1.8935274435186927E-2</v>
      </c>
      <c r="H4" s="41" t="s">
        <v>64</v>
      </c>
      <c r="I4" s="37">
        <v>1100</v>
      </c>
      <c r="J4" s="37">
        <v>41464.61</v>
      </c>
      <c r="K4" s="38">
        <f>LN(I5/I4)</f>
        <v>3.1014053529169541E-2</v>
      </c>
      <c r="L4" s="38">
        <f>LN(J5/J4)</f>
        <v>3.2531441391303192E-3</v>
      </c>
    </row>
    <row r="5" spans="1:12">
      <c r="A5" s="41">
        <v>42106</v>
      </c>
      <c r="B5" s="37">
        <v>524.53</v>
      </c>
      <c r="C5" s="37">
        <v>25638.11</v>
      </c>
      <c r="D5" s="38">
        <f t="shared" si="0"/>
        <v>3.5587564796693469E-3</v>
      </c>
      <c r="E5" s="38">
        <f t="shared" si="1"/>
        <v>-2.3428468870168376E-2</v>
      </c>
      <c r="H5" s="41">
        <v>43933</v>
      </c>
      <c r="I5" s="37">
        <v>1134.6500000000001</v>
      </c>
      <c r="J5" s="37">
        <v>41599.72</v>
      </c>
      <c r="K5" s="38">
        <f t="shared" ref="K5:K68" si="2">LN(I6/I5)</f>
        <v>2.4850594463623608E-2</v>
      </c>
      <c r="L5" s="38">
        <f t="shared" ref="L5:L68" si="3">LN(J6/J5)</f>
        <v>8.274620859234947E-3</v>
      </c>
    </row>
    <row r="6" spans="1:12">
      <c r="A6" s="41">
        <v>42320</v>
      </c>
      <c r="B6" s="37">
        <v>526.4</v>
      </c>
      <c r="C6" s="37">
        <v>25044.43</v>
      </c>
      <c r="D6" s="38">
        <f t="shared" si="0"/>
        <v>2.8429413283255295E-2</v>
      </c>
      <c r="E6" s="38">
        <f t="shared" si="1"/>
        <v>1.8780446229319511E-2</v>
      </c>
      <c r="H6" s="41">
        <v>44147</v>
      </c>
      <c r="I6" s="37">
        <v>1163.2</v>
      </c>
      <c r="J6" s="37">
        <v>41945.37</v>
      </c>
      <c r="K6" s="38">
        <f t="shared" si="2"/>
        <v>2.2610397974550261E-2</v>
      </c>
      <c r="L6" s="38">
        <f t="shared" si="3"/>
        <v>-7.9508730148763335E-3</v>
      </c>
    </row>
    <row r="7" spans="1:12">
      <c r="A7" s="41" t="s">
        <v>65</v>
      </c>
      <c r="B7" s="37">
        <v>541.58000000000004</v>
      </c>
      <c r="C7" s="37">
        <v>25519.22</v>
      </c>
      <c r="D7" s="38">
        <f t="shared" si="0"/>
        <v>1.2094664523796815E-2</v>
      </c>
      <c r="E7" s="38">
        <f t="shared" si="1"/>
        <v>1.2441861321437705E-2</v>
      </c>
      <c r="H7" s="41" t="s">
        <v>66</v>
      </c>
      <c r="I7" s="37">
        <v>1189.8</v>
      </c>
      <c r="J7" s="37">
        <v>41613.19</v>
      </c>
      <c r="K7" s="38">
        <f t="shared" si="2"/>
        <v>3.8135585520060904E-2</v>
      </c>
      <c r="L7" s="38">
        <f t="shared" si="3"/>
        <v>-4.6171434649827051E-2</v>
      </c>
    </row>
    <row r="8" spans="1:12">
      <c r="A8" s="41" t="s">
        <v>67</v>
      </c>
      <c r="B8" s="37">
        <v>548.16999999999996</v>
      </c>
      <c r="C8" s="37">
        <v>25838.71</v>
      </c>
      <c r="D8" s="38">
        <f t="shared" si="0"/>
        <v>8.1032420140760321E-3</v>
      </c>
      <c r="E8" s="38">
        <f t="shared" si="1"/>
        <v>1.2392174599322741E-2</v>
      </c>
      <c r="H8" s="41" t="s">
        <v>68</v>
      </c>
      <c r="I8" s="37">
        <v>1236.05</v>
      </c>
      <c r="J8" s="37">
        <v>39735.53</v>
      </c>
      <c r="K8" s="38">
        <f t="shared" si="2"/>
        <v>1.9547988768470886E-2</v>
      </c>
      <c r="L8" s="38">
        <f t="shared" si="3"/>
        <v>3.4780101944479475E-2</v>
      </c>
    </row>
    <row r="9" spans="1:12">
      <c r="A9" s="41">
        <v>42370</v>
      </c>
      <c r="B9" s="37">
        <v>552.63</v>
      </c>
      <c r="C9" s="37">
        <v>26160.9</v>
      </c>
      <c r="D9" s="38">
        <f t="shared" si="0"/>
        <v>-3.8703321735140399E-2</v>
      </c>
      <c r="E9" s="38">
        <f t="shared" si="1"/>
        <v>-4.8020360891485633E-2</v>
      </c>
      <c r="H9" s="41">
        <v>44197</v>
      </c>
      <c r="I9" s="37">
        <v>1260.45</v>
      </c>
      <c r="J9" s="37">
        <v>41141.85</v>
      </c>
      <c r="K9" s="38">
        <f t="shared" si="2"/>
        <v>4.016010706933297E-2</v>
      </c>
      <c r="L9" s="38">
        <f t="shared" si="3"/>
        <v>2.8128799284793155E-3</v>
      </c>
    </row>
    <row r="10" spans="1:12">
      <c r="A10" s="41">
        <v>42583</v>
      </c>
      <c r="B10" s="37">
        <v>531.65</v>
      </c>
      <c r="C10" s="37">
        <v>24934.33</v>
      </c>
      <c r="D10" s="38">
        <f t="shared" si="0"/>
        <v>6.9563259585692525E-2</v>
      </c>
      <c r="E10" s="38">
        <f t="shared" si="1"/>
        <v>-1.9409239128131778E-2</v>
      </c>
      <c r="H10" s="41">
        <v>44409</v>
      </c>
      <c r="I10" s="37">
        <v>1312.1</v>
      </c>
      <c r="J10" s="37">
        <v>41257.74</v>
      </c>
      <c r="K10" s="38">
        <f t="shared" si="2"/>
        <v>2.4727930512082965E-2</v>
      </c>
      <c r="L10" s="38">
        <f t="shared" si="3"/>
        <v>-2.1259810215145756E-3</v>
      </c>
    </row>
    <row r="11" spans="1:12">
      <c r="A11" s="41" t="s">
        <v>69</v>
      </c>
      <c r="B11" s="37">
        <v>569.95000000000005</v>
      </c>
      <c r="C11" s="37">
        <v>24455.040000000001</v>
      </c>
      <c r="D11" s="38">
        <f t="shared" si="0"/>
        <v>-3.1983719096838671E-3</v>
      </c>
      <c r="E11" s="38">
        <f t="shared" si="1"/>
        <v>-7.9278885411960718E-4</v>
      </c>
      <c r="H11" s="41" t="s">
        <v>70</v>
      </c>
      <c r="I11" s="37">
        <v>1344.95</v>
      </c>
      <c r="J11" s="37">
        <v>41170.120000000003</v>
      </c>
      <c r="K11" s="38">
        <f t="shared" si="2"/>
        <v>-3.0530964217816798E-3</v>
      </c>
      <c r="L11" s="38">
        <f t="shared" si="3"/>
        <v>-7.2333614018274608E-2</v>
      </c>
    </row>
    <row r="12" spans="1:12">
      <c r="A12" s="41" t="s">
        <v>71</v>
      </c>
      <c r="B12" s="37">
        <v>568.13</v>
      </c>
      <c r="C12" s="37">
        <v>24435.66</v>
      </c>
      <c r="D12" s="38">
        <f t="shared" si="0"/>
        <v>2.4893079072682376E-2</v>
      </c>
      <c r="E12" s="38">
        <f t="shared" si="1"/>
        <v>1.7646460907460148E-2</v>
      </c>
      <c r="H12" s="41" t="s">
        <v>72</v>
      </c>
      <c r="I12" s="37">
        <v>1340.85</v>
      </c>
      <c r="J12" s="37">
        <v>38297.29</v>
      </c>
      <c r="K12" s="38">
        <f t="shared" si="2"/>
        <v>-7.8958784261974085E-2</v>
      </c>
      <c r="L12" s="38">
        <f t="shared" si="3"/>
        <v>-1.8997088020914939E-2</v>
      </c>
    </row>
    <row r="13" spans="1:12">
      <c r="A13" s="41" t="s">
        <v>73</v>
      </c>
      <c r="B13" s="37">
        <v>582.45000000000005</v>
      </c>
      <c r="C13" s="37">
        <v>24870.69</v>
      </c>
      <c r="D13" s="38">
        <f t="shared" si="0"/>
        <v>8.3775494241088346E-3</v>
      </c>
      <c r="E13" s="38">
        <f t="shared" si="1"/>
        <v>-1.0253959192411071E-2</v>
      </c>
      <c r="H13" s="41" t="s">
        <v>74</v>
      </c>
      <c r="I13" s="37">
        <v>1239.05</v>
      </c>
      <c r="J13" s="37">
        <v>37576.620000000003</v>
      </c>
      <c r="K13" s="38">
        <f t="shared" si="2"/>
        <v>2.632412122216796E-2</v>
      </c>
      <c r="L13" s="38">
        <f t="shared" si="3"/>
        <v>-9.6982616613757761E-2</v>
      </c>
    </row>
    <row r="14" spans="1:12">
      <c r="A14" s="41">
        <v>42492</v>
      </c>
      <c r="B14" s="37">
        <v>587.35</v>
      </c>
      <c r="C14" s="37">
        <v>24616.97</v>
      </c>
      <c r="D14" s="38">
        <f t="shared" si="0"/>
        <v>-4.1222886421399513E-2</v>
      </c>
      <c r="E14" s="38">
        <f t="shared" si="1"/>
        <v>-6.85454870062603E-2</v>
      </c>
      <c r="H14" s="41">
        <v>44318</v>
      </c>
      <c r="I14" s="37">
        <v>1272.0999999999999</v>
      </c>
      <c r="J14" s="37">
        <v>34103.480000000003</v>
      </c>
      <c r="K14" s="38">
        <f t="shared" si="2"/>
        <v>2.9205375621788075E-2</v>
      </c>
      <c r="L14" s="38">
        <f t="shared" si="3"/>
        <v>-0.13100731461698584</v>
      </c>
    </row>
    <row r="15" spans="1:12">
      <c r="A15" s="41" t="s">
        <v>75</v>
      </c>
      <c r="B15" s="37">
        <v>563.63</v>
      </c>
      <c r="C15" s="37">
        <v>22986.12</v>
      </c>
      <c r="D15" s="38">
        <f t="shared" si="0"/>
        <v>-5.4260458155762402E-3</v>
      </c>
      <c r="E15" s="38">
        <f t="shared" si="1"/>
        <v>3.0970494080328113E-2</v>
      </c>
      <c r="H15" s="41">
        <v>44532</v>
      </c>
      <c r="I15" s="37">
        <v>1309.8</v>
      </c>
      <c r="J15" s="37">
        <v>29915.96</v>
      </c>
      <c r="K15" s="38">
        <f t="shared" si="2"/>
        <v>-1.4224990931347326E-2</v>
      </c>
      <c r="L15" s="38">
        <f t="shared" si="3"/>
        <v>-3.3607061751377296E-3</v>
      </c>
    </row>
    <row r="16" spans="1:12">
      <c r="A16" s="41" t="s">
        <v>76</v>
      </c>
      <c r="B16" s="37">
        <v>560.58000000000004</v>
      </c>
      <c r="C16" s="37">
        <v>23709.15</v>
      </c>
      <c r="D16" s="38">
        <f t="shared" si="0"/>
        <v>4.3203828716997648E-2</v>
      </c>
      <c r="E16" s="38">
        <f t="shared" si="1"/>
        <v>-2.3680541158170851E-2</v>
      </c>
      <c r="H16" s="41" t="s">
        <v>77</v>
      </c>
      <c r="I16" s="37">
        <v>1291.3</v>
      </c>
      <c r="J16" s="37">
        <v>29815.59</v>
      </c>
      <c r="K16" s="38">
        <f t="shared" si="2"/>
        <v>-2.9869390235129408E-2</v>
      </c>
      <c r="L16" s="38">
        <f t="shared" si="3"/>
        <v>-7.7543590674344742E-2</v>
      </c>
    </row>
    <row r="17" spans="1:12">
      <c r="A17" s="41">
        <v>42463</v>
      </c>
      <c r="B17" s="37">
        <v>585.33000000000004</v>
      </c>
      <c r="C17" s="37">
        <v>23154.3</v>
      </c>
      <c r="D17" s="38">
        <f t="shared" si="0"/>
        <v>-2.3911307515051692E-2</v>
      </c>
      <c r="E17" s="38">
        <f t="shared" si="1"/>
        <v>6.2453582679144234E-2</v>
      </c>
      <c r="H17" s="41" t="s">
        <v>78</v>
      </c>
      <c r="I17" s="37">
        <v>1253.3</v>
      </c>
      <c r="J17" s="37">
        <v>27590.95</v>
      </c>
      <c r="K17" s="38">
        <f t="shared" si="2"/>
        <v>4.9348533744821434E-2</v>
      </c>
      <c r="L17" s="38">
        <f t="shared" si="3"/>
        <v>0.1216352054043397</v>
      </c>
    </row>
    <row r="18" spans="1:12">
      <c r="A18" s="41">
        <v>42677</v>
      </c>
      <c r="B18" s="37">
        <v>571.5</v>
      </c>
      <c r="C18" s="37">
        <v>24646.48</v>
      </c>
      <c r="D18" s="38">
        <f t="shared" si="0"/>
        <v>4.314999129317091E-2</v>
      </c>
      <c r="E18" s="38">
        <f t="shared" si="1"/>
        <v>2.8972275007026517E-3</v>
      </c>
      <c r="H18" s="41">
        <v>44319</v>
      </c>
      <c r="I18" s="37">
        <v>1316.7</v>
      </c>
      <c r="J18" s="37">
        <v>31159.62</v>
      </c>
      <c r="K18" s="38">
        <f t="shared" si="2"/>
        <v>4.3216027878436689E-2</v>
      </c>
      <c r="L18" s="38">
        <f t="shared" si="3"/>
        <v>1.3677069035205349E-2</v>
      </c>
    </row>
    <row r="19" spans="1:12">
      <c r="A19" s="41" t="s">
        <v>79</v>
      </c>
      <c r="B19" s="37">
        <v>596.70000000000005</v>
      </c>
      <c r="C19" s="37">
        <v>24717.99</v>
      </c>
      <c r="D19" s="38">
        <f t="shared" si="0"/>
        <v>1.1994146785819242E-2</v>
      </c>
      <c r="E19" s="38">
        <f t="shared" si="1"/>
        <v>9.4523172030852691E-3</v>
      </c>
      <c r="H19" s="41">
        <v>44533</v>
      </c>
      <c r="I19" s="37">
        <v>1374.85</v>
      </c>
      <c r="J19" s="37">
        <v>31588.720000000001</v>
      </c>
      <c r="K19" s="38">
        <f t="shared" si="2"/>
        <v>-2.2359626769254258E-2</v>
      </c>
      <c r="L19" s="38">
        <f t="shared" si="3"/>
        <v>-8.3127266582514233E-3</v>
      </c>
    </row>
    <row r="20" spans="1:12">
      <c r="A20" s="41" t="s">
        <v>80</v>
      </c>
      <c r="B20" s="37">
        <v>603.9</v>
      </c>
      <c r="C20" s="37">
        <v>24952.74</v>
      </c>
      <c r="D20" s="38">
        <f t="shared" si="0"/>
        <v>-1.9392860556771705E-3</v>
      </c>
      <c r="E20" s="38">
        <f t="shared" si="1"/>
        <v>1.5304243999817195E-2</v>
      </c>
      <c r="H20" s="41" t="s">
        <v>81</v>
      </c>
      <c r="I20" s="37">
        <v>1344.45</v>
      </c>
      <c r="J20" s="37">
        <v>31327.22</v>
      </c>
      <c r="K20" s="38">
        <f t="shared" si="2"/>
        <v>-6.1552429801034828E-3</v>
      </c>
      <c r="L20" s="38">
        <f t="shared" si="3"/>
        <v>7.3533181202077469E-2</v>
      </c>
    </row>
    <row r="21" spans="1:12">
      <c r="A21" s="41">
        <v>42373</v>
      </c>
      <c r="B21" s="37">
        <v>602.73</v>
      </c>
      <c r="C21" s="37">
        <v>25337.56</v>
      </c>
      <c r="D21" s="38">
        <f t="shared" si="0"/>
        <v>-3.3488001997924594E-2</v>
      </c>
      <c r="E21" s="38">
        <f t="shared" si="1"/>
        <v>-2.684204649932782E-3</v>
      </c>
      <c r="H21" s="41" t="s">
        <v>82</v>
      </c>
      <c r="I21" s="37">
        <v>1336.2</v>
      </c>
      <c r="J21" s="37">
        <v>33717.620000000003</v>
      </c>
      <c r="K21" s="38">
        <f t="shared" si="2"/>
        <v>3.6014769036889854E-2</v>
      </c>
      <c r="L21" s="38">
        <f t="shared" si="3"/>
        <v>-6.3513075107675773E-2</v>
      </c>
    </row>
    <row r="22" spans="1:12">
      <c r="A22" s="41">
        <v>42586</v>
      </c>
      <c r="B22" s="37">
        <v>582.88</v>
      </c>
      <c r="C22" s="37">
        <v>25269.64</v>
      </c>
      <c r="D22" s="38">
        <f t="shared" si="0"/>
        <v>5.9355476468199789E-3</v>
      </c>
      <c r="E22" s="38">
        <f t="shared" si="1"/>
        <v>-2.3860102087352376E-2</v>
      </c>
      <c r="H22" s="41">
        <v>44200</v>
      </c>
      <c r="I22" s="37">
        <v>1385.2</v>
      </c>
      <c r="J22" s="37">
        <v>31642.7</v>
      </c>
      <c r="K22" s="38">
        <f t="shared" si="2"/>
        <v>3.9527480995590253E-2</v>
      </c>
      <c r="L22" s="38">
        <f t="shared" si="3"/>
        <v>-1.7372648110025708E-2</v>
      </c>
    </row>
    <row r="23" spans="1:12">
      <c r="A23" s="41" t="s">
        <v>83</v>
      </c>
      <c r="B23" s="37">
        <v>586.35</v>
      </c>
      <c r="C23" s="37">
        <v>24673.84</v>
      </c>
      <c r="D23" s="38">
        <f t="shared" si="0"/>
        <v>3.2352357637829648E-2</v>
      </c>
      <c r="E23" s="38">
        <f t="shared" si="1"/>
        <v>3.7893154740056709E-2</v>
      </c>
      <c r="H23" s="41">
        <v>44443</v>
      </c>
      <c r="I23" s="37">
        <v>1441.05</v>
      </c>
      <c r="J23" s="37">
        <v>31097.73</v>
      </c>
      <c r="K23" s="38">
        <f t="shared" si="2"/>
        <v>-6.2493495208656866E-2</v>
      </c>
      <c r="L23" s="38">
        <f t="shared" si="3"/>
        <v>-1.3765404264200993E-2</v>
      </c>
    </row>
    <row r="24" spans="1:12">
      <c r="A24" s="41" t="s">
        <v>84</v>
      </c>
      <c r="B24" s="37">
        <v>605.63</v>
      </c>
      <c r="C24" s="37">
        <v>25626.75</v>
      </c>
      <c r="D24" s="38">
        <f t="shared" si="0"/>
        <v>-2.612262579330408E-3</v>
      </c>
      <c r="E24" s="38">
        <f t="shared" si="1"/>
        <v>8.2149670898054254E-3</v>
      </c>
      <c r="H24" s="41" t="s">
        <v>85</v>
      </c>
      <c r="I24" s="37">
        <v>1353.75</v>
      </c>
      <c r="J24" s="37">
        <v>30672.59</v>
      </c>
      <c r="K24" s="38">
        <f t="shared" si="2"/>
        <v>-1.4846508116994473E-2</v>
      </c>
      <c r="L24" s="38">
        <f t="shared" si="3"/>
        <v>5.5532551553095749E-2</v>
      </c>
    </row>
    <row r="25" spans="1:12">
      <c r="A25" s="41" t="s">
        <v>86</v>
      </c>
      <c r="B25" s="37">
        <v>604.04999999999995</v>
      </c>
      <c r="C25" s="37">
        <v>25838.14</v>
      </c>
      <c r="D25" s="38">
        <f t="shared" si="0"/>
        <v>-2.2264059898555611E-2</v>
      </c>
      <c r="E25" s="38">
        <f t="shared" si="1"/>
        <v>-9.0007830935494547E-3</v>
      </c>
      <c r="H25" s="41" t="s">
        <v>87</v>
      </c>
      <c r="I25" s="37">
        <v>1333.8</v>
      </c>
      <c r="J25" s="37">
        <v>32424.1</v>
      </c>
      <c r="K25" s="38">
        <f t="shared" si="2"/>
        <v>1.5289623223392043E-2</v>
      </c>
      <c r="L25" s="38">
        <f t="shared" si="3"/>
        <v>5.5871299840122346E-2</v>
      </c>
    </row>
    <row r="26" spans="1:12">
      <c r="A26" s="41">
        <v>42526</v>
      </c>
      <c r="B26" s="37">
        <v>590.75</v>
      </c>
      <c r="C26" s="37">
        <v>25606.62</v>
      </c>
      <c r="D26" s="38">
        <f t="shared" si="0"/>
        <v>2.1568511380847925E-2</v>
      </c>
      <c r="E26" s="38">
        <f t="shared" si="1"/>
        <v>-1.4876603952455766E-2</v>
      </c>
      <c r="H26" s="41" t="s">
        <v>88</v>
      </c>
      <c r="I26" s="37">
        <v>1354.35</v>
      </c>
      <c r="J26" s="37">
        <v>34287.24</v>
      </c>
      <c r="K26" s="38">
        <f t="shared" si="2"/>
        <v>-1.3299348075725022E-3</v>
      </c>
      <c r="L26" s="38">
        <f t="shared" si="3"/>
        <v>-1.4878015313144642E-2</v>
      </c>
    </row>
    <row r="27" spans="1:12">
      <c r="A27" s="41" t="s">
        <v>89</v>
      </c>
      <c r="B27" s="37">
        <v>603.63</v>
      </c>
      <c r="C27" s="37">
        <v>25228.5</v>
      </c>
      <c r="D27" s="38">
        <f t="shared" si="0"/>
        <v>-4.699326997940281E-3</v>
      </c>
      <c r="E27" s="38">
        <f t="shared" si="1"/>
        <v>1.0295041031741182E-2</v>
      </c>
      <c r="H27" s="41">
        <v>44382</v>
      </c>
      <c r="I27" s="37">
        <v>1352.55</v>
      </c>
      <c r="J27" s="37">
        <v>33780.89</v>
      </c>
      <c r="K27" s="38">
        <f t="shared" si="2"/>
        <v>-2.7090961544840361E-2</v>
      </c>
      <c r="L27" s="38">
        <f t="shared" si="3"/>
        <v>2.7758420373850085E-2</v>
      </c>
    </row>
    <row r="28" spans="1:12">
      <c r="A28" s="41" t="s">
        <v>90</v>
      </c>
      <c r="B28" s="37">
        <v>600.79999999999995</v>
      </c>
      <c r="C28" s="37">
        <v>25489.57</v>
      </c>
      <c r="D28" s="38">
        <f t="shared" si="0"/>
        <v>3.7487546615803523E-2</v>
      </c>
      <c r="E28" s="38">
        <f t="shared" si="1"/>
        <v>-7.3898571572721455E-3</v>
      </c>
      <c r="H28" s="41" t="s">
        <v>91</v>
      </c>
      <c r="I28" s="37">
        <v>1316.4</v>
      </c>
      <c r="J28" s="37">
        <v>34731.730000000003</v>
      </c>
      <c r="K28" s="38">
        <f t="shared" si="2"/>
        <v>2.8531644455964962E-2</v>
      </c>
      <c r="L28" s="38">
        <f t="shared" si="3"/>
        <v>1.2575877797937925E-2</v>
      </c>
    </row>
    <row r="29" spans="1:12">
      <c r="A29" s="41" t="s">
        <v>92</v>
      </c>
      <c r="B29" s="37">
        <v>623.75</v>
      </c>
      <c r="C29" s="37">
        <v>25301.9</v>
      </c>
      <c r="D29" s="38">
        <f t="shared" si="0"/>
        <v>1.5431422982333841E-2</v>
      </c>
      <c r="E29" s="38">
        <f t="shared" si="1"/>
        <v>5.2044734188612087E-2</v>
      </c>
      <c r="H29" s="41" t="s">
        <v>93</v>
      </c>
      <c r="I29" s="37">
        <v>1354.5</v>
      </c>
      <c r="J29" s="37">
        <v>35171.269999999997</v>
      </c>
      <c r="K29" s="38">
        <f t="shared" si="2"/>
        <v>3.6640506798099458E-2</v>
      </c>
      <c r="L29" s="38">
        <f t="shared" si="3"/>
        <v>2.3884205358567907E-2</v>
      </c>
    </row>
    <row r="30" spans="1:12">
      <c r="A30" s="41">
        <v>42435</v>
      </c>
      <c r="B30" s="37">
        <v>633.45000000000005</v>
      </c>
      <c r="C30" s="37">
        <v>26653.599999999999</v>
      </c>
      <c r="D30" s="38">
        <f t="shared" si="0"/>
        <v>-7.0550187801418682E-2</v>
      </c>
      <c r="E30" s="38">
        <f t="shared" si="1"/>
        <v>7.0819710223605998E-3</v>
      </c>
      <c r="H30" s="41" t="s">
        <v>94</v>
      </c>
      <c r="I30" s="37">
        <v>1405.05</v>
      </c>
      <c r="J30" s="37">
        <v>36021.42</v>
      </c>
      <c r="K30" s="38">
        <f t="shared" si="2"/>
        <v>-1.3903545715796285E-2</v>
      </c>
      <c r="L30" s="38">
        <f t="shared" si="3"/>
        <v>1.5779548859702262E-2</v>
      </c>
    </row>
    <row r="31" spans="1:12">
      <c r="A31" s="41">
        <v>42649</v>
      </c>
      <c r="B31" s="37">
        <v>590.29999999999995</v>
      </c>
      <c r="C31" s="37">
        <v>26843.03</v>
      </c>
      <c r="D31" s="38">
        <f t="shared" si="0"/>
        <v>-9.3216395885918938E-4</v>
      </c>
      <c r="E31" s="38">
        <f t="shared" si="1"/>
        <v>-7.7518985282353393E-3</v>
      </c>
      <c r="H31" s="41">
        <v>44292</v>
      </c>
      <c r="I31" s="37">
        <v>1385.65</v>
      </c>
      <c r="J31" s="37">
        <v>36594.33</v>
      </c>
      <c r="K31" s="38">
        <f t="shared" si="2"/>
        <v>4.3253993135582876E-2</v>
      </c>
      <c r="L31" s="38">
        <f t="shared" si="3"/>
        <v>1.1568778504304999E-2</v>
      </c>
    </row>
    <row r="32" spans="1:12">
      <c r="A32" s="41" t="s">
        <v>95</v>
      </c>
      <c r="B32" s="37">
        <v>589.75</v>
      </c>
      <c r="C32" s="37">
        <v>26635.75</v>
      </c>
      <c r="D32" s="38">
        <f t="shared" si="0"/>
        <v>1.2687296878489292E-2</v>
      </c>
      <c r="E32" s="38">
        <f t="shared" si="1"/>
        <v>-3.6949656138968385E-4</v>
      </c>
      <c r="H32" s="41">
        <v>44506</v>
      </c>
      <c r="I32" s="37">
        <v>1446.9</v>
      </c>
      <c r="J32" s="37">
        <v>37020.14</v>
      </c>
      <c r="K32" s="38">
        <f t="shared" si="2"/>
        <v>3.8239354890752739E-2</v>
      </c>
      <c r="L32" s="38">
        <f t="shared" si="3"/>
        <v>2.9510435899957017E-2</v>
      </c>
    </row>
    <row r="33" spans="1:12">
      <c r="A33" s="41" t="s">
        <v>96</v>
      </c>
      <c r="B33" s="37">
        <v>597.28</v>
      </c>
      <c r="C33" s="37">
        <v>26625.91</v>
      </c>
      <c r="D33" s="38">
        <f t="shared" si="0"/>
        <v>-1.8724986889481481E-2</v>
      </c>
      <c r="E33" s="38">
        <f t="shared" si="1"/>
        <v>-8.6075378835903729E-3</v>
      </c>
      <c r="H33" s="41" t="s">
        <v>97</v>
      </c>
      <c r="I33" s="37">
        <v>1503.3</v>
      </c>
      <c r="J33" s="37">
        <v>38128.9</v>
      </c>
      <c r="K33" s="38">
        <f t="shared" si="2"/>
        <v>4.6084515074561232E-2</v>
      </c>
      <c r="L33" s="38">
        <f t="shared" si="3"/>
        <v>-1.3785246488313781E-2</v>
      </c>
    </row>
    <row r="34" spans="1:12">
      <c r="A34" s="41">
        <v>42376</v>
      </c>
      <c r="B34" s="37">
        <v>586.20000000000005</v>
      </c>
      <c r="C34" s="37">
        <v>26397.71</v>
      </c>
      <c r="D34" s="38">
        <f t="shared" si="0"/>
        <v>-1.2185854045048032E-2</v>
      </c>
      <c r="E34" s="38">
        <f t="shared" si="1"/>
        <v>2.7912287858510212E-2</v>
      </c>
      <c r="H34" s="41" t="s">
        <v>98</v>
      </c>
      <c r="I34" s="37">
        <v>1574.2</v>
      </c>
      <c r="J34" s="37">
        <v>37606.89</v>
      </c>
      <c r="K34" s="38">
        <f t="shared" si="2"/>
        <v>-4.073843953728E-3</v>
      </c>
      <c r="L34" s="38">
        <f t="shared" si="3"/>
        <v>1.1465943502612295E-2</v>
      </c>
    </row>
    <row r="35" spans="1:12">
      <c r="A35" s="41">
        <v>42589</v>
      </c>
      <c r="B35" s="37">
        <v>579.1</v>
      </c>
      <c r="C35" s="37">
        <v>27144.91</v>
      </c>
      <c r="D35" s="38">
        <f t="shared" si="0"/>
        <v>-7.6818761498383764E-2</v>
      </c>
      <c r="E35" s="38">
        <f t="shared" si="1"/>
        <v>-6.6369633373588633E-4</v>
      </c>
      <c r="H35" s="41">
        <v>44234</v>
      </c>
      <c r="I35" s="37">
        <v>1567.8</v>
      </c>
      <c r="J35" s="37">
        <v>38040.57</v>
      </c>
      <c r="K35" s="38">
        <f t="shared" si="2"/>
        <v>-3.1302929064738042E-3</v>
      </c>
      <c r="L35" s="38">
        <f t="shared" si="3"/>
        <v>-4.3001776927457059E-3</v>
      </c>
    </row>
    <row r="36" spans="1:12">
      <c r="A36" s="41" t="s">
        <v>99</v>
      </c>
      <c r="B36" s="37">
        <v>536.28</v>
      </c>
      <c r="C36" s="37">
        <v>27126.9</v>
      </c>
      <c r="D36" s="38">
        <f t="shared" si="0"/>
        <v>-9.3239223944186403E-5</v>
      </c>
      <c r="E36" s="38">
        <f t="shared" si="1"/>
        <v>2.5822253681734408E-2</v>
      </c>
      <c r="H36" s="41">
        <v>44446</v>
      </c>
      <c r="I36" s="37">
        <v>1562.9</v>
      </c>
      <c r="J36" s="37">
        <v>37877.339999999997</v>
      </c>
      <c r="K36" s="38">
        <f t="shared" si="2"/>
        <v>-4.7781770322288062E-3</v>
      </c>
      <c r="L36" s="38">
        <f t="shared" si="3"/>
        <v>1.460817364858027E-2</v>
      </c>
    </row>
    <row r="37" spans="1:12">
      <c r="A37" s="41" t="s">
        <v>100</v>
      </c>
      <c r="B37" s="37">
        <v>536.23</v>
      </c>
      <c r="C37" s="37">
        <v>27836.5</v>
      </c>
      <c r="D37" s="38">
        <f t="shared" si="0"/>
        <v>1.2859341100190512E-3</v>
      </c>
      <c r="E37" s="38">
        <f t="shared" si="1"/>
        <v>-1.1955485040599843E-3</v>
      </c>
      <c r="H37" s="41" t="s">
        <v>101</v>
      </c>
      <c r="I37" s="37">
        <v>1555.45</v>
      </c>
      <c r="J37" s="37">
        <v>38434.720000000001</v>
      </c>
      <c r="K37" s="38">
        <f t="shared" si="2"/>
        <v>2.2252102223997927E-2</v>
      </c>
      <c r="L37" s="38">
        <f t="shared" si="3"/>
        <v>2.6511516576725652E-2</v>
      </c>
    </row>
    <row r="38" spans="1:12">
      <c r="A38" s="41" t="s">
        <v>102</v>
      </c>
      <c r="B38" s="37">
        <v>536.91999999999996</v>
      </c>
      <c r="C38" s="37">
        <v>27803.24</v>
      </c>
      <c r="D38" s="38">
        <f t="shared" si="0"/>
        <v>-5.4532686592404017E-3</v>
      </c>
      <c r="E38" s="38">
        <f t="shared" si="1"/>
        <v>8.9023792625765024E-3</v>
      </c>
      <c r="H38" s="41" t="s">
        <v>103</v>
      </c>
      <c r="I38" s="37">
        <v>1590.45</v>
      </c>
      <c r="J38" s="37">
        <v>39467.31</v>
      </c>
      <c r="K38" s="38">
        <f t="shared" si="2"/>
        <v>1.2527694731336496E-2</v>
      </c>
      <c r="L38" s="38">
        <f t="shared" si="3"/>
        <v>-2.8531001088835061E-2</v>
      </c>
    </row>
    <row r="39" spans="1:12">
      <c r="A39" s="41">
        <v>42498</v>
      </c>
      <c r="B39" s="37">
        <v>534</v>
      </c>
      <c r="C39" s="37">
        <v>28051.86</v>
      </c>
      <c r="D39" s="38">
        <f t="shared" si="0"/>
        <v>-5.1066497277366023E-3</v>
      </c>
      <c r="E39" s="38">
        <f t="shared" si="1"/>
        <v>9.438768166613443E-4</v>
      </c>
      <c r="H39" s="41" t="s">
        <v>104</v>
      </c>
      <c r="I39" s="37">
        <v>1610.5</v>
      </c>
      <c r="J39" s="37">
        <v>38357.18</v>
      </c>
      <c r="K39" s="38">
        <f t="shared" si="2"/>
        <v>2.4351802898989361E-2</v>
      </c>
      <c r="L39" s="38">
        <f t="shared" si="3"/>
        <v>1.2883453837318006E-2</v>
      </c>
    </row>
    <row r="40" spans="1:12">
      <c r="A40" s="41">
        <v>42712</v>
      </c>
      <c r="B40" s="37">
        <v>531.28</v>
      </c>
      <c r="C40" s="37">
        <v>28078.35</v>
      </c>
      <c r="D40" s="38">
        <f t="shared" si="0"/>
        <v>-3.9604765208350275E-2</v>
      </c>
      <c r="E40" s="38">
        <f t="shared" si="1"/>
        <v>2.6337917529537297E-3</v>
      </c>
      <c r="H40" s="41">
        <v>44355</v>
      </c>
      <c r="I40" s="37">
        <v>1650.2</v>
      </c>
      <c r="J40" s="37">
        <v>38854.550000000003</v>
      </c>
      <c r="K40" s="38">
        <f t="shared" si="2"/>
        <v>3.6882600638142492E-2</v>
      </c>
      <c r="L40" s="38">
        <f t="shared" si="3"/>
        <v>-2.2470935561152132E-4</v>
      </c>
    </row>
    <row r="41" spans="1:12">
      <c r="A41" s="41" t="s">
        <v>105</v>
      </c>
      <c r="B41" s="37">
        <v>510.65</v>
      </c>
      <c r="C41" s="37">
        <v>28152.400000000001</v>
      </c>
      <c r="D41" s="38">
        <f t="shared" si="0"/>
        <v>-1.0188288269372683E-3</v>
      </c>
      <c r="E41" s="38">
        <f t="shared" si="1"/>
        <v>-2.6818726570975028E-3</v>
      </c>
      <c r="H41" s="41" t="s">
        <v>106</v>
      </c>
      <c r="I41" s="37">
        <v>1712.2</v>
      </c>
      <c r="J41" s="37">
        <v>38845.82</v>
      </c>
      <c r="K41" s="38">
        <f t="shared" si="2"/>
        <v>1.2046065288752008E-2</v>
      </c>
      <c r="L41" s="38">
        <f t="shared" si="3"/>
        <v>-3.8233027830159617E-2</v>
      </c>
    </row>
    <row r="42" spans="1:12">
      <c r="A42" s="41" t="s">
        <v>107</v>
      </c>
      <c r="B42" s="37">
        <v>510.13</v>
      </c>
      <c r="C42" s="37">
        <v>28077</v>
      </c>
      <c r="D42" s="38">
        <f t="shared" si="0"/>
        <v>1.1286119504951245E-2</v>
      </c>
      <c r="E42" s="38">
        <f t="shared" si="1"/>
        <v>-1.0553408276311113E-2</v>
      </c>
      <c r="H42" s="41" t="s">
        <v>108</v>
      </c>
      <c r="I42" s="37">
        <v>1732.95</v>
      </c>
      <c r="J42" s="37">
        <v>37388.660000000003</v>
      </c>
      <c r="K42" s="38">
        <f t="shared" si="2"/>
        <v>-1.4033788831261629E-2</v>
      </c>
      <c r="L42" s="38">
        <f t="shared" si="3"/>
        <v>3.4395919852771829E-2</v>
      </c>
    </row>
    <row r="43" spans="1:12">
      <c r="A43" s="41">
        <v>42409</v>
      </c>
      <c r="B43" s="37">
        <v>515.91999999999996</v>
      </c>
      <c r="C43" s="37">
        <v>27782.25</v>
      </c>
      <c r="D43" s="38">
        <f t="shared" si="0"/>
        <v>3.5407855735716141E-3</v>
      </c>
      <c r="E43" s="38">
        <f t="shared" si="1"/>
        <v>2.6632792161783995E-2</v>
      </c>
      <c r="H43" s="41" t="s">
        <v>109</v>
      </c>
      <c r="I43" s="37">
        <v>1708.8</v>
      </c>
      <c r="J43" s="37">
        <v>38697.050000000003</v>
      </c>
      <c r="K43" s="38">
        <f t="shared" si="2"/>
        <v>-4.7808388586503495E-3</v>
      </c>
      <c r="L43" s="38">
        <f t="shared" si="3"/>
        <v>4.5772897911172762E-2</v>
      </c>
    </row>
    <row r="44" spans="1:12">
      <c r="A44" s="41">
        <v>42622</v>
      </c>
      <c r="B44" s="37">
        <v>517.75</v>
      </c>
      <c r="C44" s="37">
        <v>28532.11</v>
      </c>
      <c r="D44" s="38">
        <f t="shared" si="0"/>
        <v>2.3535438275892211E-2</v>
      </c>
      <c r="E44" s="38">
        <f t="shared" si="1"/>
        <v>9.2497767429982111E-3</v>
      </c>
      <c r="H44" s="41">
        <v>44264</v>
      </c>
      <c r="I44" s="37">
        <v>1700.65</v>
      </c>
      <c r="J44" s="37">
        <v>40509.49</v>
      </c>
      <c r="K44" s="38">
        <f t="shared" si="2"/>
        <v>-5.3357043088918506E-3</v>
      </c>
      <c r="L44" s="38">
        <f t="shared" si="3"/>
        <v>-1.3082404088148715E-2</v>
      </c>
    </row>
    <row r="45" spans="1:12">
      <c r="A45" s="41" t="s">
        <v>110</v>
      </c>
      <c r="B45" s="37">
        <v>530.08000000000004</v>
      </c>
      <c r="C45" s="37">
        <v>28797.25</v>
      </c>
      <c r="D45" s="38">
        <f t="shared" si="0"/>
        <v>-1.674061313790557E-2</v>
      </c>
      <c r="E45" s="38">
        <f t="shared" si="1"/>
        <v>-6.9070953049727747E-3</v>
      </c>
      <c r="H45" s="41">
        <v>44448</v>
      </c>
      <c r="I45" s="37">
        <v>1691.6</v>
      </c>
      <c r="J45" s="37">
        <v>39982.980000000003</v>
      </c>
      <c r="K45" s="38">
        <f t="shared" si="2"/>
        <v>-1.7736261833718435E-4</v>
      </c>
      <c r="L45" s="38">
        <f t="shared" si="3"/>
        <v>1.7417900051580597E-2</v>
      </c>
    </row>
    <row r="46" spans="1:12">
      <c r="A46" s="41" t="s">
        <v>111</v>
      </c>
      <c r="B46" s="37">
        <v>521.28</v>
      </c>
      <c r="C46" s="37">
        <v>28599.03</v>
      </c>
      <c r="D46" s="38">
        <f t="shared" si="0"/>
        <v>-6.2541697732944454E-3</v>
      </c>
      <c r="E46" s="38">
        <f t="shared" si="1"/>
        <v>2.4163909971715251E-3</v>
      </c>
      <c r="H46" s="41" t="s">
        <v>112</v>
      </c>
      <c r="I46" s="37">
        <v>1691.3</v>
      </c>
      <c r="J46" s="37">
        <v>40685.5</v>
      </c>
      <c r="K46" s="38">
        <f t="shared" si="2"/>
        <v>4.2001455957538181E-2</v>
      </c>
      <c r="L46" s="38">
        <f t="shared" si="3"/>
        <v>-2.6687405429141459E-2</v>
      </c>
    </row>
    <row r="47" spans="1:12">
      <c r="A47" s="41" t="s">
        <v>113</v>
      </c>
      <c r="B47" s="37">
        <v>518.03</v>
      </c>
      <c r="C47" s="37">
        <v>28668.22</v>
      </c>
      <c r="D47" s="38">
        <f t="shared" si="0"/>
        <v>-2.2943279716138312E-2</v>
      </c>
      <c r="E47" s="38">
        <f t="shared" si="1"/>
        <v>-2.8383319914568501E-2</v>
      </c>
      <c r="H47" s="41" t="s">
        <v>114</v>
      </c>
      <c r="I47" s="37">
        <v>1763.85</v>
      </c>
      <c r="J47" s="37">
        <v>39614.07</v>
      </c>
      <c r="K47" s="38">
        <f t="shared" si="2"/>
        <v>-5.7583710490768547E-2</v>
      </c>
      <c r="L47" s="38">
        <f t="shared" si="3"/>
        <v>5.5935822565724311E-2</v>
      </c>
    </row>
    <row r="48" spans="1:12">
      <c r="A48" s="41">
        <v>42561</v>
      </c>
      <c r="B48" s="37">
        <v>506.28</v>
      </c>
      <c r="C48" s="37">
        <v>27865.96</v>
      </c>
      <c r="D48" s="38">
        <f t="shared" si="0"/>
        <v>1.4315934883321991E-2</v>
      </c>
      <c r="E48" s="38">
        <f t="shared" si="1"/>
        <v>6.9798288270909586E-3</v>
      </c>
      <c r="H48" s="41">
        <v>44206</v>
      </c>
      <c r="I48" s="37">
        <v>1665.15</v>
      </c>
      <c r="J48" s="37">
        <v>41893.06</v>
      </c>
      <c r="K48" s="38">
        <f t="shared" si="2"/>
        <v>3.464495203099046E-2</v>
      </c>
      <c r="L48" s="38">
        <f t="shared" si="3"/>
        <v>4.6389729549001689E-2</v>
      </c>
    </row>
    <row r="49" spans="1:12">
      <c r="A49" s="41" t="s">
        <v>115</v>
      </c>
      <c r="B49" s="37">
        <v>513.58000000000004</v>
      </c>
      <c r="C49" s="37">
        <v>28061.14</v>
      </c>
      <c r="D49" s="38">
        <f t="shared" si="0"/>
        <v>1.0787047941893294E-2</v>
      </c>
      <c r="E49" s="38">
        <f t="shared" si="1"/>
        <v>-1.390681093383336E-2</v>
      </c>
      <c r="H49" s="41">
        <v>44418</v>
      </c>
      <c r="I49" s="37">
        <v>1723.85</v>
      </c>
      <c r="J49" s="37">
        <v>43882.25</v>
      </c>
      <c r="K49" s="38">
        <f t="shared" si="2"/>
        <v>-4.7098586890122725E-3</v>
      </c>
      <c r="L49" s="38">
        <f t="shared" si="3"/>
        <v>6.0766747137139896E-3</v>
      </c>
    </row>
    <row r="50" spans="1:12">
      <c r="A50" s="41" t="s">
        <v>116</v>
      </c>
      <c r="B50" s="37">
        <v>519.15</v>
      </c>
      <c r="C50" s="37">
        <v>27673.599999999999</v>
      </c>
      <c r="D50" s="38">
        <f t="shared" si="0"/>
        <v>-4.00878905453897E-2</v>
      </c>
      <c r="E50" s="38">
        <f t="shared" si="1"/>
        <v>1.4478256621431118E-2</v>
      </c>
      <c r="H50" s="41" t="s">
        <v>117</v>
      </c>
      <c r="I50" s="37">
        <v>1715.75</v>
      </c>
      <c r="J50" s="37">
        <v>44149.72</v>
      </c>
      <c r="K50" s="38">
        <f t="shared" si="2"/>
        <v>2.3577021880520537E-3</v>
      </c>
      <c r="L50" s="38">
        <f t="shared" si="3"/>
        <v>2.0842121853978275E-2</v>
      </c>
    </row>
    <row r="51" spans="1:12">
      <c r="A51" s="41" t="s">
        <v>118</v>
      </c>
      <c r="B51" s="37">
        <v>498.75</v>
      </c>
      <c r="C51" s="37">
        <v>28077.18</v>
      </c>
      <c r="D51" s="38">
        <f t="shared" si="0"/>
        <v>-2.6925680472693597E-2</v>
      </c>
      <c r="E51" s="38">
        <f t="shared" si="1"/>
        <v>-4.8437500147322536E-3</v>
      </c>
      <c r="H51" s="41" t="s">
        <v>119</v>
      </c>
      <c r="I51" s="37">
        <v>1719.8</v>
      </c>
      <c r="J51" s="37">
        <v>45079.55</v>
      </c>
      <c r="K51" s="38">
        <f t="shared" si="2"/>
        <v>-3.0732592387171322E-2</v>
      </c>
      <c r="L51" s="38">
        <f t="shared" si="3"/>
        <v>2.2362767849799219E-2</v>
      </c>
    </row>
    <row r="52" spans="1:12">
      <c r="A52" s="41">
        <v>42471</v>
      </c>
      <c r="B52" s="37">
        <v>485.5</v>
      </c>
      <c r="C52" s="37">
        <v>27941.51</v>
      </c>
      <c r="D52" s="38">
        <f t="shared" si="0"/>
        <v>-5.2258582069403738E-2</v>
      </c>
      <c r="E52" s="38">
        <f t="shared" si="1"/>
        <v>-2.4174029585422776E-2</v>
      </c>
      <c r="H52" s="41" t="s">
        <v>120</v>
      </c>
      <c r="I52" s="37">
        <v>1667.75</v>
      </c>
      <c r="J52" s="37">
        <v>46099.01</v>
      </c>
      <c r="K52" s="38">
        <f t="shared" si="2"/>
        <v>2.4257434864602825E-2</v>
      </c>
      <c r="L52" s="38">
        <f t="shared" si="3"/>
        <v>1.8519394050161855E-2</v>
      </c>
    </row>
    <row r="53" spans="1:12">
      <c r="A53" s="41">
        <v>42685</v>
      </c>
      <c r="B53" s="37">
        <v>460.78</v>
      </c>
      <c r="C53" s="37">
        <v>27274.15</v>
      </c>
      <c r="D53" s="38">
        <f t="shared" si="0"/>
        <v>-1.6942161788351057E-3</v>
      </c>
      <c r="E53" s="38">
        <f t="shared" si="1"/>
        <v>-1.6835487295380043E-2</v>
      </c>
      <c r="H53" s="41">
        <v>44297.802083333336</v>
      </c>
      <c r="I53" s="37">
        <v>1708.7</v>
      </c>
      <c r="J53" s="37">
        <v>46960.69</v>
      </c>
      <c r="K53" s="38">
        <f t="shared" si="2"/>
        <v>4.0992870070603371E-2</v>
      </c>
      <c r="L53" s="38">
        <f t="shared" si="3"/>
        <v>2.7359568668748125E-4</v>
      </c>
    </row>
    <row r="54" spans="1:12">
      <c r="A54" s="41" t="s">
        <v>121</v>
      </c>
      <c r="B54" s="37">
        <v>460</v>
      </c>
      <c r="C54" s="37">
        <v>26818.82</v>
      </c>
      <c r="D54" s="38">
        <f t="shared" si="0"/>
        <v>6.062462181643484E-2</v>
      </c>
      <c r="E54" s="38">
        <f t="shared" si="1"/>
        <v>-2.5245511579400214E-2</v>
      </c>
      <c r="H54" s="41">
        <v>44541</v>
      </c>
      <c r="I54" s="37">
        <v>1780.2</v>
      </c>
      <c r="J54" s="37">
        <v>46973.54</v>
      </c>
      <c r="K54" s="38">
        <f t="shared" si="2"/>
        <v>-4.494887141640641E-4</v>
      </c>
      <c r="L54" s="38">
        <f t="shared" si="3"/>
        <v>1.888323101439841E-2</v>
      </c>
    </row>
    <row r="55" spans="1:12">
      <c r="A55" s="41" t="s">
        <v>122</v>
      </c>
      <c r="B55" s="37">
        <v>488.75</v>
      </c>
      <c r="C55" s="37">
        <v>26150.240000000002</v>
      </c>
      <c r="D55" s="38">
        <f t="shared" si="0"/>
        <v>-1.3388459513737029E-2</v>
      </c>
      <c r="E55" s="38">
        <f t="shared" si="1"/>
        <v>6.3316707478474118E-3</v>
      </c>
      <c r="H55" s="41" t="s">
        <v>123</v>
      </c>
      <c r="I55" s="37">
        <v>1779.4</v>
      </c>
      <c r="J55" s="37">
        <v>47868.98</v>
      </c>
      <c r="K55" s="38">
        <f t="shared" si="2"/>
        <v>-5.0571844834070803E-2</v>
      </c>
      <c r="L55" s="38">
        <f t="shared" si="3"/>
        <v>1.890415150951141E-2</v>
      </c>
    </row>
    <row r="56" spans="1:12">
      <c r="A56" s="41">
        <v>42412</v>
      </c>
      <c r="B56" s="37">
        <v>482.25</v>
      </c>
      <c r="C56" s="37">
        <v>26316.34</v>
      </c>
      <c r="D56" s="38">
        <f t="shared" si="0"/>
        <v>2.5448437088017799E-2</v>
      </c>
      <c r="E56" s="38">
        <f t="shared" si="1"/>
        <v>-3.2610834464953833E-3</v>
      </c>
      <c r="H56" s="41" t="s">
        <v>124</v>
      </c>
      <c r="I56" s="37">
        <v>1691.65</v>
      </c>
      <c r="J56" s="37">
        <v>48782.51</v>
      </c>
      <c r="K56" s="38">
        <f t="shared" si="2"/>
        <v>2.5619982051410209E-2</v>
      </c>
      <c r="L56" s="38">
        <f t="shared" si="3"/>
        <v>5.1557519562825428E-3</v>
      </c>
    </row>
    <row r="57" spans="1:12">
      <c r="A57" s="41">
        <v>42625</v>
      </c>
      <c r="B57" s="37">
        <v>494.68</v>
      </c>
      <c r="C57" s="37">
        <v>26230.66</v>
      </c>
      <c r="D57" s="38">
        <f t="shared" si="0"/>
        <v>1.5843742367865146E-2</v>
      </c>
      <c r="E57" s="38">
        <f t="shared" si="1"/>
        <v>1.9500091633694316E-2</v>
      </c>
      <c r="H57" s="41">
        <v>44267</v>
      </c>
      <c r="I57" s="37">
        <v>1735.55</v>
      </c>
      <c r="J57" s="37">
        <v>49034.67</v>
      </c>
      <c r="K57" s="38">
        <f t="shared" si="2"/>
        <v>1.3563215818651797E-2</v>
      </c>
      <c r="L57" s="38">
        <f t="shared" si="3"/>
        <v>-3.1891535846749908E-3</v>
      </c>
    </row>
    <row r="58" spans="1:12">
      <c r="A58" s="41" t="s">
        <v>125</v>
      </c>
      <c r="B58" s="37">
        <v>502.58</v>
      </c>
      <c r="C58" s="37">
        <v>26747.18</v>
      </c>
      <c r="D58" s="38">
        <f t="shared" si="0"/>
        <v>-1.6753835361282336E-2</v>
      </c>
      <c r="E58" s="38">
        <f t="shared" si="1"/>
        <v>-9.6783541196249958E-3</v>
      </c>
      <c r="H58" s="41">
        <v>44481</v>
      </c>
      <c r="I58" s="37">
        <v>1759.25</v>
      </c>
      <c r="J58" s="37">
        <v>48878.54</v>
      </c>
      <c r="K58" s="38">
        <f t="shared" si="2"/>
        <v>3.4415843165264082E-2</v>
      </c>
      <c r="L58" s="38">
        <f t="shared" si="3"/>
        <v>-5.4503874910152038E-2</v>
      </c>
    </row>
    <row r="59" spans="1:12">
      <c r="A59" s="41" t="s">
        <v>126</v>
      </c>
      <c r="B59" s="37">
        <v>494.23</v>
      </c>
      <c r="C59" s="37">
        <v>26489.56</v>
      </c>
      <c r="D59" s="38">
        <f t="shared" si="0"/>
        <v>2.2151316417423864E-2</v>
      </c>
      <c r="E59" s="38">
        <f t="shared" si="1"/>
        <v>-1.7089994405013319E-2</v>
      </c>
      <c r="H59" s="41" t="s">
        <v>127</v>
      </c>
      <c r="I59" s="37">
        <v>1820.85</v>
      </c>
      <c r="J59" s="37">
        <v>46285.77</v>
      </c>
      <c r="K59" s="38">
        <f t="shared" si="2"/>
        <v>2.3153014907390752E-2</v>
      </c>
      <c r="L59" s="38">
        <f t="shared" si="3"/>
        <v>9.1715011511437614E-2</v>
      </c>
    </row>
    <row r="60" spans="1:12">
      <c r="A60" s="41" t="s">
        <v>128</v>
      </c>
      <c r="B60" s="37">
        <v>505.3</v>
      </c>
      <c r="C60" s="37">
        <v>26040.7</v>
      </c>
      <c r="D60" s="38">
        <f t="shared" si="0"/>
        <v>-3.8676234454429574E-2</v>
      </c>
      <c r="E60" s="38">
        <f t="shared" si="1"/>
        <v>2.2244759507427599E-2</v>
      </c>
      <c r="H60" s="41" t="s">
        <v>129</v>
      </c>
      <c r="I60" s="37">
        <v>1863.5</v>
      </c>
      <c r="J60" s="37">
        <v>50731.63</v>
      </c>
      <c r="K60" s="38">
        <f t="shared" si="2"/>
        <v>1.2929203764221757E-2</v>
      </c>
      <c r="L60" s="38">
        <f t="shared" si="3"/>
        <v>1.5892050138031293E-2</v>
      </c>
    </row>
    <row r="61" spans="1:12">
      <c r="A61" s="41">
        <v>42887</v>
      </c>
      <c r="B61" s="37">
        <v>486.13</v>
      </c>
      <c r="C61" s="37">
        <v>26626.46</v>
      </c>
      <c r="D61" s="38">
        <f t="shared" si="0"/>
        <v>3.6343889783582014E-3</v>
      </c>
      <c r="E61" s="38">
        <f t="shared" si="1"/>
        <v>4.9740023491354826E-3</v>
      </c>
      <c r="H61" s="41" t="s">
        <v>130</v>
      </c>
      <c r="I61" s="37">
        <v>1887.75</v>
      </c>
      <c r="J61" s="37">
        <v>51544.3</v>
      </c>
      <c r="K61" s="38">
        <f t="shared" si="2"/>
        <v>-3.9685925307417491E-2</v>
      </c>
      <c r="L61" s="38">
        <f t="shared" si="3"/>
        <v>-1.2779907554078084E-2</v>
      </c>
    </row>
    <row r="62" spans="1:12">
      <c r="A62" s="41" t="s">
        <v>131</v>
      </c>
      <c r="B62" s="37">
        <v>487.9</v>
      </c>
      <c r="C62" s="37">
        <v>26759.23</v>
      </c>
      <c r="D62" s="38">
        <f t="shared" si="0"/>
        <v>-2.8165020982905561E-2</v>
      </c>
      <c r="E62" s="38">
        <f t="shared" si="1"/>
        <v>1.773579939318954E-2</v>
      </c>
      <c r="H62" s="41">
        <v>44743</v>
      </c>
      <c r="I62" s="37">
        <v>1814.3</v>
      </c>
      <c r="J62" s="37">
        <v>50889.760000000002</v>
      </c>
      <c r="K62" s="38">
        <f t="shared" si="2"/>
        <v>6.1483440232378325E-2</v>
      </c>
      <c r="L62" s="38">
        <f t="shared" si="3"/>
        <v>-3.5802893400919716E-2</v>
      </c>
    </row>
    <row r="63" spans="1:12">
      <c r="A63" s="41" t="s">
        <v>132</v>
      </c>
      <c r="B63" s="37">
        <v>474.35</v>
      </c>
      <c r="C63" s="37">
        <v>27238.06</v>
      </c>
      <c r="D63" s="38">
        <f t="shared" si="0"/>
        <v>-6.9175148655381616E-3</v>
      </c>
      <c r="E63" s="38">
        <f t="shared" si="1"/>
        <v>-7.5014318304118905E-3</v>
      </c>
      <c r="H63" s="41" t="s">
        <v>133</v>
      </c>
      <c r="I63" s="37">
        <v>1929.35</v>
      </c>
      <c r="J63" s="37">
        <v>49099.99</v>
      </c>
      <c r="K63" s="38">
        <f t="shared" si="2"/>
        <v>-7.737266340541675E-2</v>
      </c>
      <c r="L63" s="38">
        <f t="shared" si="3"/>
        <v>2.6237893927816527E-2</v>
      </c>
    </row>
    <row r="64" spans="1:12">
      <c r="A64" s="41" t="s">
        <v>134</v>
      </c>
      <c r="B64" s="37">
        <v>471.08</v>
      </c>
      <c r="C64" s="37">
        <v>27034.5</v>
      </c>
      <c r="D64" s="38">
        <f t="shared" si="0"/>
        <v>-6.4528031555939596E-3</v>
      </c>
      <c r="E64" s="38">
        <f t="shared" si="1"/>
        <v>3.0883989175103557E-2</v>
      </c>
      <c r="H64" s="41" t="s">
        <v>135</v>
      </c>
      <c r="I64" s="37">
        <v>1785.7</v>
      </c>
      <c r="J64" s="37">
        <v>50405.32</v>
      </c>
      <c r="K64" s="38">
        <f t="shared" si="2"/>
        <v>-5.7333018714503796E-2</v>
      </c>
      <c r="L64" s="38">
        <f t="shared" si="3"/>
        <v>7.6437118558148193E-3</v>
      </c>
    </row>
    <row r="65" spans="1:12">
      <c r="A65" s="41">
        <v>42796</v>
      </c>
      <c r="B65" s="37">
        <v>468.05</v>
      </c>
      <c r="C65" s="37">
        <v>27882.46</v>
      </c>
      <c r="D65" s="38">
        <f t="shared" si="0"/>
        <v>3.3819648239786379E-2</v>
      </c>
      <c r="E65" s="38">
        <f t="shared" si="1"/>
        <v>1.2760008759310703E-2</v>
      </c>
      <c r="H65" s="41" t="s">
        <v>136</v>
      </c>
      <c r="I65" s="37">
        <v>1686.2</v>
      </c>
      <c r="J65" s="37">
        <v>50792.08</v>
      </c>
      <c r="K65" s="38">
        <f t="shared" si="2"/>
        <v>3.2039620883977396E-2</v>
      </c>
      <c r="L65" s="38">
        <f t="shared" si="3"/>
        <v>-1.8556658282447312E-2</v>
      </c>
    </row>
    <row r="66" spans="1:12">
      <c r="A66" s="41">
        <v>43010</v>
      </c>
      <c r="B66" s="37">
        <v>484.15</v>
      </c>
      <c r="C66" s="37">
        <v>28240.52</v>
      </c>
      <c r="D66" s="38">
        <f t="shared" si="0"/>
        <v>3.2313317364985106E-2</v>
      </c>
      <c r="E66" s="38">
        <f t="shared" si="1"/>
        <v>3.3134941867913529E-3</v>
      </c>
      <c r="H66" s="41">
        <v>44653</v>
      </c>
      <c r="I66" s="37">
        <v>1741.1</v>
      </c>
      <c r="J66" s="37">
        <v>49858.239999999998</v>
      </c>
      <c r="K66" s="38">
        <f t="shared" si="2"/>
        <v>-1.1408230704272437E-2</v>
      </c>
      <c r="L66" s="38">
        <f t="shared" si="3"/>
        <v>-1.7190026181343038E-2</v>
      </c>
    </row>
    <row r="67" spans="1:12">
      <c r="A67" s="41" t="s">
        <v>137</v>
      </c>
      <c r="B67" s="37">
        <v>500.05</v>
      </c>
      <c r="C67" s="37">
        <v>28334.25</v>
      </c>
      <c r="D67" s="38">
        <f t="shared" si="0"/>
        <v>8.7209855054446398E-3</v>
      </c>
      <c r="E67" s="38">
        <f t="shared" si="1"/>
        <v>4.7356742201936051E-3</v>
      </c>
      <c r="H67" s="41">
        <v>44867</v>
      </c>
      <c r="I67" s="37">
        <v>1721.35</v>
      </c>
      <c r="J67" s="37">
        <v>49008.5</v>
      </c>
      <c r="K67" s="38">
        <f t="shared" si="2"/>
        <v>-8.4007144569053262E-3</v>
      </c>
      <c r="L67" s="38">
        <f t="shared" si="3"/>
        <v>2.0625675078810114E-2</v>
      </c>
    </row>
    <row r="68" spans="1:12">
      <c r="A68" s="41" t="s">
        <v>138</v>
      </c>
      <c r="B68" s="37">
        <v>504.43</v>
      </c>
      <c r="C68" s="37">
        <v>28468.75</v>
      </c>
      <c r="D68" s="38">
        <f t="shared" ref="D68:D131" si="4">LN(B69/B68)</f>
        <v>2.1902192137062779E-2</v>
      </c>
      <c r="E68" s="38">
        <f t="shared" ref="E68:E131" si="5">LN(C69/C68)</f>
        <v>1.4791318472287649E-2</v>
      </c>
      <c r="H68" s="41" t="s">
        <v>139</v>
      </c>
      <c r="I68" s="37">
        <v>1706.95</v>
      </c>
      <c r="J68" s="37">
        <v>50029.83</v>
      </c>
      <c r="K68" s="38">
        <f t="shared" si="2"/>
        <v>-7.2614274470112414E-3</v>
      </c>
      <c r="L68" s="38">
        <f t="shared" si="3"/>
        <v>-8.8036091165222489E-3</v>
      </c>
    </row>
    <row r="69" spans="1:12">
      <c r="A69" s="41">
        <v>42797</v>
      </c>
      <c r="B69" s="37">
        <v>515.6</v>
      </c>
      <c r="C69" s="37">
        <v>28892.97</v>
      </c>
      <c r="D69" s="38">
        <f t="shared" si="4"/>
        <v>-9.0986765461781669E-3</v>
      </c>
      <c r="E69" s="38">
        <f t="shared" si="5"/>
        <v>-2.0968239702327147E-3</v>
      </c>
      <c r="H69" s="41" t="s">
        <v>140</v>
      </c>
      <c r="I69" s="37">
        <v>1694.6</v>
      </c>
      <c r="J69" s="37">
        <v>49591.32</v>
      </c>
      <c r="K69" s="38">
        <f t="shared" ref="K69:K132" si="6">LN(I70/I69)</f>
        <v>1.6794332523167744E-2</v>
      </c>
      <c r="L69" s="38">
        <f t="shared" ref="L69:L132" si="7">LN(J70/J69)</f>
        <v>-1.5429368403546898E-2</v>
      </c>
    </row>
    <row r="70" spans="1:12">
      <c r="A70" s="41">
        <v>43011</v>
      </c>
      <c r="B70" s="37">
        <v>510.93</v>
      </c>
      <c r="C70" s="37">
        <v>28832.45</v>
      </c>
      <c r="D70" s="38">
        <f t="shared" si="4"/>
        <v>1.7884636998049964E-2</v>
      </c>
      <c r="E70" s="38">
        <f t="shared" si="5"/>
        <v>3.9384820517244937E-3</v>
      </c>
      <c r="H70" s="41">
        <v>44654</v>
      </c>
      <c r="I70" s="37">
        <v>1723.3</v>
      </c>
      <c r="J70" s="37">
        <v>48832.03</v>
      </c>
      <c r="K70" s="38">
        <f t="shared" si="6"/>
        <v>5.5693741532372359E-2</v>
      </c>
      <c r="L70" s="38">
        <f t="shared" si="7"/>
        <v>-1.9720942445441727E-2</v>
      </c>
    </row>
    <row r="71" spans="1:12">
      <c r="A71" s="41" t="s">
        <v>141</v>
      </c>
      <c r="B71" s="37">
        <v>520.15</v>
      </c>
      <c r="C71" s="37">
        <v>28946.23</v>
      </c>
      <c r="D71" s="38">
        <f t="shared" si="4"/>
        <v>-8.592030459990881E-3</v>
      </c>
      <c r="E71" s="38">
        <f t="shared" si="5"/>
        <v>2.3988089768584884E-2</v>
      </c>
      <c r="H71" s="41">
        <v>44868</v>
      </c>
      <c r="I71" s="37">
        <v>1822</v>
      </c>
      <c r="J71" s="37">
        <v>47878.45</v>
      </c>
      <c r="K71" s="38">
        <f t="shared" si="6"/>
        <v>1.7734240546221896E-2</v>
      </c>
      <c r="L71" s="38">
        <f t="shared" si="7"/>
        <v>1.8703264533674907E-2</v>
      </c>
    </row>
    <row r="72" spans="1:12">
      <c r="A72" s="41" t="s">
        <v>142</v>
      </c>
      <c r="B72" s="37">
        <v>515.70000000000005</v>
      </c>
      <c r="C72" s="37">
        <v>29648.99</v>
      </c>
      <c r="D72" s="38">
        <f t="shared" si="4"/>
        <v>-8.9012400770826818E-3</v>
      </c>
      <c r="E72" s="38">
        <f t="shared" si="5"/>
        <v>-7.7057600657838435E-3</v>
      </c>
      <c r="H72" s="41" t="s">
        <v>143</v>
      </c>
      <c r="I72" s="37">
        <v>1854.6</v>
      </c>
      <c r="J72" s="37">
        <v>48782.36</v>
      </c>
      <c r="K72" s="38">
        <f t="shared" si="6"/>
        <v>1.1765945204355276E-2</v>
      </c>
      <c r="L72" s="38">
        <f t="shared" si="7"/>
        <v>8.6563468161202362E-3</v>
      </c>
    </row>
    <row r="73" spans="1:12">
      <c r="A73" s="41" t="s">
        <v>144</v>
      </c>
      <c r="B73" s="37">
        <v>511.13</v>
      </c>
      <c r="C73" s="37">
        <v>29421.4</v>
      </c>
      <c r="D73" s="38">
        <f t="shared" si="4"/>
        <v>-4.06279987696209E-2</v>
      </c>
      <c r="E73" s="38">
        <f t="shared" si="5"/>
        <v>6.7443884665246267E-3</v>
      </c>
      <c r="H73" s="41" t="s">
        <v>145</v>
      </c>
      <c r="I73" s="37">
        <v>1876.55</v>
      </c>
      <c r="J73" s="37">
        <v>49206.47</v>
      </c>
      <c r="K73" s="38">
        <f t="shared" si="6"/>
        <v>1.4285579309242888E-2</v>
      </c>
      <c r="L73" s="38">
        <f t="shared" si="7"/>
        <v>-9.6779342704281287E-3</v>
      </c>
    </row>
    <row r="74" spans="1:12">
      <c r="A74" s="41">
        <v>42920</v>
      </c>
      <c r="B74" s="37">
        <v>490.78</v>
      </c>
      <c r="C74" s="37">
        <v>29620.5</v>
      </c>
      <c r="D74" s="38">
        <f t="shared" si="4"/>
        <v>-5.2454312221878303E-2</v>
      </c>
      <c r="E74" s="38">
        <f t="shared" si="5"/>
        <v>2.9028907853129032E-3</v>
      </c>
      <c r="H74" s="41">
        <v>44565</v>
      </c>
      <c r="I74" s="37">
        <v>1903.55</v>
      </c>
      <c r="J74" s="37">
        <v>48732.55</v>
      </c>
      <c r="K74" s="38">
        <f t="shared" si="6"/>
        <v>-4.7855506144195308E-2</v>
      </c>
      <c r="L74" s="38">
        <f t="shared" si="7"/>
        <v>3.6427414695754487E-2</v>
      </c>
    </row>
    <row r="75" spans="1:12">
      <c r="A75" s="41" t="s">
        <v>146</v>
      </c>
      <c r="B75" s="37">
        <v>465.7</v>
      </c>
      <c r="C75" s="37">
        <v>29706.61</v>
      </c>
      <c r="D75" s="38">
        <f t="shared" si="4"/>
        <v>-8.3014869497123386E-3</v>
      </c>
      <c r="E75" s="38">
        <f t="shared" si="5"/>
        <v>-8.2869508650144884E-3</v>
      </c>
      <c r="H75" s="41">
        <v>44777</v>
      </c>
      <c r="I75" s="37">
        <v>1814.6</v>
      </c>
      <c r="J75" s="37">
        <v>50540.480000000003</v>
      </c>
      <c r="K75" s="38">
        <f t="shared" si="6"/>
        <v>-3.7078184701577491E-2</v>
      </c>
      <c r="L75" s="38">
        <f t="shared" si="7"/>
        <v>1.7308610261440423E-2</v>
      </c>
    </row>
    <row r="76" spans="1:12">
      <c r="A76" s="41" t="s">
        <v>147</v>
      </c>
      <c r="B76" s="37">
        <v>461.85</v>
      </c>
      <c r="C76" s="37">
        <v>29461.45</v>
      </c>
      <c r="D76" s="38">
        <f t="shared" si="4"/>
        <v>-5.1447477614156075E-3</v>
      </c>
      <c r="E76" s="38">
        <f t="shared" si="5"/>
        <v>-3.2689239375103198E-3</v>
      </c>
      <c r="H76" s="41" t="s">
        <v>148</v>
      </c>
      <c r="I76" s="37">
        <v>1748.55</v>
      </c>
      <c r="J76" s="37">
        <v>51422.879999999997</v>
      </c>
      <c r="K76" s="38">
        <f t="shared" si="6"/>
        <v>-9.791859434593779E-2</v>
      </c>
      <c r="L76" s="38">
        <f t="shared" si="7"/>
        <v>1.3082698847590717E-2</v>
      </c>
    </row>
    <row r="77" spans="1:12">
      <c r="A77" s="41" t="s">
        <v>149</v>
      </c>
      <c r="B77" s="37">
        <v>459.48</v>
      </c>
      <c r="C77" s="37">
        <v>29365.3</v>
      </c>
      <c r="D77" s="38">
        <f t="shared" si="4"/>
        <v>1.355359420449434E-2</v>
      </c>
      <c r="E77" s="38">
        <f t="shared" si="5"/>
        <v>1.8659970574433929E-2</v>
      </c>
      <c r="H77" s="41" t="s">
        <v>150</v>
      </c>
      <c r="I77" s="37">
        <v>1585.45</v>
      </c>
      <c r="J77" s="37">
        <v>52100.05</v>
      </c>
      <c r="K77" s="38">
        <f t="shared" si="6"/>
        <v>-1.1354387763030833E-2</v>
      </c>
      <c r="L77" s="38">
        <f t="shared" si="7"/>
        <v>7.1663836379994173E-3</v>
      </c>
    </row>
    <row r="78" spans="1:12">
      <c r="A78" s="41">
        <v>42860</v>
      </c>
      <c r="B78" s="37">
        <v>465.75</v>
      </c>
      <c r="C78" s="37">
        <v>29918.400000000001</v>
      </c>
      <c r="D78" s="38">
        <f t="shared" si="4"/>
        <v>3.4564777747390522E-2</v>
      </c>
      <c r="E78" s="38">
        <f t="shared" si="5"/>
        <v>-1.9940719789174719E-3</v>
      </c>
      <c r="H78" s="41" t="s">
        <v>151</v>
      </c>
      <c r="I78" s="37">
        <v>1567.55</v>
      </c>
      <c r="J78" s="37">
        <v>52474.76</v>
      </c>
      <c r="K78" s="38">
        <f t="shared" si="6"/>
        <v>-1.5882535508331189E-2</v>
      </c>
      <c r="L78" s="38">
        <f t="shared" si="7"/>
        <v>-2.486377585409468E-3</v>
      </c>
    </row>
    <row r="79" spans="1:12">
      <c r="A79" s="41">
        <v>43074</v>
      </c>
      <c r="B79" s="37">
        <v>482.13</v>
      </c>
      <c r="C79" s="37">
        <v>29858.799999999999</v>
      </c>
      <c r="D79" s="38">
        <f t="shared" si="4"/>
        <v>-6.5549443433257836E-3</v>
      </c>
      <c r="E79" s="38">
        <f t="shared" si="5"/>
        <v>1.0969859510435321E-2</v>
      </c>
      <c r="H79" s="41">
        <v>44717</v>
      </c>
      <c r="I79" s="37">
        <v>1542.85</v>
      </c>
      <c r="J79" s="37">
        <v>52344.45</v>
      </c>
      <c r="K79" s="38">
        <f t="shared" si="6"/>
        <v>-2.5237207820469891E-2</v>
      </c>
      <c r="L79" s="38">
        <f t="shared" si="7"/>
        <v>1.1030658302784581E-2</v>
      </c>
    </row>
    <row r="80" spans="1:12">
      <c r="A80" s="41" t="s">
        <v>152</v>
      </c>
      <c r="B80" s="37">
        <v>478.98</v>
      </c>
      <c r="C80" s="37">
        <v>30188.15</v>
      </c>
      <c r="D80" s="38">
        <f t="shared" si="4"/>
        <v>3.8639983948330819E-2</v>
      </c>
      <c r="E80" s="38">
        <f t="shared" si="5"/>
        <v>9.1263944607118813E-3</v>
      </c>
      <c r="H80" s="41" t="s">
        <v>153</v>
      </c>
      <c r="I80" s="37">
        <v>1504.4</v>
      </c>
      <c r="J80" s="37">
        <v>52925.04</v>
      </c>
      <c r="K80" s="38">
        <f t="shared" si="6"/>
        <v>-3.3285159520779033E-2</v>
      </c>
      <c r="L80" s="38">
        <f t="shared" si="7"/>
        <v>-8.355445849856381E-3</v>
      </c>
    </row>
    <row r="81" spans="1:12">
      <c r="A81" s="41" t="s">
        <v>154</v>
      </c>
      <c r="B81" s="37">
        <v>497.85</v>
      </c>
      <c r="C81" s="37">
        <v>30464.92</v>
      </c>
      <c r="D81" s="38">
        <f t="shared" si="4"/>
        <v>-2.6706791943091047E-2</v>
      </c>
      <c r="E81" s="38">
        <f t="shared" si="5"/>
        <v>1.8320932953376719E-2</v>
      </c>
      <c r="H81" s="41" t="s">
        <v>155</v>
      </c>
      <c r="I81" s="37">
        <v>1455.15</v>
      </c>
      <c r="J81" s="37">
        <v>52484.67</v>
      </c>
      <c r="K81" s="38">
        <f t="shared" si="6"/>
        <v>4.2516779287907376E-3</v>
      </c>
      <c r="L81" s="38">
        <f t="shared" si="7"/>
        <v>-1.8781199839050186E-3</v>
      </c>
    </row>
    <row r="82" spans="1:12">
      <c r="A82" s="41">
        <v>42772</v>
      </c>
      <c r="B82" s="37">
        <v>484.73</v>
      </c>
      <c r="C82" s="37">
        <v>31028.21</v>
      </c>
      <c r="D82" s="38">
        <f t="shared" si="4"/>
        <v>-2.1752002007466197E-2</v>
      </c>
      <c r="E82" s="38">
        <f t="shared" si="5"/>
        <v>7.8675879130156411E-3</v>
      </c>
      <c r="H82" s="41" t="s">
        <v>156</v>
      </c>
      <c r="I82" s="37">
        <v>1461.35</v>
      </c>
      <c r="J82" s="37">
        <v>52386.19</v>
      </c>
      <c r="K82" s="38">
        <f t="shared" si="6"/>
        <v>4.0467464921875924E-2</v>
      </c>
      <c r="L82" s="38">
        <f t="shared" si="7"/>
        <v>1.4288062450619862E-2</v>
      </c>
    </row>
    <row r="83" spans="1:12">
      <c r="A83" s="41">
        <v>42984</v>
      </c>
      <c r="B83" s="37">
        <v>474.3</v>
      </c>
      <c r="C83" s="37">
        <v>31273.29</v>
      </c>
      <c r="D83" s="38">
        <f t="shared" si="4"/>
        <v>-8.8307806803016795E-3</v>
      </c>
      <c r="E83" s="38">
        <f t="shared" si="5"/>
        <v>-3.5915686474019678E-4</v>
      </c>
      <c r="H83" s="41">
        <v>44626</v>
      </c>
      <c r="I83" s="37">
        <v>1521.7</v>
      </c>
      <c r="J83" s="37">
        <v>53140.06</v>
      </c>
      <c r="K83" s="38">
        <f t="shared" si="6"/>
        <v>-2.9950546177481205E-2</v>
      </c>
      <c r="L83" s="38">
        <f t="shared" si="7"/>
        <v>-3.0958639207008267E-3</v>
      </c>
    </row>
    <row r="84" spans="1:12">
      <c r="A84" s="41" t="s">
        <v>157</v>
      </c>
      <c r="B84" s="37">
        <v>470.13</v>
      </c>
      <c r="C84" s="37">
        <v>31262.06</v>
      </c>
      <c r="D84" s="38">
        <f t="shared" si="4"/>
        <v>3.185527668297888E-3</v>
      </c>
      <c r="E84" s="38">
        <f t="shared" si="5"/>
        <v>-6.6003154319480232E-3</v>
      </c>
      <c r="H84" s="41">
        <v>44840</v>
      </c>
      <c r="I84" s="37">
        <v>1476.8</v>
      </c>
      <c r="J84" s="37">
        <v>52975.8</v>
      </c>
      <c r="K84" s="38">
        <f t="shared" si="6"/>
        <v>-6.2518172661907817E-2</v>
      </c>
      <c r="L84" s="38">
        <f t="shared" si="7"/>
        <v>-7.3693071764632237E-3</v>
      </c>
    </row>
    <row r="85" spans="1:12">
      <c r="A85" s="41" t="s">
        <v>158</v>
      </c>
      <c r="B85" s="37">
        <v>471.63</v>
      </c>
      <c r="C85" s="37">
        <v>31056.400000000001</v>
      </c>
      <c r="D85" s="38">
        <f t="shared" si="4"/>
        <v>-8.1966799487843463E-3</v>
      </c>
      <c r="E85" s="38">
        <f t="shared" si="5"/>
        <v>2.6307761133575404E-3</v>
      </c>
      <c r="H85" s="41" t="s">
        <v>159</v>
      </c>
      <c r="I85" s="37">
        <v>1387.3</v>
      </c>
      <c r="J85" s="37">
        <v>52586.84</v>
      </c>
      <c r="K85" s="38">
        <f t="shared" si="6"/>
        <v>3.8047298757635947E-2</v>
      </c>
      <c r="L85" s="38">
        <f t="shared" si="7"/>
        <v>3.1647931336112031E-2</v>
      </c>
    </row>
    <row r="86" spans="1:12">
      <c r="A86" s="41" t="s">
        <v>160</v>
      </c>
      <c r="B86" s="37">
        <v>467.78</v>
      </c>
      <c r="C86" s="37">
        <v>31138.21</v>
      </c>
      <c r="D86" s="38">
        <f t="shared" si="4"/>
        <v>-1.710351909073071E-4</v>
      </c>
      <c r="E86" s="38">
        <f t="shared" si="5"/>
        <v>-6.9803901945196907E-3</v>
      </c>
      <c r="H86" s="41" t="s">
        <v>161</v>
      </c>
      <c r="I86" s="37">
        <v>1441.1</v>
      </c>
      <c r="J86" s="37">
        <v>54277.72</v>
      </c>
      <c r="K86" s="38">
        <f t="shared" si="6"/>
        <v>2.6229889309451457E-2</v>
      </c>
      <c r="L86" s="38">
        <f t="shared" si="7"/>
        <v>2.1138642350078229E-2</v>
      </c>
    </row>
    <row r="87" spans="1:12">
      <c r="A87" s="41">
        <v>42923</v>
      </c>
      <c r="B87" s="37">
        <v>467.7</v>
      </c>
      <c r="C87" s="37">
        <v>30921.61</v>
      </c>
      <c r="D87" s="38">
        <f t="shared" si="4"/>
        <v>3.8443285658595942E-2</v>
      </c>
      <c r="E87" s="38">
        <f t="shared" si="5"/>
        <v>1.4097992344803911E-2</v>
      </c>
      <c r="H87" s="41">
        <v>44568</v>
      </c>
      <c r="I87" s="37">
        <v>1479.4</v>
      </c>
      <c r="J87" s="37">
        <v>55437.29</v>
      </c>
      <c r="K87" s="38">
        <f t="shared" si="6"/>
        <v>2.3415736572439727E-2</v>
      </c>
      <c r="L87" s="38">
        <f t="shared" si="7"/>
        <v>-1.949505075502967E-3</v>
      </c>
    </row>
    <row r="88" spans="1:12">
      <c r="A88" s="41" t="s">
        <v>162</v>
      </c>
      <c r="B88" s="37">
        <v>486.03</v>
      </c>
      <c r="C88" s="37">
        <v>31360.63</v>
      </c>
      <c r="D88" s="38">
        <f t="shared" si="4"/>
        <v>8.2370763247524709E-3</v>
      </c>
      <c r="E88" s="38">
        <f t="shared" si="5"/>
        <v>2.0830845588835436E-2</v>
      </c>
      <c r="H88" s="41">
        <v>44780</v>
      </c>
      <c r="I88" s="37">
        <v>1514.45</v>
      </c>
      <c r="J88" s="37">
        <v>55329.32</v>
      </c>
      <c r="K88" s="38">
        <f t="shared" si="6"/>
        <v>-5.7133167175177461E-2</v>
      </c>
      <c r="L88" s="38">
        <f t="shared" si="7"/>
        <v>1.4273390248316297E-2</v>
      </c>
    </row>
    <row r="89" spans="1:12">
      <c r="A89" s="41" t="s">
        <v>163</v>
      </c>
      <c r="B89" s="37">
        <v>490.05</v>
      </c>
      <c r="C89" s="37">
        <v>32020.75</v>
      </c>
      <c r="D89" s="38">
        <f t="shared" si="4"/>
        <v>1.7457180761585343E-2</v>
      </c>
      <c r="E89" s="38">
        <f t="shared" si="5"/>
        <v>2.5417785467090492E-4</v>
      </c>
      <c r="H89" s="41" t="s">
        <v>164</v>
      </c>
      <c r="I89" s="37">
        <v>1430.35</v>
      </c>
      <c r="J89" s="37">
        <v>56124.72</v>
      </c>
      <c r="K89" s="38">
        <f t="shared" si="6"/>
        <v>5.1737143157739675E-2</v>
      </c>
      <c r="L89" s="38">
        <f t="shared" si="7"/>
        <v>3.5104664385994584E-2</v>
      </c>
    </row>
    <row r="90" spans="1:12">
      <c r="A90" s="41" t="s">
        <v>165</v>
      </c>
      <c r="B90" s="37">
        <v>498.68</v>
      </c>
      <c r="C90" s="37">
        <v>32028.89</v>
      </c>
      <c r="D90" s="38">
        <f t="shared" si="4"/>
        <v>-1.3729823172527748E-2</v>
      </c>
      <c r="E90" s="38">
        <f t="shared" si="5"/>
        <v>8.7347577994421471E-3</v>
      </c>
      <c r="H90" s="41" t="s">
        <v>166</v>
      </c>
      <c r="I90" s="37">
        <v>1506.3</v>
      </c>
      <c r="J90" s="37">
        <v>58129.95</v>
      </c>
      <c r="K90" s="38">
        <f t="shared" si="6"/>
        <v>2.8405051084519805E-2</v>
      </c>
      <c r="L90" s="38">
        <f t="shared" si="7"/>
        <v>3.0080319828897873E-3</v>
      </c>
    </row>
    <row r="91" spans="1:12">
      <c r="A91" s="41">
        <v>42833</v>
      </c>
      <c r="B91" s="37">
        <v>491.88</v>
      </c>
      <c r="C91" s="37">
        <v>32309.88</v>
      </c>
      <c r="D91" s="38">
        <f t="shared" si="4"/>
        <v>3.9970430498898445E-3</v>
      </c>
      <c r="E91" s="38">
        <f t="shared" si="5"/>
        <v>4.8054244976236302E-4</v>
      </c>
      <c r="H91" s="41" t="s">
        <v>167</v>
      </c>
      <c r="I91" s="37">
        <v>1549.7</v>
      </c>
      <c r="J91" s="37">
        <v>58305.07</v>
      </c>
      <c r="K91" s="38">
        <f t="shared" si="6"/>
        <v>4.2294743138638478E-2</v>
      </c>
      <c r="L91" s="38">
        <f t="shared" si="7"/>
        <v>1.2117676124233374E-2</v>
      </c>
    </row>
    <row r="92" spans="1:12">
      <c r="A92" s="41">
        <v>43047</v>
      </c>
      <c r="B92" s="37">
        <v>493.85</v>
      </c>
      <c r="C92" s="37">
        <v>32325.41</v>
      </c>
      <c r="D92" s="38">
        <f t="shared" si="4"/>
        <v>-6.7468122937603139E-2</v>
      </c>
      <c r="E92" s="38">
        <f t="shared" si="5"/>
        <v>-3.5000031356421608E-2</v>
      </c>
      <c r="H92" s="41">
        <v>44689</v>
      </c>
      <c r="I92" s="37">
        <v>1616.65</v>
      </c>
      <c r="J92" s="37">
        <v>59015.89</v>
      </c>
      <c r="K92" s="38">
        <f t="shared" si="6"/>
        <v>-1.4046793292326897E-2</v>
      </c>
      <c r="L92" s="38">
        <f t="shared" si="7"/>
        <v>1.7345339754760405E-2</v>
      </c>
    </row>
    <row r="93" spans="1:12">
      <c r="A93" s="41" t="s">
        <v>168</v>
      </c>
      <c r="B93" s="37">
        <v>461.63</v>
      </c>
      <c r="C93" s="37">
        <v>31213.59</v>
      </c>
      <c r="D93" s="38">
        <f t="shared" si="4"/>
        <v>-1.2095471693206837E-2</v>
      </c>
      <c r="E93" s="38">
        <f t="shared" si="5"/>
        <v>9.9171542229730941E-3</v>
      </c>
      <c r="H93" s="41">
        <v>44903</v>
      </c>
      <c r="I93" s="37">
        <v>1594.1</v>
      </c>
      <c r="J93" s="37">
        <v>60048.47</v>
      </c>
      <c r="K93" s="38">
        <f t="shared" si="6"/>
        <v>1.8801710226628156E-3</v>
      </c>
      <c r="L93" s="38">
        <f t="shared" si="7"/>
        <v>-2.1595760077127144E-2</v>
      </c>
    </row>
    <row r="94" spans="1:12">
      <c r="A94" s="41" t="s">
        <v>169</v>
      </c>
      <c r="B94" s="37">
        <v>456.08</v>
      </c>
      <c r="C94" s="37">
        <v>31524.68</v>
      </c>
      <c r="D94" s="38">
        <f t="shared" si="4"/>
        <v>8.5147775537377408E-3</v>
      </c>
      <c r="E94" s="38">
        <f t="shared" si="5"/>
        <v>2.2616981495268383E-3</v>
      </c>
      <c r="H94" s="41" t="s">
        <v>170</v>
      </c>
      <c r="I94" s="37">
        <v>1597.1</v>
      </c>
      <c r="J94" s="37">
        <v>58765.58</v>
      </c>
      <c r="K94" s="38">
        <f t="shared" si="6"/>
        <v>-4.845993255825775E-2</v>
      </c>
      <c r="L94" s="38">
        <f t="shared" si="7"/>
        <v>2.1772102060472309E-2</v>
      </c>
    </row>
    <row r="95" spans="1:12">
      <c r="A95" s="41">
        <v>42744</v>
      </c>
      <c r="B95" s="37">
        <v>459.98</v>
      </c>
      <c r="C95" s="37">
        <v>31596.06</v>
      </c>
      <c r="D95" s="38">
        <f t="shared" si="4"/>
        <v>-3.9533819255320062E-2</v>
      </c>
      <c r="E95" s="38">
        <f t="shared" si="5"/>
        <v>9.329977179280198E-3</v>
      </c>
      <c r="H95" s="41" t="s">
        <v>171</v>
      </c>
      <c r="I95" s="37">
        <v>1521.55</v>
      </c>
      <c r="J95" s="37">
        <v>60059.06</v>
      </c>
      <c r="K95" s="38">
        <f t="shared" si="6"/>
        <v>-4.6099167533722951E-2</v>
      </c>
      <c r="L95" s="38">
        <f t="shared" si="7"/>
        <v>2.0548490436275806E-2</v>
      </c>
    </row>
    <row r="96" spans="1:12">
      <c r="A96" s="41">
        <v>42956</v>
      </c>
      <c r="B96" s="37">
        <v>442.15</v>
      </c>
      <c r="C96" s="37">
        <v>31892.23</v>
      </c>
      <c r="D96" s="38">
        <f t="shared" si="4"/>
        <v>2.6734309643430966E-2</v>
      </c>
      <c r="E96" s="38">
        <f t="shared" si="5"/>
        <v>-6.4394939392927817E-3</v>
      </c>
      <c r="H96" s="41">
        <v>44601</v>
      </c>
      <c r="I96" s="37">
        <v>1453</v>
      </c>
      <c r="J96" s="37">
        <v>61305.95</v>
      </c>
      <c r="K96" s="38">
        <f t="shared" si="6"/>
        <v>3.9571384891740655E-2</v>
      </c>
      <c r="L96" s="38">
        <f t="shared" si="7"/>
        <v>-7.9315839838350055E-3</v>
      </c>
    </row>
    <row r="97" spans="1:12">
      <c r="A97" s="41" t="s">
        <v>172</v>
      </c>
      <c r="B97" s="37">
        <v>454.13</v>
      </c>
      <c r="C97" s="37">
        <v>31687.52</v>
      </c>
      <c r="D97" s="38">
        <f t="shared" si="4"/>
        <v>-1.1026592989959358E-2</v>
      </c>
      <c r="E97" s="38">
        <f t="shared" si="5"/>
        <v>1.8295970352715178E-2</v>
      </c>
      <c r="H97" s="41">
        <v>44813</v>
      </c>
      <c r="I97" s="37">
        <v>1511.65</v>
      </c>
      <c r="J97" s="37">
        <v>60821.62</v>
      </c>
      <c r="K97" s="38">
        <f t="shared" si="6"/>
        <v>-9.3258239571966051E-2</v>
      </c>
      <c r="L97" s="38">
        <f t="shared" si="7"/>
        <v>-2.521915528740358E-2</v>
      </c>
    </row>
    <row r="98" spans="1:12">
      <c r="A98" s="41" t="s">
        <v>173</v>
      </c>
      <c r="B98" s="37">
        <v>449.15</v>
      </c>
      <c r="C98" s="37">
        <v>32272.61</v>
      </c>
      <c r="D98" s="38">
        <f t="shared" si="4"/>
        <v>1.779557804742005E-3</v>
      </c>
      <c r="E98" s="38">
        <f t="shared" si="5"/>
        <v>-1.0909672104733443E-2</v>
      </c>
      <c r="H98" s="41" t="s">
        <v>174</v>
      </c>
      <c r="I98" s="37">
        <v>1377.05</v>
      </c>
      <c r="J98" s="37">
        <v>59306.93</v>
      </c>
      <c r="K98" s="38">
        <f t="shared" si="6"/>
        <v>-8.4594852706499288E-3</v>
      </c>
      <c r="L98" s="38">
        <f t="shared" si="7"/>
        <v>1.2744765052250919E-2</v>
      </c>
    </row>
    <row r="99" spans="1:12">
      <c r="A99" s="41" t="s">
        <v>175</v>
      </c>
      <c r="B99" s="37">
        <v>449.95</v>
      </c>
      <c r="C99" s="37">
        <v>31922.44</v>
      </c>
      <c r="D99" s="38">
        <f t="shared" si="4"/>
        <v>2.2263921925541306E-2</v>
      </c>
      <c r="E99" s="38">
        <f t="shared" si="5"/>
        <v>-2.0211376325696327E-2</v>
      </c>
      <c r="H99" s="41" t="s">
        <v>176</v>
      </c>
      <c r="I99" s="37">
        <v>1365.45</v>
      </c>
      <c r="J99" s="37">
        <v>60067.62</v>
      </c>
      <c r="K99" s="38">
        <f t="shared" si="6"/>
        <v>3.4549479701467475E-2</v>
      </c>
      <c r="L99" s="38">
        <f t="shared" si="7"/>
        <v>1.02534712632463E-2</v>
      </c>
    </row>
    <row r="100" spans="1:12">
      <c r="A100" s="41">
        <v>42896</v>
      </c>
      <c r="B100" s="37">
        <v>460.08</v>
      </c>
      <c r="C100" s="37">
        <v>31283.72</v>
      </c>
      <c r="D100" s="38">
        <f t="shared" si="4"/>
        <v>1.0744539282977382E-2</v>
      </c>
      <c r="E100" s="38">
        <f t="shared" si="5"/>
        <v>1.6815525209630942E-2</v>
      </c>
      <c r="H100" s="41" t="s">
        <v>177</v>
      </c>
      <c r="I100" s="37">
        <v>1413.45</v>
      </c>
      <c r="J100" s="37">
        <v>60686.69</v>
      </c>
      <c r="K100" s="38">
        <f t="shared" si="6"/>
        <v>2.6357276039997171E-2</v>
      </c>
      <c r="L100" s="38">
        <f t="shared" si="7"/>
        <v>-1.7464812647501382E-2</v>
      </c>
    </row>
    <row r="101" spans="1:12">
      <c r="A101" s="41" t="s">
        <v>178</v>
      </c>
      <c r="B101" s="37">
        <v>465.05</v>
      </c>
      <c r="C101" s="37">
        <v>31814.22</v>
      </c>
      <c r="D101" s="38">
        <f t="shared" si="4"/>
        <v>-2.5190285999735339E-3</v>
      </c>
      <c r="E101" s="38">
        <f t="shared" si="5"/>
        <v>1.9253505120171689E-2</v>
      </c>
      <c r="H101" s="41">
        <v>44752</v>
      </c>
      <c r="I101" s="37">
        <v>1451.2</v>
      </c>
      <c r="J101" s="37">
        <v>59636.01</v>
      </c>
      <c r="K101" s="38">
        <f t="shared" si="6"/>
        <v>1.575858551974129E-2</v>
      </c>
      <c r="L101" s="38">
        <f t="shared" si="7"/>
        <v>-4.3330258513171571E-2</v>
      </c>
    </row>
    <row r="102" spans="1:12">
      <c r="A102" s="41" t="s">
        <v>179</v>
      </c>
      <c r="B102" s="37">
        <v>463.88</v>
      </c>
      <c r="C102" s="37">
        <v>32432.69</v>
      </c>
      <c r="D102" s="38">
        <f t="shared" si="4"/>
        <v>1.984996769564E-2</v>
      </c>
      <c r="E102" s="38">
        <f t="shared" si="5"/>
        <v>-3.167870622825622E-3</v>
      </c>
      <c r="H102" s="41" t="s">
        <v>180</v>
      </c>
      <c r="I102" s="37">
        <v>1474.25</v>
      </c>
      <c r="J102" s="37">
        <v>57107.15</v>
      </c>
      <c r="K102" s="38">
        <f t="shared" si="6"/>
        <v>1.7648999999808204E-2</v>
      </c>
      <c r="L102" s="38">
        <f t="shared" si="7"/>
        <v>1.0266492075280338E-2</v>
      </c>
    </row>
    <row r="103" spans="1:12">
      <c r="A103" s="41" t="s">
        <v>181</v>
      </c>
      <c r="B103" s="37">
        <v>473.18</v>
      </c>
      <c r="C103" s="37">
        <v>32330.11</v>
      </c>
      <c r="D103" s="38">
        <f t="shared" si="4"/>
        <v>-2.103632259799789E-2</v>
      </c>
      <c r="E103" s="38">
        <f t="shared" si="5"/>
        <v>2.5261496661567379E-2</v>
      </c>
      <c r="H103" s="41" t="s">
        <v>182</v>
      </c>
      <c r="I103" s="37">
        <v>1500.5</v>
      </c>
      <c r="J103" s="37">
        <v>57696.46</v>
      </c>
      <c r="K103" s="38">
        <f t="shared" si="6"/>
        <v>8.4612698913747418E-3</v>
      </c>
      <c r="L103" s="38">
        <f t="shared" si="7"/>
        <v>1.8719308711628947E-2</v>
      </c>
    </row>
    <row r="104" spans="1:12">
      <c r="A104" s="41">
        <v>42805</v>
      </c>
      <c r="B104" s="37">
        <v>463.33</v>
      </c>
      <c r="C104" s="37">
        <v>33157.22</v>
      </c>
      <c r="D104" s="38">
        <f t="shared" si="4"/>
        <v>3.7490095037055117E-2</v>
      </c>
      <c r="E104" s="38">
        <f t="shared" si="5"/>
        <v>1.5808768079055763E-2</v>
      </c>
      <c r="H104" s="41" t="s">
        <v>183</v>
      </c>
      <c r="I104" s="37">
        <v>1513.25</v>
      </c>
      <c r="J104" s="37">
        <v>58786.67</v>
      </c>
      <c r="K104" s="38">
        <f t="shared" si="6"/>
        <v>4.9549922559756542E-4</v>
      </c>
      <c r="L104" s="38">
        <f t="shared" si="7"/>
        <v>-3.065791698485534E-2</v>
      </c>
    </row>
    <row r="105" spans="1:12">
      <c r="A105" s="41">
        <v>43019</v>
      </c>
      <c r="B105" s="37">
        <v>481.03</v>
      </c>
      <c r="C105" s="37">
        <v>33685.56</v>
      </c>
      <c r="D105" s="38">
        <f t="shared" si="4"/>
        <v>9.2084540149611309E-3</v>
      </c>
      <c r="E105" s="38">
        <f t="shared" si="5"/>
        <v>-1.1074720221507926E-2</v>
      </c>
      <c r="H105" s="41">
        <v>44662</v>
      </c>
      <c r="I105" s="37">
        <v>1514</v>
      </c>
      <c r="J105" s="37">
        <v>57011.74</v>
      </c>
      <c r="K105" s="38">
        <f t="shared" si="6"/>
        <v>3.6384156584081867E-2</v>
      </c>
      <c r="L105" s="38">
        <f t="shared" si="7"/>
        <v>1.9725588278325023E-3</v>
      </c>
    </row>
    <row r="106" spans="1:12">
      <c r="A106" s="41" t="s">
        <v>184</v>
      </c>
      <c r="B106" s="37">
        <v>485.48</v>
      </c>
      <c r="C106" s="37">
        <v>33314.559999999998</v>
      </c>
      <c r="D106" s="38">
        <f t="shared" si="4"/>
        <v>3.8984598552616392E-2</v>
      </c>
      <c r="E106" s="38">
        <f t="shared" si="5"/>
        <v>8.4731833632711395E-4</v>
      </c>
      <c r="H106" s="41">
        <v>44876</v>
      </c>
      <c r="I106" s="37">
        <v>1570.1</v>
      </c>
      <c r="J106" s="37">
        <v>57124.31</v>
      </c>
      <c r="K106" s="38">
        <f t="shared" si="6"/>
        <v>1.473078636478981E-2</v>
      </c>
      <c r="L106" s="38">
        <f t="shared" si="7"/>
        <v>1.9579899327914076E-2</v>
      </c>
    </row>
    <row r="107" spans="1:12">
      <c r="A107" s="41" t="s">
        <v>185</v>
      </c>
      <c r="B107" s="37">
        <v>504.78</v>
      </c>
      <c r="C107" s="37">
        <v>33342.800000000003</v>
      </c>
      <c r="D107" s="38">
        <f t="shared" si="4"/>
        <v>-5.1587368790493235E-2</v>
      </c>
      <c r="E107" s="38">
        <f t="shared" si="5"/>
        <v>1.003976679924453E-2</v>
      </c>
      <c r="H107" s="41" t="s">
        <v>186</v>
      </c>
      <c r="I107" s="37">
        <v>1593.4</v>
      </c>
      <c r="J107" s="37">
        <v>58253.82</v>
      </c>
      <c r="K107" s="38">
        <f t="shared" si="6"/>
        <v>2.6170180898446343E-2</v>
      </c>
      <c r="L107" s="38">
        <f t="shared" si="7"/>
        <v>2.5269977359026658E-2</v>
      </c>
    </row>
    <row r="108" spans="1:12">
      <c r="A108" s="41">
        <v>42747</v>
      </c>
      <c r="B108" s="37">
        <v>479.4</v>
      </c>
      <c r="C108" s="37">
        <v>33679.24</v>
      </c>
      <c r="D108" s="38">
        <f t="shared" si="4"/>
        <v>4.3931048763872035E-2</v>
      </c>
      <c r="E108" s="38">
        <f t="shared" si="5"/>
        <v>-2.5449344056115167E-2</v>
      </c>
      <c r="H108" s="41" t="s">
        <v>187</v>
      </c>
      <c r="I108" s="37">
        <v>1635.65</v>
      </c>
      <c r="J108" s="37">
        <v>59744.65</v>
      </c>
      <c r="K108" s="38">
        <f t="shared" si="6"/>
        <v>1.3746546436218818E-3</v>
      </c>
      <c r="L108" s="38">
        <f t="shared" si="7"/>
        <v>2.4443778868286584E-2</v>
      </c>
    </row>
    <row r="109" spans="1:12">
      <c r="A109" s="41">
        <v>42959</v>
      </c>
      <c r="B109" s="37">
        <v>500.93</v>
      </c>
      <c r="C109" s="37">
        <v>32832.94</v>
      </c>
      <c r="D109" s="38">
        <f t="shared" si="4"/>
        <v>2.0783458138860372E-2</v>
      </c>
      <c r="E109" s="38">
        <f t="shared" si="5"/>
        <v>1.2631509874806263E-2</v>
      </c>
      <c r="H109" s="41">
        <v>44604</v>
      </c>
      <c r="I109" s="37">
        <v>1637.9</v>
      </c>
      <c r="J109" s="37">
        <v>61223.03</v>
      </c>
      <c r="K109" s="38">
        <f t="shared" si="6"/>
        <v>-4.2785273443658879E-2</v>
      </c>
      <c r="L109" s="38">
        <f t="shared" si="7"/>
        <v>-3.63560109982023E-2</v>
      </c>
    </row>
    <row r="110" spans="1:12">
      <c r="A110" s="41" t="s">
        <v>188</v>
      </c>
      <c r="B110" s="37">
        <v>511.45</v>
      </c>
      <c r="C110" s="37">
        <v>33250.300000000003</v>
      </c>
      <c r="D110" s="38">
        <f t="shared" si="4"/>
        <v>1.5944165834263176E-2</v>
      </c>
      <c r="E110" s="38">
        <f t="shared" si="5"/>
        <v>6.3756647036846909E-3</v>
      </c>
      <c r="H110" s="41">
        <v>44816</v>
      </c>
      <c r="I110" s="37">
        <v>1569.3</v>
      </c>
      <c r="J110" s="37">
        <v>59037.18</v>
      </c>
      <c r="K110" s="38">
        <f t="shared" si="6"/>
        <v>-3.0473003211383878E-2</v>
      </c>
      <c r="L110" s="38">
        <f t="shared" si="7"/>
        <v>-3.160949556713856E-2</v>
      </c>
    </row>
    <row r="111" spans="1:12">
      <c r="A111" s="41" t="s">
        <v>189</v>
      </c>
      <c r="B111" s="37">
        <v>519.66999999999996</v>
      </c>
      <c r="C111" s="37">
        <v>33462.97</v>
      </c>
      <c r="D111" s="38">
        <f t="shared" si="4"/>
        <v>2.6136269322284394E-3</v>
      </c>
      <c r="E111" s="38">
        <f t="shared" si="5"/>
        <v>1.4163644573652268E-2</v>
      </c>
      <c r="H111" s="41" t="s">
        <v>190</v>
      </c>
      <c r="I111" s="37">
        <v>1522.2</v>
      </c>
      <c r="J111" s="37">
        <v>57200.23</v>
      </c>
      <c r="K111" s="38">
        <f t="shared" si="6"/>
        <v>-1.6626753377500331E-2</v>
      </c>
      <c r="L111" s="38">
        <f t="shared" si="7"/>
        <v>2.4941331296696675E-2</v>
      </c>
    </row>
    <row r="112" spans="1:12">
      <c r="A112" s="41" t="s">
        <v>191</v>
      </c>
      <c r="B112" s="37">
        <v>521.03</v>
      </c>
      <c r="C112" s="37">
        <v>33940.300000000003</v>
      </c>
      <c r="D112" s="38">
        <f t="shared" si="4"/>
        <v>-2.9270952382042453E-2</v>
      </c>
      <c r="E112" s="38">
        <f t="shared" si="5"/>
        <v>3.4275009571887922E-3</v>
      </c>
      <c r="H112" s="41" t="s">
        <v>192</v>
      </c>
      <c r="I112" s="37">
        <v>1497.1</v>
      </c>
      <c r="J112" s="37">
        <v>58644.82</v>
      </c>
      <c r="K112" s="38">
        <f t="shared" si="6"/>
        <v>7.3869833127557559E-3</v>
      </c>
      <c r="L112" s="38">
        <f t="shared" si="7"/>
        <v>-8.4231579881344238E-3</v>
      </c>
    </row>
    <row r="113" spans="1:12">
      <c r="A113" s="41">
        <v>43221</v>
      </c>
      <c r="B113" s="37">
        <v>506</v>
      </c>
      <c r="C113" s="37">
        <v>34056.83</v>
      </c>
      <c r="D113" s="38">
        <f t="shared" si="4"/>
        <v>6.3605526745092553E-2</v>
      </c>
      <c r="E113" s="38">
        <f t="shared" si="5"/>
        <v>2.8447177312174109E-3</v>
      </c>
      <c r="H113" s="41" t="s">
        <v>193</v>
      </c>
      <c r="I113" s="37">
        <v>1508.2</v>
      </c>
      <c r="J113" s="37">
        <v>58152.92</v>
      </c>
      <c r="K113" s="38">
        <f t="shared" si="6"/>
        <v>-4.0388348559141585E-2</v>
      </c>
      <c r="L113" s="38">
        <f t="shared" si="7"/>
        <v>-5.5170643869310041E-3</v>
      </c>
    </row>
    <row r="114" spans="1:12">
      <c r="A114" s="41">
        <v>43435</v>
      </c>
      <c r="B114" s="37">
        <v>539.23</v>
      </c>
      <c r="C114" s="37">
        <v>34153.85</v>
      </c>
      <c r="D114" s="38">
        <f t="shared" si="4"/>
        <v>5.8524655934938795E-2</v>
      </c>
      <c r="E114" s="38">
        <f t="shared" si="5"/>
        <v>1.2758398093020465E-2</v>
      </c>
      <c r="H114" s="41">
        <v>45078</v>
      </c>
      <c r="I114" s="37">
        <v>1448.5</v>
      </c>
      <c r="J114" s="37">
        <v>57832.97</v>
      </c>
      <c r="K114" s="38">
        <f t="shared" si="6"/>
        <v>3.7366947452605388E-2</v>
      </c>
      <c r="L114" s="38">
        <f t="shared" si="7"/>
        <v>-3.473696292073316E-2</v>
      </c>
    </row>
    <row r="115" spans="1:12">
      <c r="A115" s="41" t="s">
        <v>194</v>
      </c>
      <c r="B115" s="37">
        <v>571.73</v>
      </c>
      <c r="C115" s="37">
        <v>34592.39</v>
      </c>
      <c r="D115" s="38">
        <f t="shared" si="4"/>
        <v>2.7549761651108146E-2</v>
      </c>
      <c r="E115" s="38">
        <f t="shared" si="5"/>
        <v>2.6225124797419608E-2</v>
      </c>
      <c r="H115" s="41" t="s">
        <v>195</v>
      </c>
      <c r="I115" s="37">
        <v>1503.65</v>
      </c>
      <c r="J115" s="37">
        <v>55858.52</v>
      </c>
      <c r="K115" s="38">
        <f t="shared" si="6"/>
        <v>1.4459515096558821E-2</v>
      </c>
      <c r="L115" s="38">
        <f t="shared" si="7"/>
        <v>-2.7675380251282283E-2</v>
      </c>
    </row>
    <row r="116" spans="1:12">
      <c r="A116" s="41" t="s">
        <v>196</v>
      </c>
      <c r="B116" s="37">
        <v>587.70000000000005</v>
      </c>
      <c r="C116" s="37">
        <v>35511.58</v>
      </c>
      <c r="D116" s="38">
        <f t="shared" si="4"/>
        <v>-2.7724684685419256E-2</v>
      </c>
      <c r="E116" s="38">
        <f t="shared" si="5"/>
        <v>1.5060228453197658E-2</v>
      </c>
      <c r="H116" s="41" t="s">
        <v>197</v>
      </c>
      <c r="I116" s="37">
        <v>1525.55</v>
      </c>
      <c r="J116" s="37">
        <v>54333.81</v>
      </c>
      <c r="K116" s="38">
        <f t="shared" si="6"/>
        <v>-4.2040328610851987E-3</v>
      </c>
      <c r="L116" s="38">
        <f t="shared" si="7"/>
        <v>2.2142231504805269E-2</v>
      </c>
    </row>
    <row r="117" spans="1:12">
      <c r="A117" s="41">
        <v>43133</v>
      </c>
      <c r="B117" s="37">
        <v>571.63</v>
      </c>
      <c r="C117" s="37">
        <v>36050.44</v>
      </c>
      <c r="D117" s="38">
        <f t="shared" si="4"/>
        <v>-3.0280858428444322E-2</v>
      </c>
      <c r="E117" s="38">
        <f t="shared" si="5"/>
        <v>-2.7665680868400544E-2</v>
      </c>
      <c r="H117" s="41" t="s">
        <v>198</v>
      </c>
      <c r="I117" s="37">
        <v>1519.15</v>
      </c>
      <c r="J117" s="37">
        <v>55550.3</v>
      </c>
      <c r="K117" s="38">
        <f t="shared" si="6"/>
        <v>5.1477591000305453E-2</v>
      </c>
      <c r="L117" s="38">
        <f t="shared" si="7"/>
        <v>4.0805303201970199E-2</v>
      </c>
    </row>
    <row r="118" spans="1:12">
      <c r="A118" s="41">
        <v>43345</v>
      </c>
      <c r="B118" s="37">
        <v>554.58000000000004</v>
      </c>
      <c r="C118" s="37">
        <v>35066.75</v>
      </c>
      <c r="D118" s="38">
        <f t="shared" si="4"/>
        <v>1.689637106806215E-2</v>
      </c>
      <c r="E118" s="38">
        <f t="shared" si="5"/>
        <v>-3.072346602621677E-2</v>
      </c>
      <c r="H118" s="41">
        <v>44987</v>
      </c>
      <c r="I118" s="37">
        <v>1599.4</v>
      </c>
      <c r="J118" s="37">
        <v>57863.93</v>
      </c>
      <c r="K118" s="38">
        <f t="shared" si="6"/>
        <v>5.7045931598394811E-3</v>
      </c>
      <c r="L118" s="38">
        <f t="shared" si="7"/>
        <v>-8.7086700033857604E-3</v>
      </c>
    </row>
    <row r="119" spans="1:12">
      <c r="A119" s="41" t="s">
        <v>199</v>
      </c>
      <c r="B119" s="37">
        <v>564.03</v>
      </c>
      <c r="C119" s="37">
        <v>34005.760000000002</v>
      </c>
      <c r="D119" s="38">
        <f t="shared" si="4"/>
        <v>2.4172266191437339E-2</v>
      </c>
      <c r="E119" s="38">
        <f t="shared" si="5"/>
        <v>1.4702310582812174E-4</v>
      </c>
      <c r="H119" s="41">
        <v>45201</v>
      </c>
      <c r="I119" s="37">
        <v>1608.55</v>
      </c>
      <c r="J119" s="37">
        <v>57362.2</v>
      </c>
      <c r="K119" s="38">
        <f t="shared" si="6"/>
        <v>-1.5506129281316968E-2</v>
      </c>
      <c r="L119" s="38">
        <f t="shared" si="7"/>
        <v>3.2830592912057401E-2</v>
      </c>
    </row>
    <row r="120" spans="1:12">
      <c r="A120" s="41" t="s">
        <v>200</v>
      </c>
      <c r="B120" s="37">
        <v>577.83000000000004</v>
      </c>
      <c r="C120" s="37">
        <v>34010.76</v>
      </c>
      <c r="D120" s="38">
        <f t="shared" si="4"/>
        <v>4.4033536582697526E-3</v>
      </c>
      <c r="E120" s="38">
        <f t="shared" si="5"/>
        <v>3.8557462265016158E-3</v>
      </c>
      <c r="H120" s="41" t="s">
        <v>201</v>
      </c>
      <c r="I120" s="37">
        <v>1583.8</v>
      </c>
      <c r="J120" s="37">
        <v>59276.69</v>
      </c>
      <c r="K120" s="38">
        <f t="shared" si="6"/>
        <v>-2.1152824928975755E-2</v>
      </c>
      <c r="L120" s="38">
        <f t="shared" si="7"/>
        <v>2.8720444707964732E-3</v>
      </c>
    </row>
    <row r="121" spans="1:12">
      <c r="A121" s="41">
        <v>43103</v>
      </c>
      <c r="B121" s="37">
        <v>580.38</v>
      </c>
      <c r="C121" s="37">
        <v>34142.15</v>
      </c>
      <c r="D121" s="38">
        <f t="shared" si="4"/>
        <v>2.2717894942052273E-3</v>
      </c>
      <c r="E121" s="38">
        <f t="shared" si="5"/>
        <v>-2.7925306488891096E-3</v>
      </c>
      <c r="H121" s="41" t="s">
        <v>202</v>
      </c>
      <c r="I121" s="37">
        <v>1550.65</v>
      </c>
      <c r="J121" s="37">
        <v>59447.18</v>
      </c>
      <c r="K121" s="38">
        <f t="shared" si="6"/>
        <v>-4.7105194949146167E-2</v>
      </c>
      <c r="L121" s="38">
        <f t="shared" si="7"/>
        <v>-1.881856368222283E-2</v>
      </c>
    </row>
    <row r="122" spans="1:12">
      <c r="A122" s="41">
        <v>43346</v>
      </c>
      <c r="B122" s="37">
        <v>581.70000000000005</v>
      </c>
      <c r="C122" s="37">
        <v>34046.94</v>
      </c>
      <c r="D122" s="38">
        <f t="shared" si="4"/>
        <v>7.2796107878955263E-3</v>
      </c>
      <c r="E122" s="38">
        <f t="shared" si="5"/>
        <v>-2.1968372298428126E-2</v>
      </c>
      <c r="H122" s="41">
        <v>44988</v>
      </c>
      <c r="I122" s="37">
        <v>1479.3</v>
      </c>
      <c r="J122" s="37">
        <v>58338.93</v>
      </c>
      <c r="K122" s="38">
        <f t="shared" si="6"/>
        <v>-5.2527358688720027E-3</v>
      </c>
      <c r="L122" s="38">
        <f t="shared" si="7"/>
        <v>-1.9765551540713831E-2</v>
      </c>
    </row>
    <row r="123" spans="1:12">
      <c r="A123" s="41" t="s">
        <v>203</v>
      </c>
      <c r="B123" s="37">
        <v>585.95000000000005</v>
      </c>
      <c r="C123" s="37">
        <v>33307.14</v>
      </c>
      <c r="D123" s="38">
        <f t="shared" si="4"/>
        <v>-3.6760032845971503E-3</v>
      </c>
      <c r="E123" s="38">
        <f t="shared" si="5"/>
        <v>-3.9450654732471205E-3</v>
      </c>
      <c r="H123" s="41">
        <v>45202</v>
      </c>
      <c r="I123" s="37">
        <v>1471.55</v>
      </c>
      <c r="J123" s="37">
        <v>57197.15</v>
      </c>
      <c r="K123" s="38">
        <f t="shared" si="6"/>
        <v>-3.5166559151286657E-2</v>
      </c>
      <c r="L123" s="38">
        <f t="shared" si="7"/>
        <v>-2.3854791921867546E-3</v>
      </c>
    </row>
    <row r="124" spans="1:12">
      <c r="A124" s="41" t="s">
        <v>204</v>
      </c>
      <c r="B124" s="37">
        <v>583.79999999999995</v>
      </c>
      <c r="C124" s="37">
        <v>33176</v>
      </c>
      <c r="D124" s="38">
        <f t="shared" si="4"/>
        <v>-3.1141074271536229E-2</v>
      </c>
      <c r="E124" s="38">
        <f t="shared" si="5"/>
        <v>-1.7620575173457709E-2</v>
      </c>
      <c r="H124" s="41" t="s">
        <v>205</v>
      </c>
      <c r="I124" s="37">
        <v>1420.7</v>
      </c>
      <c r="J124" s="37">
        <v>57060.87</v>
      </c>
      <c r="K124" s="38">
        <f t="shared" si="6"/>
        <v>-2.8595305126533584E-2</v>
      </c>
      <c r="L124" s="38">
        <f t="shared" si="7"/>
        <v>-3.9779339435087109E-2</v>
      </c>
    </row>
    <row r="125" spans="1:12">
      <c r="A125" s="41" t="s">
        <v>206</v>
      </c>
      <c r="B125" s="37">
        <v>565.9</v>
      </c>
      <c r="C125" s="37">
        <v>32596.54</v>
      </c>
      <c r="D125" s="38">
        <f t="shared" si="4"/>
        <v>-4.2500506686470804E-3</v>
      </c>
      <c r="E125" s="38">
        <f t="shared" si="5"/>
        <v>1.1351872114814995E-2</v>
      </c>
      <c r="H125" s="41" t="s">
        <v>207</v>
      </c>
      <c r="I125" s="37">
        <v>1380.65</v>
      </c>
      <c r="J125" s="37">
        <v>54835.58</v>
      </c>
      <c r="K125" s="38">
        <f t="shared" si="6"/>
        <v>3.368544652942513E-2</v>
      </c>
      <c r="L125" s="38">
        <f t="shared" si="7"/>
        <v>-3.7948903264390786E-2</v>
      </c>
    </row>
    <row r="126" spans="1:12">
      <c r="A126" s="41">
        <v>43255</v>
      </c>
      <c r="B126" s="37">
        <v>563.5</v>
      </c>
      <c r="C126" s="37">
        <v>32968.68</v>
      </c>
      <c r="D126" s="38">
        <f t="shared" si="4"/>
        <v>3.8691599065649132E-2</v>
      </c>
      <c r="E126" s="38">
        <f t="shared" si="5"/>
        <v>1.9770403680988095E-2</v>
      </c>
      <c r="H126" s="41" t="s">
        <v>208</v>
      </c>
      <c r="I126" s="37">
        <v>1427.95</v>
      </c>
      <c r="J126" s="37">
        <v>52793.62</v>
      </c>
      <c r="K126" s="38">
        <f t="shared" si="6"/>
        <v>-4.2458438785940309E-3</v>
      </c>
      <c r="L126" s="38">
        <f t="shared" si="7"/>
        <v>2.8619762483644572E-2</v>
      </c>
    </row>
    <row r="127" spans="1:12">
      <c r="A127" s="41" t="s">
        <v>209</v>
      </c>
      <c r="B127" s="37">
        <v>585.73</v>
      </c>
      <c r="C127" s="37">
        <v>33626.97</v>
      </c>
      <c r="D127" s="38">
        <f t="shared" si="4"/>
        <v>5.9576672437391112E-3</v>
      </c>
      <c r="E127" s="38">
        <f t="shared" si="5"/>
        <v>1.6682285124478741E-2</v>
      </c>
      <c r="H127" s="41">
        <v>45081</v>
      </c>
      <c r="I127" s="37">
        <v>1421.9</v>
      </c>
      <c r="J127" s="37">
        <v>54326.39</v>
      </c>
      <c r="K127" s="38">
        <f t="shared" si="6"/>
        <v>-2.3265963532409846E-2</v>
      </c>
      <c r="L127" s="38">
        <f t="shared" si="7"/>
        <v>1.0223779787616087E-2</v>
      </c>
    </row>
    <row r="128" spans="1:12">
      <c r="A128" s="41" t="s">
        <v>210</v>
      </c>
      <c r="B128" s="37">
        <v>589.23</v>
      </c>
      <c r="C128" s="37">
        <v>34192.65</v>
      </c>
      <c r="D128" s="38">
        <f t="shared" si="4"/>
        <v>5.7030353502454121E-3</v>
      </c>
      <c r="E128" s="38">
        <f t="shared" si="5"/>
        <v>6.4986601337848763E-3</v>
      </c>
      <c r="H128" s="41" t="s">
        <v>211</v>
      </c>
      <c r="I128" s="37">
        <v>1389.2</v>
      </c>
      <c r="J128" s="37">
        <v>54884.66</v>
      </c>
      <c r="K128" s="38">
        <f t="shared" si="6"/>
        <v>-0.12387066826088997</v>
      </c>
      <c r="L128" s="38">
        <f t="shared" si="7"/>
        <v>1.5988391250826964E-2</v>
      </c>
    </row>
    <row r="129" spans="1:12">
      <c r="A129" s="41" t="s">
        <v>212</v>
      </c>
      <c r="B129" s="37">
        <v>592.6</v>
      </c>
      <c r="C129" s="37">
        <v>34415.58</v>
      </c>
      <c r="D129" s="38">
        <f t="shared" si="4"/>
        <v>-1.026171918773559E-2</v>
      </c>
      <c r="E129" s="38">
        <f t="shared" si="5"/>
        <v>1.597260343198436E-2</v>
      </c>
      <c r="H129" s="41" t="s">
        <v>213</v>
      </c>
      <c r="I129" s="37">
        <v>1227.3499999999999</v>
      </c>
      <c r="J129" s="37">
        <v>55769.23</v>
      </c>
      <c r="K129" s="38">
        <f t="shared" si="6"/>
        <v>2.0483761230804958E-2</v>
      </c>
      <c r="L129" s="38">
        <f t="shared" si="7"/>
        <v>-2.663470691724255E-2</v>
      </c>
    </row>
    <row r="130" spans="1:12">
      <c r="A130" s="41">
        <v>43195</v>
      </c>
      <c r="B130" s="37">
        <v>586.54999999999995</v>
      </c>
      <c r="C130" s="37">
        <v>34969.699999999997</v>
      </c>
      <c r="D130" s="38">
        <f t="shared" si="4"/>
        <v>6.5084814219979175E-3</v>
      </c>
      <c r="E130" s="38">
        <f t="shared" si="5"/>
        <v>-1.5545524435055802E-3</v>
      </c>
      <c r="H130" s="41" t="s">
        <v>214</v>
      </c>
      <c r="I130" s="37">
        <v>1252.75</v>
      </c>
      <c r="J130" s="37">
        <v>54303.44</v>
      </c>
      <c r="K130" s="38">
        <f t="shared" si="6"/>
        <v>5.0560451678208105E-3</v>
      </c>
      <c r="L130" s="38">
        <f t="shared" si="7"/>
        <v>-5.5719739764429087E-2</v>
      </c>
    </row>
    <row r="131" spans="1:12">
      <c r="A131" s="41">
        <v>43409</v>
      </c>
      <c r="B131" s="37">
        <v>590.38</v>
      </c>
      <c r="C131" s="37">
        <v>34915.379999999997</v>
      </c>
      <c r="D131" s="38">
        <f t="shared" si="4"/>
        <v>2.0643334629175951E-3</v>
      </c>
      <c r="E131" s="38">
        <f t="shared" si="5"/>
        <v>1.7612937821217492E-2</v>
      </c>
      <c r="H131" s="41">
        <v>45051</v>
      </c>
      <c r="I131" s="37">
        <v>1259.0999999999999</v>
      </c>
      <c r="J131" s="37">
        <v>51360.42</v>
      </c>
      <c r="K131" s="38">
        <f t="shared" si="6"/>
        <v>-1.1101020440201659E-2</v>
      </c>
      <c r="L131" s="38">
        <f t="shared" si="7"/>
        <v>2.6278407526870877E-2</v>
      </c>
    </row>
    <row r="132" spans="1:12">
      <c r="A132" s="41" t="s">
        <v>215</v>
      </c>
      <c r="B132" s="37">
        <v>591.6</v>
      </c>
      <c r="C132" s="37">
        <v>35535.79</v>
      </c>
      <c r="D132" s="38">
        <f t="shared" ref="D132:D195" si="8">LN(B133/B132)</f>
        <v>3.7408467148458489E-2</v>
      </c>
      <c r="E132" s="38">
        <f t="shared" ref="E132:E195" si="9">LN(C133/C132)</f>
        <v>-1.953600210546394E-2</v>
      </c>
      <c r="H132" s="41">
        <v>45265</v>
      </c>
      <c r="I132" s="37">
        <v>1245.2</v>
      </c>
      <c r="J132" s="37">
        <v>52727.98</v>
      </c>
      <c r="K132" s="38">
        <f t="shared" si="6"/>
        <v>1.8854223835415834E-2</v>
      </c>
      <c r="L132" s="38">
        <f t="shared" si="7"/>
        <v>3.406988666357416E-3</v>
      </c>
    </row>
    <row r="133" spans="1:12">
      <c r="A133" s="41" t="s">
        <v>216</v>
      </c>
      <c r="B133" s="37">
        <v>614.15</v>
      </c>
      <c r="C133" s="37">
        <v>34848.300000000003</v>
      </c>
      <c r="D133" s="38">
        <f t="shared" si="8"/>
        <v>-6.1247180148561514E-3</v>
      </c>
      <c r="E133" s="38">
        <f t="shared" si="9"/>
        <v>2.1948273451865667E-3</v>
      </c>
      <c r="H133" s="41" t="s">
        <v>217</v>
      </c>
      <c r="I133" s="37">
        <v>1268.9000000000001</v>
      </c>
      <c r="J133" s="37">
        <v>52907.93</v>
      </c>
      <c r="K133" s="38">
        <f t="shared" ref="K133:K196" si="10">LN(I134/I133)</f>
        <v>3.7547666628367164E-2</v>
      </c>
      <c r="L133" s="38">
        <f t="shared" ref="L133:L196" si="11">LN(J134/J133)</f>
        <v>2.9314202021309341E-2</v>
      </c>
    </row>
    <row r="134" spans="1:12">
      <c r="A134" s="41">
        <v>43106</v>
      </c>
      <c r="B134" s="37">
        <v>610.4</v>
      </c>
      <c r="C134" s="37">
        <v>34924.870000000003</v>
      </c>
      <c r="D134" s="38">
        <f t="shared" si="8"/>
        <v>3.1652957329199399E-2</v>
      </c>
      <c r="E134" s="38">
        <f t="shared" si="9"/>
        <v>8.6210318305354056E-3</v>
      </c>
      <c r="H134" s="41" t="s">
        <v>218</v>
      </c>
      <c r="I134" s="37">
        <v>1317.45</v>
      </c>
      <c r="J134" s="37">
        <v>54481.84</v>
      </c>
      <c r="K134" s="38">
        <f t="shared" si="10"/>
        <v>-1.4103312360636605E-2</v>
      </c>
      <c r="L134" s="38">
        <f t="shared" si="11"/>
        <v>-1.3323230094688466E-2</v>
      </c>
    </row>
    <row r="135" spans="1:12">
      <c r="A135" s="41">
        <v>43318</v>
      </c>
      <c r="B135" s="37">
        <v>630.03</v>
      </c>
      <c r="C135" s="37">
        <v>35227.26</v>
      </c>
      <c r="D135" s="38">
        <f t="shared" si="8"/>
        <v>1.6684629874917381E-2</v>
      </c>
      <c r="E135" s="38">
        <f t="shared" si="9"/>
        <v>6.1244609754968213E-3</v>
      </c>
      <c r="H135" s="41">
        <v>44963</v>
      </c>
      <c r="I135" s="37">
        <v>1299</v>
      </c>
      <c r="J135" s="37">
        <v>53760.78</v>
      </c>
      <c r="K135" s="38">
        <f t="shared" si="10"/>
        <v>-2.5771909217179204E-2</v>
      </c>
      <c r="L135" s="38">
        <f t="shared" si="11"/>
        <v>4.2096476020424517E-2</v>
      </c>
    </row>
    <row r="136" spans="1:12">
      <c r="A136" s="41" t="s">
        <v>219</v>
      </c>
      <c r="B136" s="37">
        <v>640.63</v>
      </c>
      <c r="C136" s="37">
        <v>35443.67</v>
      </c>
      <c r="D136" s="38">
        <f t="shared" si="8"/>
        <v>-2.642991215212134E-2</v>
      </c>
      <c r="E136" s="38">
        <f t="shared" si="9"/>
        <v>5.0226789842521026E-3</v>
      </c>
      <c r="H136" s="41">
        <v>45175</v>
      </c>
      <c r="I136" s="37">
        <v>1265.95</v>
      </c>
      <c r="J136" s="37">
        <v>56072.23</v>
      </c>
      <c r="K136" s="38">
        <f t="shared" si="10"/>
        <v>2.0097642356863708E-2</v>
      </c>
      <c r="L136" s="38">
        <f t="shared" si="11"/>
        <v>2.6365260159169877E-2</v>
      </c>
    </row>
    <row r="137" spans="1:12">
      <c r="A137" s="41" t="s">
        <v>220</v>
      </c>
      <c r="B137" s="37">
        <v>623.91999999999996</v>
      </c>
      <c r="C137" s="37">
        <v>35622.14</v>
      </c>
      <c r="D137" s="38">
        <f t="shared" si="8"/>
        <v>4.6473388523550589E-2</v>
      </c>
      <c r="E137" s="38">
        <f t="shared" si="9"/>
        <v>1.8919751536884593E-3</v>
      </c>
      <c r="H137" s="41" t="s">
        <v>221</v>
      </c>
      <c r="I137" s="37">
        <v>1291.6500000000001</v>
      </c>
      <c r="J137" s="37">
        <v>57570.25</v>
      </c>
      <c r="K137" s="38">
        <f t="shared" si="10"/>
        <v>-2.084834864866339E-2</v>
      </c>
      <c r="L137" s="38">
        <f t="shared" si="11"/>
        <v>1.4103249173324997E-2</v>
      </c>
    </row>
    <row r="138" spans="1:12">
      <c r="A138" s="41" t="s">
        <v>222</v>
      </c>
      <c r="B138" s="37">
        <v>653.6</v>
      </c>
      <c r="C138" s="37">
        <v>35689.599999999999</v>
      </c>
      <c r="D138" s="38">
        <f t="shared" si="8"/>
        <v>-1.7704768142774704E-2</v>
      </c>
      <c r="E138" s="38">
        <f t="shared" si="9"/>
        <v>-7.4844527130561583E-3</v>
      </c>
      <c r="H138" s="41" t="s">
        <v>223</v>
      </c>
      <c r="I138" s="37">
        <v>1265</v>
      </c>
      <c r="J138" s="37">
        <v>58387.93</v>
      </c>
      <c r="K138" s="38">
        <f t="shared" si="10"/>
        <v>5.4233631388394855E-2</v>
      </c>
      <c r="L138" s="38">
        <f t="shared" si="11"/>
        <v>1.8241380206297425E-2</v>
      </c>
    </row>
    <row r="139" spans="1:12">
      <c r="A139" s="41">
        <v>43258</v>
      </c>
      <c r="B139" s="37">
        <v>642.13</v>
      </c>
      <c r="C139" s="37">
        <v>35423.480000000003</v>
      </c>
      <c r="D139" s="38">
        <f t="shared" si="8"/>
        <v>2.5477420243628882E-2</v>
      </c>
      <c r="E139" s="38">
        <f t="shared" si="9"/>
        <v>6.594722312174929E-3</v>
      </c>
      <c r="H139" s="41" t="s">
        <v>224</v>
      </c>
      <c r="I139" s="37">
        <v>1335.5</v>
      </c>
      <c r="J139" s="37">
        <v>59462.78</v>
      </c>
      <c r="K139" s="38">
        <f t="shared" si="10"/>
        <v>-3.9764466996947811E-3</v>
      </c>
      <c r="L139" s="38">
        <f t="shared" si="11"/>
        <v>3.0790326950134949E-3</v>
      </c>
    </row>
    <row r="140" spans="1:12">
      <c r="A140" s="41" t="s">
        <v>225</v>
      </c>
      <c r="B140" s="37">
        <v>658.7</v>
      </c>
      <c r="C140" s="37">
        <v>35657.86</v>
      </c>
      <c r="D140" s="38">
        <f t="shared" si="8"/>
        <v>2.3036096490425644E-2</v>
      </c>
      <c r="E140" s="38">
        <f t="shared" si="9"/>
        <v>2.4482559185781957E-2</v>
      </c>
      <c r="H140" s="41">
        <v>45114</v>
      </c>
      <c r="I140" s="37">
        <v>1330.2</v>
      </c>
      <c r="J140" s="37">
        <v>59646.15</v>
      </c>
      <c r="K140" s="38">
        <f t="shared" si="10"/>
        <v>6.9508951395590615E-2</v>
      </c>
      <c r="L140" s="38">
        <f t="shared" si="11"/>
        <v>-1.3711893815772926E-2</v>
      </c>
    </row>
    <row r="141" spans="1:12">
      <c r="A141" s="41" t="s">
        <v>226</v>
      </c>
      <c r="B141" s="37">
        <v>674.05</v>
      </c>
      <c r="C141" s="37">
        <v>36541.629999999997</v>
      </c>
      <c r="D141" s="38">
        <f t="shared" si="8"/>
        <v>1.8636909734950233E-2</v>
      </c>
      <c r="E141" s="38">
        <f t="shared" si="9"/>
        <v>-1.2393550150134689E-3</v>
      </c>
      <c r="H141" s="41" t="s">
        <v>227</v>
      </c>
      <c r="I141" s="37">
        <v>1425.95</v>
      </c>
      <c r="J141" s="37">
        <v>58833.87</v>
      </c>
      <c r="K141" s="38">
        <f t="shared" si="10"/>
        <v>-6.845703154504168E-2</v>
      </c>
      <c r="L141" s="38">
        <f t="shared" si="11"/>
        <v>-5.1922352259516666E-4</v>
      </c>
    </row>
    <row r="142" spans="1:12">
      <c r="A142" s="41" t="s">
        <v>228</v>
      </c>
      <c r="B142" s="37">
        <v>686.73</v>
      </c>
      <c r="C142" s="37">
        <v>36496.370000000003</v>
      </c>
      <c r="D142" s="38">
        <f t="shared" si="8"/>
        <v>-6.8382329328941765E-3</v>
      </c>
      <c r="E142" s="38">
        <f t="shared" si="9"/>
        <v>2.2767971031383429E-2</v>
      </c>
      <c r="H142" s="41" t="s">
        <v>229</v>
      </c>
      <c r="I142" s="37">
        <v>1331.6</v>
      </c>
      <c r="J142" s="37">
        <v>58803.33</v>
      </c>
      <c r="K142" s="38">
        <f t="shared" si="10"/>
        <v>6.6614519751442818E-3</v>
      </c>
      <c r="L142" s="38">
        <f t="shared" si="11"/>
        <v>1.669245270309681E-2</v>
      </c>
    </row>
    <row r="143" spans="1:12">
      <c r="A143" s="41">
        <v>43167</v>
      </c>
      <c r="B143" s="37">
        <v>682.05</v>
      </c>
      <c r="C143" s="37">
        <v>37336.85</v>
      </c>
      <c r="D143" s="38">
        <f t="shared" si="8"/>
        <v>1.5537343943316372E-2</v>
      </c>
      <c r="E143" s="38">
        <f t="shared" si="9"/>
        <v>5.8566380724866746E-3</v>
      </c>
      <c r="H143" s="41" t="s">
        <v>230</v>
      </c>
      <c r="I143" s="37">
        <v>1340.5</v>
      </c>
      <c r="J143" s="37">
        <v>59793.14</v>
      </c>
      <c r="K143" s="38">
        <f t="shared" si="10"/>
        <v>2.784445293898969E-2</v>
      </c>
      <c r="L143" s="38">
        <f t="shared" si="11"/>
        <v>-1.6055616773412898E-2</v>
      </c>
    </row>
    <row r="144" spans="1:12">
      <c r="A144" s="41">
        <v>43381</v>
      </c>
      <c r="B144" s="37">
        <v>692.73</v>
      </c>
      <c r="C144" s="37">
        <v>37556.160000000003</v>
      </c>
      <c r="D144" s="38">
        <f t="shared" si="8"/>
        <v>3.1893946380036557E-2</v>
      </c>
      <c r="E144" s="38">
        <f t="shared" si="9"/>
        <v>8.3014962979627554E-3</v>
      </c>
      <c r="H144" s="41">
        <v>45024</v>
      </c>
      <c r="I144" s="37">
        <v>1378.35</v>
      </c>
      <c r="J144" s="37">
        <v>58840.79</v>
      </c>
      <c r="K144" s="38">
        <f t="shared" si="10"/>
        <v>-4.7269377521368039E-3</v>
      </c>
      <c r="L144" s="38">
        <f t="shared" si="11"/>
        <v>-1.2688246838938979E-2</v>
      </c>
    </row>
    <row r="145" spans="1:12">
      <c r="A145" s="41" t="s">
        <v>231</v>
      </c>
      <c r="B145" s="37">
        <v>715.18</v>
      </c>
      <c r="C145" s="37">
        <v>37869.230000000003</v>
      </c>
      <c r="D145" s="38">
        <f t="shared" si="8"/>
        <v>-3.7075305122034302E-2</v>
      </c>
      <c r="E145" s="38">
        <f t="shared" si="9"/>
        <v>2.0747303138418508E-3</v>
      </c>
      <c r="H145" s="41">
        <v>45238</v>
      </c>
      <c r="I145" s="37">
        <v>1371.85</v>
      </c>
      <c r="J145" s="37">
        <v>58098.92</v>
      </c>
      <c r="K145" s="38">
        <f t="shared" si="10"/>
        <v>1.2279871043218812E-2</v>
      </c>
      <c r="L145" s="38">
        <f t="shared" si="11"/>
        <v>-1.163389211348499E-2</v>
      </c>
    </row>
    <row r="146" spans="1:12">
      <c r="A146" s="41" t="s">
        <v>232</v>
      </c>
      <c r="B146" s="37">
        <v>689.15</v>
      </c>
      <c r="C146" s="37">
        <v>37947.879999999997</v>
      </c>
      <c r="D146" s="38">
        <f t="shared" si="8"/>
        <v>4.4555855143922705E-2</v>
      </c>
      <c r="E146" s="38">
        <f t="shared" si="9"/>
        <v>7.9769786852001943E-3</v>
      </c>
      <c r="H146" s="41" t="s">
        <v>233</v>
      </c>
      <c r="I146" s="37">
        <v>1388.8</v>
      </c>
      <c r="J146" s="37">
        <v>57426.92</v>
      </c>
      <c r="K146" s="38">
        <f t="shared" si="10"/>
        <v>2.228722674488166E-2</v>
      </c>
      <c r="L146" s="38">
        <f t="shared" si="11"/>
        <v>1.3222504249039452E-2</v>
      </c>
    </row>
    <row r="147" spans="1:12">
      <c r="A147" s="41" t="s">
        <v>234</v>
      </c>
      <c r="B147" s="37">
        <v>720.55</v>
      </c>
      <c r="C147" s="37">
        <v>38251.800000000003</v>
      </c>
      <c r="D147" s="38">
        <f t="shared" si="8"/>
        <v>1.6858004075549982E-2</v>
      </c>
      <c r="E147" s="38">
        <f t="shared" si="9"/>
        <v>1.0228593928164789E-2</v>
      </c>
      <c r="H147" s="41" t="s">
        <v>235</v>
      </c>
      <c r="I147" s="37">
        <v>1420.1</v>
      </c>
      <c r="J147" s="37">
        <v>58191.29</v>
      </c>
      <c r="K147" s="38">
        <f t="shared" si="10"/>
        <v>1.6585865289755575E-2</v>
      </c>
      <c r="L147" s="38">
        <f t="shared" si="11"/>
        <v>-4.6734570588480321E-3</v>
      </c>
    </row>
    <row r="148" spans="1:12">
      <c r="A148" s="41">
        <v>43290</v>
      </c>
      <c r="B148" s="37">
        <v>732.8</v>
      </c>
      <c r="C148" s="37">
        <v>38645.07</v>
      </c>
      <c r="D148" s="38">
        <f t="shared" si="8"/>
        <v>1.2274123600280937E-3</v>
      </c>
      <c r="E148" s="38">
        <f t="shared" si="9"/>
        <v>-6.6268916363143703E-3</v>
      </c>
      <c r="H148" s="41">
        <v>44935</v>
      </c>
      <c r="I148" s="37">
        <v>1443.85</v>
      </c>
      <c r="J148" s="37">
        <v>57919.97</v>
      </c>
      <c r="K148" s="38">
        <f t="shared" si="10"/>
        <v>1.7677097960193136E-2</v>
      </c>
      <c r="L148" s="38">
        <f t="shared" si="11"/>
        <v>2.3667641969589249E-2</v>
      </c>
    </row>
    <row r="149" spans="1:12">
      <c r="A149" s="41" t="s">
        <v>236</v>
      </c>
      <c r="B149" s="37">
        <v>733.7</v>
      </c>
      <c r="C149" s="37">
        <v>38389.82</v>
      </c>
      <c r="D149" s="38">
        <f t="shared" si="8"/>
        <v>-3.947698150581521E-2</v>
      </c>
      <c r="E149" s="38">
        <f t="shared" si="9"/>
        <v>-7.8237376210200191E-3</v>
      </c>
      <c r="H149" s="41">
        <v>45147</v>
      </c>
      <c r="I149" s="37">
        <v>1469.6</v>
      </c>
      <c r="J149" s="37">
        <v>59307.15</v>
      </c>
      <c r="K149" s="38">
        <f t="shared" si="10"/>
        <v>2.8178437574417927E-2</v>
      </c>
      <c r="L149" s="38">
        <f t="shared" si="11"/>
        <v>1.0945299472374418E-2</v>
      </c>
    </row>
    <row r="150" spans="1:12">
      <c r="A150" s="41" t="s">
        <v>237</v>
      </c>
      <c r="B150" s="37">
        <v>705.3</v>
      </c>
      <c r="C150" s="37">
        <v>38090.639999999999</v>
      </c>
      <c r="D150" s="38">
        <f t="shared" si="8"/>
        <v>3.448978073343946E-2</v>
      </c>
      <c r="E150" s="38">
        <f t="shared" si="9"/>
        <v>-3.3340941162464922E-2</v>
      </c>
      <c r="H150" s="41" t="s">
        <v>238</v>
      </c>
      <c r="I150" s="37">
        <v>1511.6</v>
      </c>
      <c r="J150" s="37">
        <v>59959.85</v>
      </c>
      <c r="K150" s="38">
        <f t="shared" si="10"/>
        <v>-1.0273550587669761E-2</v>
      </c>
      <c r="L150" s="38">
        <f t="shared" si="11"/>
        <v>1.6384590827070063E-2</v>
      </c>
    </row>
    <row r="151" spans="1:12">
      <c r="A151" s="41" t="s">
        <v>239</v>
      </c>
      <c r="B151" s="37">
        <v>730.05</v>
      </c>
      <c r="C151" s="37">
        <v>36841.599999999999</v>
      </c>
      <c r="D151" s="38">
        <f t="shared" si="8"/>
        <v>-7.4932464865960849E-3</v>
      </c>
      <c r="E151" s="38">
        <f t="shared" si="9"/>
        <v>-1.6819079811041835E-2</v>
      </c>
      <c r="H151" s="41" t="s">
        <v>240</v>
      </c>
      <c r="I151" s="37">
        <v>1496.15</v>
      </c>
      <c r="J151" s="37">
        <v>60950.36</v>
      </c>
      <c r="K151" s="38">
        <f t="shared" si="10"/>
        <v>-4.1416753002475021E-2</v>
      </c>
      <c r="L151" s="38">
        <f t="shared" si="11"/>
        <v>1.3763339952491727E-2</v>
      </c>
    </row>
    <row r="152" spans="1:12">
      <c r="A152" s="41">
        <v>43230</v>
      </c>
      <c r="B152" s="37">
        <v>724.6</v>
      </c>
      <c r="C152" s="37">
        <v>36227.14</v>
      </c>
      <c r="D152" s="38">
        <f t="shared" si="8"/>
        <v>-6.5293245100905742E-2</v>
      </c>
      <c r="E152" s="38">
        <f t="shared" si="9"/>
        <v>-5.2421116465954092E-2</v>
      </c>
      <c r="H152" s="41" t="s">
        <v>241</v>
      </c>
      <c r="I152" s="37">
        <v>1435.45</v>
      </c>
      <c r="J152" s="37">
        <v>61795.040000000001</v>
      </c>
      <c r="K152" s="38">
        <f t="shared" si="10"/>
        <v>2.9684934494252694E-2</v>
      </c>
      <c r="L152" s="38">
        <f t="shared" si="11"/>
        <v>-2.131242943745166E-3</v>
      </c>
    </row>
    <row r="153" spans="1:12">
      <c r="A153" s="41">
        <v>43444</v>
      </c>
      <c r="B153" s="37">
        <v>678.8</v>
      </c>
      <c r="C153" s="37">
        <v>34376.99</v>
      </c>
      <c r="D153" s="38">
        <f t="shared" si="8"/>
        <v>6.9732730179300441E-3</v>
      </c>
      <c r="E153" s="38">
        <f t="shared" si="9"/>
        <v>1.0319497133174768E-2</v>
      </c>
      <c r="H153" s="41">
        <v>45087</v>
      </c>
      <c r="I153" s="37">
        <v>1478.7</v>
      </c>
      <c r="J153" s="37">
        <v>61663.48</v>
      </c>
      <c r="K153" s="38">
        <f t="shared" si="10"/>
        <v>-3.2685006513477104E-2</v>
      </c>
      <c r="L153" s="38">
        <f t="shared" si="11"/>
        <v>1.0167474505534622E-2</v>
      </c>
    </row>
    <row r="154" spans="1:12">
      <c r="A154" s="41" t="s">
        <v>242</v>
      </c>
      <c r="B154" s="37">
        <v>683.55</v>
      </c>
      <c r="C154" s="37">
        <v>34733.58</v>
      </c>
      <c r="D154" s="38">
        <f t="shared" si="8"/>
        <v>-7.5881965877785049E-2</v>
      </c>
      <c r="E154" s="38">
        <f t="shared" si="9"/>
        <v>-1.2106006843236783E-2</v>
      </c>
      <c r="H154" s="41" t="s">
        <v>243</v>
      </c>
      <c r="I154" s="37">
        <v>1431.15</v>
      </c>
      <c r="J154" s="37">
        <v>62293.64</v>
      </c>
      <c r="K154" s="38">
        <f t="shared" si="10"/>
        <v>-2.7288010215961709E-3</v>
      </c>
      <c r="L154" s="38">
        <f t="shared" si="11"/>
        <v>9.1859094493411224E-3</v>
      </c>
    </row>
    <row r="155" spans="1:12">
      <c r="A155" s="41" t="s">
        <v>244</v>
      </c>
      <c r="B155" s="37">
        <v>633.6</v>
      </c>
      <c r="C155" s="37">
        <v>34315.629999999997</v>
      </c>
      <c r="D155" s="38">
        <f t="shared" si="8"/>
        <v>4.4225287651962944E-2</v>
      </c>
      <c r="E155" s="38">
        <f t="shared" si="9"/>
        <v>-2.856385301772384E-2</v>
      </c>
      <c r="H155" s="41" t="s">
        <v>245</v>
      </c>
      <c r="I155" s="37">
        <v>1427.25</v>
      </c>
      <c r="J155" s="37">
        <v>62868.5</v>
      </c>
      <c r="K155" s="38">
        <f t="shared" si="10"/>
        <v>-3.3412425661636269E-2</v>
      </c>
      <c r="L155" s="38">
        <f t="shared" si="11"/>
        <v>-1.0984981573776835E-2</v>
      </c>
    </row>
    <row r="156" spans="1:12">
      <c r="A156" s="41">
        <v>43142</v>
      </c>
      <c r="B156" s="37">
        <v>662.25</v>
      </c>
      <c r="C156" s="37">
        <v>33349.31</v>
      </c>
      <c r="D156" s="38">
        <f t="shared" si="8"/>
        <v>-4.1611559948097968E-3</v>
      </c>
      <c r="E156" s="38">
        <f t="shared" si="9"/>
        <v>4.8643780755195473E-2</v>
      </c>
      <c r="H156" s="41" t="s">
        <v>246</v>
      </c>
      <c r="I156" s="37">
        <v>1380.35</v>
      </c>
      <c r="J156" s="37">
        <v>62181.67</v>
      </c>
      <c r="K156" s="38">
        <f t="shared" si="10"/>
        <v>6.2829700439609301E-3</v>
      </c>
      <c r="L156" s="38">
        <f t="shared" si="11"/>
        <v>-1.366380637267107E-2</v>
      </c>
    </row>
    <row r="157" spans="1:12">
      <c r="A157" s="41">
        <v>43354</v>
      </c>
      <c r="B157" s="37">
        <v>659.5</v>
      </c>
      <c r="C157" s="37">
        <v>35011.65</v>
      </c>
      <c r="D157" s="38">
        <f t="shared" si="8"/>
        <v>-1.3202771244899856E-2</v>
      </c>
      <c r="E157" s="38">
        <f t="shared" si="9"/>
        <v>4.1869686734540591E-3</v>
      </c>
      <c r="H157" s="41">
        <v>44996</v>
      </c>
      <c r="I157" s="37">
        <v>1389.05</v>
      </c>
      <c r="J157" s="37">
        <v>61337.81</v>
      </c>
      <c r="K157" s="38">
        <f t="shared" si="10"/>
        <v>-1.4649088969856981E-2</v>
      </c>
      <c r="L157" s="38">
        <f t="shared" si="11"/>
        <v>-2.463372324235719E-2</v>
      </c>
    </row>
    <row r="158" spans="1:12">
      <c r="A158" s="41" t="s">
        <v>247</v>
      </c>
      <c r="B158" s="37">
        <v>650.85</v>
      </c>
      <c r="C158" s="37">
        <v>35158.550000000003</v>
      </c>
      <c r="D158" s="38">
        <f t="shared" si="8"/>
        <v>-4.735077652419345E-2</v>
      </c>
      <c r="E158" s="38">
        <f t="shared" si="9"/>
        <v>8.457375275064339E-3</v>
      </c>
      <c r="H158" s="41">
        <v>45210</v>
      </c>
      <c r="I158" s="37">
        <v>1368.85</v>
      </c>
      <c r="J158" s="37">
        <v>59845.29</v>
      </c>
      <c r="K158" s="38">
        <f t="shared" si="10"/>
        <v>4.896930441846379E-2</v>
      </c>
      <c r="L158" s="38">
        <f t="shared" si="11"/>
        <v>1.6496898202370911E-2</v>
      </c>
    </row>
    <row r="159" spans="1:12">
      <c r="A159" s="41" t="s">
        <v>248</v>
      </c>
      <c r="B159" s="37">
        <v>620.75</v>
      </c>
      <c r="C159" s="37">
        <v>35457.160000000003</v>
      </c>
      <c r="D159" s="38">
        <f t="shared" si="8"/>
        <v>7.2536056713465441E-2</v>
      </c>
      <c r="E159" s="38">
        <f t="shared" si="9"/>
        <v>-1.3519578511089425E-2</v>
      </c>
      <c r="H159" s="41" t="s">
        <v>249</v>
      </c>
      <c r="I159" s="37">
        <v>1437.55</v>
      </c>
      <c r="J159" s="37">
        <v>60840.74</v>
      </c>
      <c r="K159" s="38">
        <f t="shared" si="10"/>
        <v>-1.043496409578637E-4</v>
      </c>
      <c r="L159" s="38">
        <f t="shared" si="11"/>
        <v>-1.557694830381828E-2</v>
      </c>
    </row>
    <row r="160" spans="1:12">
      <c r="A160" s="41" t="s">
        <v>250</v>
      </c>
      <c r="B160" s="37">
        <v>667.45</v>
      </c>
      <c r="C160" s="37">
        <v>34981.019999999997</v>
      </c>
      <c r="D160" s="38">
        <f t="shared" si="8"/>
        <v>2.2737509818543927E-2</v>
      </c>
      <c r="E160" s="38">
        <f t="shared" si="9"/>
        <v>3.4096019185237435E-2</v>
      </c>
      <c r="H160" s="41" t="s">
        <v>251</v>
      </c>
      <c r="I160" s="37">
        <v>1437.4</v>
      </c>
      <c r="J160" s="37">
        <v>59900.37</v>
      </c>
      <c r="K160" s="38">
        <f t="shared" si="10"/>
        <v>1.0312580579415948E-2</v>
      </c>
      <c r="L160" s="38">
        <f t="shared" si="11"/>
        <v>6.0054332586523739E-3</v>
      </c>
    </row>
    <row r="161" spans="1:12">
      <c r="A161" s="41">
        <v>43293</v>
      </c>
      <c r="B161" s="37">
        <v>682.8</v>
      </c>
      <c r="C161" s="37">
        <v>36194.300000000003</v>
      </c>
      <c r="D161" s="38">
        <f t="shared" si="8"/>
        <v>3.3484065594975451E-2</v>
      </c>
      <c r="E161" s="38">
        <f t="shared" si="9"/>
        <v>-1.4500539669928468E-2</v>
      </c>
      <c r="H161" s="41">
        <v>44938</v>
      </c>
      <c r="I161" s="37">
        <v>1452.3</v>
      </c>
      <c r="J161" s="37">
        <v>60261.18</v>
      </c>
      <c r="K161" s="38">
        <f t="shared" si="10"/>
        <v>2.6399127712505577E-2</v>
      </c>
      <c r="L161" s="38">
        <f t="shared" si="11"/>
        <v>5.9659541652087658E-3</v>
      </c>
    </row>
    <row r="162" spans="1:12">
      <c r="A162" s="41" t="s">
        <v>252</v>
      </c>
      <c r="B162" s="37">
        <v>706.05</v>
      </c>
      <c r="C162" s="37">
        <v>35673.25</v>
      </c>
      <c r="D162" s="38">
        <f t="shared" si="8"/>
        <v>-8.857700312486301E-2</v>
      </c>
      <c r="E162" s="38">
        <f t="shared" si="9"/>
        <v>8.0875775053713492E-3</v>
      </c>
      <c r="H162" s="41">
        <v>45150</v>
      </c>
      <c r="I162" s="37">
        <v>1491.15</v>
      </c>
      <c r="J162" s="37">
        <v>60621.77</v>
      </c>
      <c r="K162" s="38">
        <f t="shared" si="10"/>
        <v>5.6864041382141794E-2</v>
      </c>
      <c r="L162" s="38">
        <f t="shared" si="11"/>
        <v>-2.1523819940753301E-2</v>
      </c>
    </row>
    <row r="163" spans="1:12">
      <c r="A163" s="41" t="s">
        <v>253</v>
      </c>
      <c r="B163" s="37">
        <v>646.20000000000005</v>
      </c>
      <c r="C163" s="37">
        <v>35962.93</v>
      </c>
      <c r="D163" s="38">
        <f t="shared" si="8"/>
        <v>1.6498858697433318E-2</v>
      </c>
      <c r="E163" s="38">
        <f t="shared" si="9"/>
        <v>-6.160259352824376E-3</v>
      </c>
      <c r="H163" s="41" t="s">
        <v>254</v>
      </c>
      <c r="I163" s="37">
        <v>1578.4</v>
      </c>
      <c r="J163" s="37">
        <v>59330.9</v>
      </c>
      <c r="K163" s="38">
        <f t="shared" si="10"/>
        <v>-9.8686058602577495E-3</v>
      </c>
      <c r="L163" s="38">
        <f t="shared" si="11"/>
        <v>2.5148118089846305E-2</v>
      </c>
    </row>
    <row r="164" spans="1:12">
      <c r="A164" s="41" t="s">
        <v>255</v>
      </c>
      <c r="B164" s="37">
        <v>656.95</v>
      </c>
      <c r="C164" s="37">
        <v>35742.07</v>
      </c>
      <c r="D164" s="38">
        <f t="shared" si="8"/>
        <v>6.2215678682744809E-3</v>
      </c>
      <c r="E164" s="38">
        <f t="shared" si="9"/>
        <v>9.3193556181251063E-3</v>
      </c>
      <c r="H164" s="41" t="s">
        <v>256</v>
      </c>
      <c r="I164" s="37">
        <v>1562.9</v>
      </c>
      <c r="J164" s="37">
        <v>60841.88</v>
      </c>
      <c r="K164" s="38">
        <f t="shared" si="10"/>
        <v>-1.2879307399167646E-2</v>
      </c>
      <c r="L164" s="38">
        <f t="shared" si="11"/>
        <v>-2.6197184312291063E-3</v>
      </c>
    </row>
    <row r="165" spans="1:12">
      <c r="A165" s="41">
        <v>43556</v>
      </c>
      <c r="B165" s="37">
        <v>661.05</v>
      </c>
      <c r="C165" s="37">
        <v>36076.720000000001</v>
      </c>
      <c r="D165" s="38">
        <f t="shared" si="8"/>
        <v>3.3397176207898678E-2</v>
      </c>
      <c r="E165" s="38">
        <f t="shared" si="9"/>
        <v>-1.0634357507715521E-2</v>
      </c>
      <c r="H165" s="41" t="s">
        <v>257</v>
      </c>
      <c r="I165" s="37">
        <v>1542.9</v>
      </c>
      <c r="J165" s="37">
        <v>60682.7</v>
      </c>
      <c r="K165" s="38">
        <f t="shared" si="10"/>
        <v>-6.7307477434378907E-3</v>
      </c>
      <c r="L165" s="38">
        <f t="shared" si="11"/>
        <v>5.2573452277064718E-3</v>
      </c>
    </row>
    <row r="166" spans="1:12">
      <c r="A166" s="41">
        <v>43770</v>
      </c>
      <c r="B166" s="37">
        <v>683.5</v>
      </c>
      <c r="C166" s="37">
        <v>35695.1</v>
      </c>
      <c r="D166" s="38">
        <f t="shared" si="8"/>
        <v>6.7118401793620747E-2</v>
      </c>
      <c r="E166" s="38">
        <f t="shared" si="9"/>
        <v>8.7788099773767857E-3</v>
      </c>
      <c r="H166" s="41">
        <v>45413</v>
      </c>
      <c r="I166" s="37">
        <v>1532.55</v>
      </c>
      <c r="J166" s="37">
        <v>61002.57</v>
      </c>
      <c r="K166" s="38">
        <f t="shared" si="10"/>
        <v>5.1007781706808815E-2</v>
      </c>
      <c r="L166" s="38">
        <f t="shared" si="11"/>
        <v>-2.554608419389421E-2</v>
      </c>
    </row>
    <row r="167" spans="1:12">
      <c r="A167" s="41" t="s">
        <v>258</v>
      </c>
      <c r="B167" s="37">
        <v>730.95</v>
      </c>
      <c r="C167" s="37">
        <v>36009.839999999997</v>
      </c>
      <c r="D167" s="38">
        <f t="shared" si="8"/>
        <v>-8.2118666080529591E-4</v>
      </c>
      <c r="E167" s="38">
        <f t="shared" si="9"/>
        <v>1.0408615383108588E-2</v>
      </c>
      <c r="H167" s="41">
        <v>45627</v>
      </c>
      <c r="I167" s="37">
        <v>1612.75</v>
      </c>
      <c r="J167" s="37">
        <v>59463.93</v>
      </c>
      <c r="K167" s="38">
        <f t="shared" si="10"/>
        <v>3.4343762572020729E-2</v>
      </c>
      <c r="L167" s="38">
        <f t="shared" si="11"/>
        <v>5.7857394682447067E-3</v>
      </c>
    </row>
    <row r="168" spans="1:12">
      <c r="A168" s="41" t="s">
        <v>259</v>
      </c>
      <c r="B168" s="37">
        <v>730.35</v>
      </c>
      <c r="C168" s="37">
        <v>36386.61</v>
      </c>
      <c r="D168" s="38">
        <f t="shared" si="8"/>
        <v>3.5905430157561327E-2</v>
      </c>
      <c r="E168" s="38">
        <f t="shared" si="9"/>
        <v>-9.9727184599966798E-3</v>
      </c>
      <c r="H168" s="41" t="s">
        <v>260</v>
      </c>
      <c r="I168" s="37">
        <v>1669.1</v>
      </c>
      <c r="J168" s="37">
        <v>59808.97</v>
      </c>
      <c r="K168" s="38">
        <f t="shared" si="10"/>
        <v>1.4424256391293773E-2</v>
      </c>
      <c r="L168" s="38">
        <f t="shared" si="11"/>
        <v>-1.1330485647361747E-2</v>
      </c>
    </row>
    <row r="169" spans="1:12">
      <c r="A169" s="41">
        <v>43467</v>
      </c>
      <c r="B169" s="37">
        <v>757.05</v>
      </c>
      <c r="C169" s="37">
        <v>36025.54</v>
      </c>
      <c r="D169" s="38">
        <f t="shared" si="8"/>
        <v>5.0726417280959092E-3</v>
      </c>
      <c r="E169" s="38">
        <f t="shared" si="9"/>
        <v>1.2246244050301822E-2</v>
      </c>
      <c r="H169" s="41">
        <v>45324</v>
      </c>
      <c r="I169" s="37">
        <v>1693.35</v>
      </c>
      <c r="J169" s="37">
        <v>59135.13</v>
      </c>
      <c r="K169" s="38">
        <f t="shared" si="10"/>
        <v>-1.4274486288121868E-2</v>
      </c>
      <c r="L169" s="38">
        <f t="shared" si="11"/>
        <v>-1.9556306608734229E-2</v>
      </c>
    </row>
    <row r="170" spans="1:12">
      <c r="A170" s="41">
        <v>43679</v>
      </c>
      <c r="B170" s="37">
        <v>760.9</v>
      </c>
      <c r="C170" s="37">
        <v>36469.43</v>
      </c>
      <c r="D170" s="38">
        <f t="shared" si="8"/>
        <v>-2.5220087730341578E-2</v>
      </c>
      <c r="E170" s="38">
        <f t="shared" si="9"/>
        <v>2.110499714370005E-3</v>
      </c>
      <c r="H170" s="41">
        <v>45537</v>
      </c>
      <c r="I170" s="37">
        <v>1669.35</v>
      </c>
      <c r="J170" s="37">
        <v>57989.9</v>
      </c>
      <c r="K170" s="38">
        <f t="shared" si="10"/>
        <v>1.9164039475853094E-2</v>
      </c>
      <c r="L170" s="38">
        <f t="shared" si="11"/>
        <v>-8.0127163294939525E-3</v>
      </c>
    </row>
    <row r="171" spans="1:12">
      <c r="A171" s="41" t="s">
        <v>261</v>
      </c>
      <c r="B171" s="37">
        <v>741.95</v>
      </c>
      <c r="C171" s="37">
        <v>36546.480000000003</v>
      </c>
      <c r="D171" s="38">
        <f t="shared" si="8"/>
        <v>-9.4793857641387088E-3</v>
      </c>
      <c r="E171" s="38">
        <f t="shared" si="9"/>
        <v>-2.0387012966615138E-2</v>
      </c>
      <c r="H171" s="41" t="s">
        <v>262</v>
      </c>
      <c r="I171" s="37">
        <v>1701.65</v>
      </c>
      <c r="J171" s="37">
        <v>57527.1</v>
      </c>
      <c r="K171" s="38">
        <f t="shared" si="10"/>
        <v>-1.4681335178952423E-2</v>
      </c>
      <c r="L171" s="38">
        <f t="shared" si="11"/>
        <v>2.5137563640063327E-2</v>
      </c>
    </row>
    <row r="172" spans="1:12">
      <c r="A172" s="41" t="s">
        <v>263</v>
      </c>
      <c r="B172" s="37">
        <v>734.95</v>
      </c>
      <c r="C172" s="37">
        <v>35808.949999999997</v>
      </c>
      <c r="D172" s="38">
        <f t="shared" si="8"/>
        <v>9.4119935074834515E-3</v>
      </c>
      <c r="E172" s="38">
        <f t="shared" si="9"/>
        <v>1.7446886370926587E-3</v>
      </c>
      <c r="H172" s="41" t="s">
        <v>264</v>
      </c>
      <c r="I172" s="37">
        <v>1676.85</v>
      </c>
      <c r="J172" s="37">
        <v>58991.519999999997</v>
      </c>
      <c r="K172" s="38">
        <f t="shared" si="10"/>
        <v>-3.6684646721147414E-2</v>
      </c>
      <c r="L172" s="38">
        <f t="shared" si="11"/>
        <v>1.4163142056203974E-2</v>
      </c>
    </row>
    <row r="173" spans="1:12">
      <c r="A173" s="41">
        <v>43468</v>
      </c>
      <c r="B173" s="37">
        <v>741.9</v>
      </c>
      <c r="C173" s="37">
        <v>35871.480000000003</v>
      </c>
      <c r="D173" s="38">
        <f t="shared" si="8"/>
        <v>-4.0645099532239638E-2</v>
      </c>
      <c r="E173" s="38">
        <f t="shared" si="9"/>
        <v>5.3473186328205271E-3</v>
      </c>
      <c r="H173" s="41">
        <v>45476</v>
      </c>
      <c r="I173" s="37">
        <v>1616.45</v>
      </c>
      <c r="J173" s="37">
        <v>59832.97</v>
      </c>
      <c r="K173" s="38">
        <f t="shared" si="10"/>
        <v>1.0798609756651228E-2</v>
      </c>
      <c r="L173" s="38">
        <f t="shared" si="11"/>
        <v>9.9453714903105506E-3</v>
      </c>
    </row>
    <row r="174" spans="1:12">
      <c r="A174" s="41">
        <v>43680</v>
      </c>
      <c r="B174" s="37">
        <v>712.35</v>
      </c>
      <c r="C174" s="37">
        <v>36063.81</v>
      </c>
      <c r="D174" s="38">
        <f t="shared" si="8"/>
        <v>8.6659288570152624E-3</v>
      </c>
      <c r="E174" s="38">
        <f t="shared" si="9"/>
        <v>1.6708108345985403E-2</v>
      </c>
      <c r="H174" s="41" t="s">
        <v>265</v>
      </c>
      <c r="I174" s="37">
        <v>1634</v>
      </c>
      <c r="J174" s="37">
        <v>60431</v>
      </c>
      <c r="K174" s="38">
        <f t="shared" si="10"/>
        <v>-7.9683225171491276E-2</v>
      </c>
      <c r="L174" s="38">
        <f t="shared" si="11"/>
        <v>-1.2923245198187409E-2</v>
      </c>
    </row>
    <row r="175" spans="1:12">
      <c r="A175" s="41" t="s">
        <v>266</v>
      </c>
      <c r="B175" s="37">
        <v>718.55</v>
      </c>
      <c r="C175" s="37">
        <v>36671.43</v>
      </c>
      <c r="D175" s="38">
        <f t="shared" si="8"/>
        <v>3.3595332643167865E-2</v>
      </c>
      <c r="E175" s="38">
        <f t="shared" si="9"/>
        <v>3.6227977235964805E-2</v>
      </c>
      <c r="H175" s="41" t="s">
        <v>267</v>
      </c>
      <c r="I175" s="37">
        <v>1508.85</v>
      </c>
      <c r="J175" s="37">
        <v>59655.06</v>
      </c>
      <c r="K175" s="38">
        <f t="shared" si="10"/>
        <v>-7.1835088912036195E-3</v>
      </c>
      <c r="L175" s="38">
        <f t="shared" si="11"/>
        <v>2.4136472997902173E-2</v>
      </c>
    </row>
    <row r="176" spans="1:12">
      <c r="A176" s="41" t="s">
        <v>268</v>
      </c>
      <c r="B176" s="37">
        <v>743.1</v>
      </c>
      <c r="C176" s="37">
        <v>38024.32</v>
      </c>
      <c r="D176" s="38">
        <f t="shared" si="8"/>
        <v>1.0087764398290467E-3</v>
      </c>
      <c r="E176" s="38">
        <f t="shared" si="9"/>
        <v>3.6826913976498103E-3</v>
      </c>
      <c r="H176" s="41" t="s">
        <v>269</v>
      </c>
      <c r="I176" s="37">
        <v>1498.05</v>
      </c>
      <c r="J176" s="37">
        <v>61112.44</v>
      </c>
      <c r="K176" s="38">
        <f t="shared" si="10"/>
        <v>-1.2730467679929065E-2</v>
      </c>
      <c r="L176" s="38">
        <f t="shared" si="11"/>
        <v>-9.5197775026960101E-4</v>
      </c>
    </row>
    <row r="177" spans="1:12">
      <c r="A177" s="41" t="s">
        <v>270</v>
      </c>
      <c r="B177" s="37">
        <v>743.85</v>
      </c>
      <c r="C177" s="37">
        <v>38164.61</v>
      </c>
      <c r="D177" s="38">
        <f t="shared" si="8"/>
        <v>2.0557554615935322E-2</v>
      </c>
      <c r="E177" s="38">
        <f t="shared" si="9"/>
        <v>1.3230708509967822E-2</v>
      </c>
      <c r="H177" s="41">
        <v>45416</v>
      </c>
      <c r="I177" s="37">
        <v>1479.1</v>
      </c>
      <c r="J177" s="37">
        <v>61054.29</v>
      </c>
      <c r="K177" s="38">
        <f t="shared" si="10"/>
        <v>3.8126132186452372E-3</v>
      </c>
      <c r="L177" s="38">
        <f t="shared" si="11"/>
        <v>1.5820815467312149E-2</v>
      </c>
    </row>
    <row r="178" spans="1:12">
      <c r="A178" s="41">
        <v>43589</v>
      </c>
      <c r="B178" s="37">
        <v>759.3</v>
      </c>
      <c r="C178" s="37">
        <v>38672.910000000003</v>
      </c>
      <c r="D178" s="38">
        <f t="shared" si="8"/>
        <v>-1.5328258709130575E-2</v>
      </c>
      <c r="E178" s="38">
        <f t="shared" si="9"/>
        <v>4.8834728678286065E-3</v>
      </c>
      <c r="H178" s="41">
        <v>45630</v>
      </c>
      <c r="I178" s="37">
        <v>1484.75</v>
      </c>
      <c r="J178" s="37">
        <v>62027.9</v>
      </c>
      <c r="K178" s="38">
        <f t="shared" si="10"/>
        <v>-5.077057143209783E-2</v>
      </c>
      <c r="L178" s="38">
        <f t="shared" si="11"/>
        <v>-4.8194312983076398E-3</v>
      </c>
    </row>
    <row r="179" spans="1:12">
      <c r="A179" s="41">
        <v>43803</v>
      </c>
      <c r="B179" s="37">
        <v>747.75</v>
      </c>
      <c r="C179" s="37">
        <v>38862.230000000003</v>
      </c>
      <c r="D179" s="38">
        <f t="shared" si="8"/>
        <v>-4.1923124334836227E-2</v>
      </c>
      <c r="E179" s="38">
        <f t="shared" si="9"/>
        <v>-2.4506210565217092E-3</v>
      </c>
      <c r="H179" s="41" t="s">
        <v>271</v>
      </c>
      <c r="I179" s="37">
        <v>1411.25</v>
      </c>
      <c r="J179" s="37">
        <v>61729.68</v>
      </c>
      <c r="K179" s="38">
        <f t="shared" si="10"/>
        <v>1.3373417684766319E-2</v>
      </c>
      <c r="L179" s="38">
        <f t="shared" si="11"/>
        <v>1.2428743849632896E-2</v>
      </c>
    </row>
    <row r="180" spans="1:12">
      <c r="A180" s="41" t="s">
        <v>272</v>
      </c>
      <c r="B180" s="37">
        <v>717.05</v>
      </c>
      <c r="C180" s="37">
        <v>38767.11</v>
      </c>
      <c r="D180" s="38">
        <f t="shared" si="8"/>
        <v>2.8798251425251276E-2</v>
      </c>
      <c r="E180" s="38">
        <f t="shared" si="9"/>
        <v>9.5799090165391981E-3</v>
      </c>
      <c r="H180" s="41" t="s">
        <v>273</v>
      </c>
      <c r="I180" s="37">
        <v>1430.25</v>
      </c>
      <c r="J180" s="37">
        <v>62501.69</v>
      </c>
      <c r="K180" s="38">
        <f t="shared" si="10"/>
        <v>-9.8014169282873657E-3</v>
      </c>
      <c r="L180" s="38">
        <f t="shared" si="11"/>
        <v>7.2643643117526889E-4</v>
      </c>
    </row>
    <row r="181" spans="1:12">
      <c r="A181" s="41" t="s">
        <v>274</v>
      </c>
      <c r="B181" s="37">
        <v>738</v>
      </c>
      <c r="C181" s="37">
        <v>39140.28</v>
      </c>
      <c r="D181" s="38">
        <f t="shared" si="8"/>
        <v>-1.9705071079332444E-2</v>
      </c>
      <c r="E181" s="38">
        <f t="shared" si="9"/>
        <v>-1.8655478963525813E-3</v>
      </c>
      <c r="H181" s="41">
        <v>45356</v>
      </c>
      <c r="I181" s="37">
        <v>1416.3</v>
      </c>
      <c r="J181" s="37">
        <v>62547.11</v>
      </c>
      <c r="K181" s="38">
        <f t="shared" si="10"/>
        <v>6.053798581392488E-3</v>
      </c>
      <c r="L181" s="38">
        <f t="shared" si="11"/>
        <v>1.2545864267110415E-3</v>
      </c>
    </row>
    <row r="182" spans="1:12">
      <c r="A182" s="41">
        <v>43529</v>
      </c>
      <c r="B182" s="37">
        <v>723.6</v>
      </c>
      <c r="C182" s="37">
        <v>39067.33</v>
      </c>
      <c r="D182" s="38">
        <f t="shared" si="8"/>
        <v>-9.3721398288632105E-3</v>
      </c>
      <c r="E182" s="38">
        <f t="shared" si="9"/>
        <v>-2.6674170144250584E-3</v>
      </c>
      <c r="H182" s="41">
        <v>45570</v>
      </c>
      <c r="I182" s="37">
        <v>1424.9</v>
      </c>
      <c r="J182" s="37">
        <v>62625.63</v>
      </c>
      <c r="K182" s="38">
        <f t="shared" si="10"/>
        <v>2.7821863705524065E-2</v>
      </c>
      <c r="L182" s="38">
        <f t="shared" si="11"/>
        <v>1.2045994960683969E-2</v>
      </c>
    </row>
    <row r="183" spans="1:12">
      <c r="A183" s="41">
        <v>43743</v>
      </c>
      <c r="B183" s="37">
        <v>716.85</v>
      </c>
      <c r="C183" s="37">
        <v>38963.26</v>
      </c>
      <c r="D183" s="38">
        <f t="shared" si="8"/>
        <v>9.7866476068188546E-3</v>
      </c>
      <c r="E183" s="38">
        <f t="shared" si="9"/>
        <v>-3.9265638534755808E-2</v>
      </c>
      <c r="H183" s="41" t="s">
        <v>275</v>
      </c>
      <c r="I183" s="37">
        <v>1465.1</v>
      </c>
      <c r="J183" s="37">
        <v>63384.58</v>
      </c>
      <c r="K183" s="38">
        <f t="shared" si="10"/>
        <v>-4.0534797124099707E-2</v>
      </c>
      <c r="L183" s="38">
        <f t="shared" si="11"/>
        <v>-6.4134017481167378E-3</v>
      </c>
    </row>
    <row r="184" spans="1:12">
      <c r="A184" s="41" t="s">
        <v>276</v>
      </c>
      <c r="B184" s="37">
        <v>723.9</v>
      </c>
      <c r="C184" s="37">
        <v>37462.99</v>
      </c>
      <c r="D184" s="38">
        <f t="shared" si="8"/>
        <v>-2.0515687099042813E-2</v>
      </c>
      <c r="E184" s="38">
        <f t="shared" si="9"/>
        <v>1.2409143744750049E-2</v>
      </c>
      <c r="H184" s="41" t="s">
        <v>277</v>
      </c>
      <c r="I184" s="37">
        <v>1406.9</v>
      </c>
      <c r="J184" s="37">
        <v>62979.37</v>
      </c>
      <c r="K184" s="38">
        <f t="shared" si="10"/>
        <v>8.6229210348266985E-2</v>
      </c>
      <c r="L184" s="38">
        <f t="shared" si="11"/>
        <v>2.7240810364496475E-2</v>
      </c>
    </row>
    <row r="185" spans="1:12">
      <c r="A185" s="41" t="s">
        <v>278</v>
      </c>
      <c r="B185" s="37">
        <v>709.2</v>
      </c>
      <c r="C185" s="37">
        <v>37930.769999999997</v>
      </c>
      <c r="D185" s="38">
        <f t="shared" si="8"/>
        <v>3.9467439622995884E-2</v>
      </c>
      <c r="E185" s="38">
        <f t="shared" si="9"/>
        <v>3.888399048472245E-2</v>
      </c>
      <c r="H185" s="41">
        <v>45479</v>
      </c>
      <c r="I185" s="37">
        <v>1533.6</v>
      </c>
      <c r="J185" s="37">
        <v>64718.559999999998</v>
      </c>
      <c r="K185" s="38">
        <f t="shared" si="10"/>
        <v>-2.9580320469929818E-2</v>
      </c>
      <c r="L185" s="38">
        <f t="shared" si="11"/>
        <v>8.6445812027135145E-3</v>
      </c>
    </row>
    <row r="186" spans="1:12">
      <c r="A186" s="41" t="s">
        <v>279</v>
      </c>
      <c r="B186" s="37">
        <v>737.75</v>
      </c>
      <c r="C186" s="37">
        <v>39434.720000000001</v>
      </c>
      <c r="D186" s="38">
        <f t="shared" si="8"/>
        <v>1.8282159677923727E-3</v>
      </c>
      <c r="E186" s="38">
        <f t="shared" si="9"/>
        <v>7.0621598264854774E-3</v>
      </c>
      <c r="H186" s="41" t="s">
        <v>280</v>
      </c>
      <c r="I186" s="37">
        <v>1488.9</v>
      </c>
      <c r="J186" s="37">
        <v>65280.45</v>
      </c>
      <c r="K186" s="38">
        <f t="shared" si="10"/>
        <v>2.8993293743357153E-2</v>
      </c>
      <c r="L186" s="38">
        <f t="shared" si="11"/>
        <v>1.1884439833594421E-2</v>
      </c>
    </row>
    <row r="187" spans="1:12">
      <c r="A187" s="41">
        <v>43652</v>
      </c>
      <c r="B187" s="37">
        <v>739.1</v>
      </c>
      <c r="C187" s="37">
        <v>39714.199999999997</v>
      </c>
      <c r="D187" s="38">
        <f t="shared" si="8"/>
        <v>1.8248796926712023E-3</v>
      </c>
      <c r="E187" s="38">
        <f t="shared" si="9"/>
        <v>-2.4782535333015125E-3</v>
      </c>
      <c r="H187" s="41" t="s">
        <v>281</v>
      </c>
      <c r="I187" s="37">
        <v>1532.7</v>
      </c>
      <c r="J187" s="37">
        <v>66060.899999999994</v>
      </c>
      <c r="K187" s="38">
        <f t="shared" si="10"/>
        <v>2.1972524099922869E-2</v>
      </c>
      <c r="L187" s="38">
        <f t="shared" si="11"/>
        <v>9.3918992164074896E-3</v>
      </c>
    </row>
    <row r="188" spans="1:12">
      <c r="A188" s="41" t="s">
        <v>282</v>
      </c>
      <c r="B188" s="37">
        <v>740.45</v>
      </c>
      <c r="C188" s="37">
        <v>39615.9</v>
      </c>
      <c r="D188" s="38">
        <f t="shared" si="8"/>
        <v>1.3081728164274657E-2</v>
      </c>
      <c r="E188" s="38">
        <f t="shared" si="9"/>
        <v>-4.1440354281188849E-3</v>
      </c>
      <c r="H188" s="41" t="s">
        <v>283</v>
      </c>
      <c r="I188" s="37">
        <v>1566.75</v>
      </c>
      <c r="J188" s="37">
        <v>66684.259999999995</v>
      </c>
      <c r="K188" s="38">
        <f t="shared" si="10"/>
        <v>5.0225227797679788E-2</v>
      </c>
      <c r="L188" s="38">
        <f t="shared" si="11"/>
        <v>-7.8898693789732632E-3</v>
      </c>
    </row>
    <row r="189" spans="1:12">
      <c r="A189" s="41" t="s">
        <v>284</v>
      </c>
      <c r="B189" s="37">
        <v>750.2</v>
      </c>
      <c r="C189" s="37">
        <v>39452.07</v>
      </c>
      <c r="D189" s="38">
        <f t="shared" si="8"/>
        <v>-2.4559323686475409E-2</v>
      </c>
      <c r="E189" s="38">
        <f t="shared" si="9"/>
        <v>-6.550341705920614E-3</v>
      </c>
      <c r="H189" s="41">
        <v>45419</v>
      </c>
      <c r="I189" s="37">
        <v>1647.45</v>
      </c>
      <c r="J189" s="37">
        <v>66160.2</v>
      </c>
      <c r="K189" s="38">
        <f t="shared" si="10"/>
        <v>3.8287601098707588E-2</v>
      </c>
      <c r="L189" s="38">
        <f t="shared" si="11"/>
        <v>-6.6567606120759033E-3</v>
      </c>
    </row>
    <row r="190" spans="1:12">
      <c r="A190" s="41" t="s">
        <v>285</v>
      </c>
      <c r="B190" s="37">
        <v>732</v>
      </c>
      <c r="C190" s="37">
        <v>39194.49</v>
      </c>
      <c r="D190" s="38">
        <f t="shared" si="8"/>
        <v>-1.9310944913087397E-2</v>
      </c>
      <c r="E190" s="38">
        <f t="shared" si="9"/>
        <v>5.0935907481156929E-3</v>
      </c>
      <c r="H190" s="41">
        <v>45633</v>
      </c>
      <c r="I190" s="37">
        <v>1711.75</v>
      </c>
      <c r="J190" s="37">
        <v>65721.25</v>
      </c>
      <c r="K190" s="38">
        <f t="shared" si="10"/>
        <v>4.6346068990927428E-2</v>
      </c>
      <c r="L190" s="38">
        <f t="shared" si="11"/>
        <v>-6.0834762900730454E-3</v>
      </c>
    </row>
    <row r="191" spans="1:12">
      <c r="A191" s="41">
        <v>43592</v>
      </c>
      <c r="B191" s="37">
        <v>718</v>
      </c>
      <c r="C191" s="37">
        <v>39394.639999999999</v>
      </c>
      <c r="D191" s="38">
        <f t="shared" si="8"/>
        <v>1.2112970390761049E-2</v>
      </c>
      <c r="E191" s="38">
        <f t="shared" si="9"/>
        <v>3.009835365232695E-3</v>
      </c>
      <c r="H191" s="41" t="s">
        <v>286</v>
      </c>
      <c r="I191" s="37">
        <v>1792.95</v>
      </c>
      <c r="J191" s="37">
        <v>65322.65</v>
      </c>
      <c r="K191" s="38">
        <f t="shared" si="10"/>
        <v>4.6824191207377255E-2</v>
      </c>
      <c r="L191" s="38">
        <f t="shared" si="11"/>
        <v>-5.7417251343547379E-3</v>
      </c>
    </row>
    <row r="192" spans="1:12">
      <c r="A192" s="41">
        <v>43806</v>
      </c>
      <c r="B192" s="37">
        <v>726.75</v>
      </c>
      <c r="C192" s="37">
        <v>39513.39</v>
      </c>
      <c r="D192" s="38">
        <f t="shared" si="8"/>
        <v>7.7610602704923967E-2</v>
      </c>
      <c r="E192" s="38">
        <f t="shared" si="9"/>
        <v>-1.9864263998466733E-2</v>
      </c>
      <c r="H192" s="41" t="s">
        <v>287</v>
      </c>
      <c r="I192" s="37">
        <v>1878.9</v>
      </c>
      <c r="J192" s="37">
        <v>64948.66</v>
      </c>
      <c r="K192" s="38">
        <f t="shared" si="10"/>
        <v>-3.1190874738849871E-2</v>
      </c>
      <c r="L192" s="38">
        <f t="shared" si="11"/>
        <v>-9.5736778789569854E-4</v>
      </c>
    </row>
    <row r="193" spans="1:12">
      <c r="A193" s="41" t="s">
        <v>288</v>
      </c>
      <c r="B193" s="37">
        <v>785.4</v>
      </c>
      <c r="C193" s="37">
        <v>38736.230000000003</v>
      </c>
      <c r="D193" s="38">
        <f t="shared" si="8"/>
        <v>2.0351062734940946E-3</v>
      </c>
      <c r="E193" s="38">
        <f t="shared" si="9"/>
        <v>-1.0359589667897217E-2</v>
      </c>
      <c r="H193" s="41">
        <v>45330</v>
      </c>
      <c r="I193" s="37">
        <v>1821.2</v>
      </c>
      <c r="J193" s="37">
        <v>64886.51</v>
      </c>
      <c r="K193" s="38">
        <f t="shared" si="10"/>
        <v>-2.8092438826895074E-2</v>
      </c>
      <c r="L193" s="38">
        <f t="shared" si="11"/>
        <v>7.6861650515381783E-3</v>
      </c>
    </row>
    <row r="194" spans="1:12">
      <c r="A194" s="41" t="s">
        <v>289</v>
      </c>
      <c r="B194" s="37">
        <v>787</v>
      </c>
      <c r="C194" s="37">
        <v>38337.01</v>
      </c>
      <c r="D194" s="38">
        <f t="shared" si="8"/>
        <v>-1.4591325048906461E-2</v>
      </c>
      <c r="E194" s="38">
        <f t="shared" si="9"/>
        <v>-1.1918828890592247E-2</v>
      </c>
      <c r="H194" s="41">
        <v>45543</v>
      </c>
      <c r="I194" s="37">
        <v>1770.75</v>
      </c>
      <c r="J194" s="37">
        <v>65387.16</v>
      </c>
      <c r="K194" s="38">
        <f t="shared" si="10"/>
        <v>4.8608626545260943E-2</v>
      </c>
      <c r="L194" s="38">
        <f t="shared" si="11"/>
        <v>1.8362302133434427E-2</v>
      </c>
    </row>
    <row r="195" spans="1:12">
      <c r="A195" s="41">
        <v>43504</v>
      </c>
      <c r="B195" s="37">
        <v>775.6</v>
      </c>
      <c r="C195" s="37">
        <v>37882.79</v>
      </c>
      <c r="D195" s="38">
        <f t="shared" si="8"/>
        <v>1.8206130646609427E-2</v>
      </c>
      <c r="E195" s="38">
        <f t="shared" si="9"/>
        <v>-2.0388965066633596E-2</v>
      </c>
      <c r="H195" s="41" t="s">
        <v>290</v>
      </c>
      <c r="I195" s="37">
        <v>1858.95</v>
      </c>
      <c r="J195" s="37">
        <v>66598.91</v>
      </c>
      <c r="K195" s="38">
        <f t="shared" si="10"/>
        <v>1.6930709087237886E-3</v>
      </c>
      <c r="L195" s="38">
        <f t="shared" si="11"/>
        <v>1.844358565821614E-2</v>
      </c>
    </row>
    <row r="196" spans="1:12">
      <c r="A196" s="41">
        <v>43716</v>
      </c>
      <c r="B196" s="37">
        <v>789.85</v>
      </c>
      <c r="C196" s="37">
        <v>37118.22</v>
      </c>
      <c r="D196" s="38">
        <f t="shared" ref="D196:D259" si="12">LN(B197/B196)</f>
        <v>-1.9560838462734292E-2</v>
      </c>
      <c r="E196" s="38">
        <f t="shared" ref="E196:E259" si="13">LN(C197/C196)</f>
        <v>1.2414863418611905E-2</v>
      </c>
      <c r="H196" s="41" t="s">
        <v>291</v>
      </c>
      <c r="I196" s="37">
        <v>1862.1</v>
      </c>
      <c r="J196" s="37">
        <v>67838.63</v>
      </c>
      <c r="K196" s="38">
        <f t="shared" si="10"/>
        <v>4.2888490036304544E-2</v>
      </c>
      <c r="L196" s="38">
        <f t="shared" si="11"/>
        <v>-2.7338427923333533E-2</v>
      </c>
    </row>
    <row r="197" spans="1:12">
      <c r="A197" s="41" t="s">
        <v>292</v>
      </c>
      <c r="B197" s="37">
        <v>774.55</v>
      </c>
      <c r="C197" s="37">
        <v>37581.910000000003</v>
      </c>
      <c r="D197" s="38">
        <f t="shared" si="12"/>
        <v>3.5075737783580689E-2</v>
      </c>
      <c r="E197" s="38">
        <f t="shared" si="13"/>
        <v>-6.1810707194824861E-3</v>
      </c>
      <c r="H197" s="41" t="s">
        <v>293</v>
      </c>
      <c r="I197" s="37">
        <v>1943.7</v>
      </c>
      <c r="J197" s="37">
        <v>66009.149999999994</v>
      </c>
      <c r="K197" s="38">
        <f t="shared" ref="K197:K258" si="14">LN(I198/I197)</f>
        <v>-2.1766276481954627E-2</v>
      </c>
      <c r="L197" s="38">
        <f t="shared" ref="L197:L258" si="15">LN(J198/J197)</f>
        <v>-2.741860714512261E-3</v>
      </c>
    </row>
    <row r="198" spans="1:12">
      <c r="A198" s="41" t="s">
        <v>294</v>
      </c>
      <c r="B198" s="37">
        <v>802.2</v>
      </c>
      <c r="C198" s="37">
        <v>37350.33</v>
      </c>
      <c r="D198" s="38">
        <f t="shared" si="12"/>
        <v>1.5707452990221481E-2</v>
      </c>
      <c r="E198" s="38">
        <f t="shared" si="13"/>
        <v>-1.7533384690718586E-2</v>
      </c>
      <c r="H198" s="41">
        <v>45452</v>
      </c>
      <c r="I198" s="37">
        <v>1901.85</v>
      </c>
      <c r="J198" s="37">
        <v>65828.41</v>
      </c>
      <c r="K198" s="38">
        <f t="shared" si="14"/>
        <v>2.1972048384527515E-2</v>
      </c>
      <c r="L198" s="38">
        <f t="shared" si="15"/>
        <v>2.5370196466772271E-3</v>
      </c>
    </row>
    <row r="199" spans="1:12">
      <c r="A199" s="41" t="s">
        <v>295</v>
      </c>
      <c r="B199" s="37">
        <v>814.9</v>
      </c>
      <c r="C199" s="37">
        <v>36701.160000000003</v>
      </c>
      <c r="D199" s="38">
        <f t="shared" si="12"/>
        <v>3.0515040997776809E-2</v>
      </c>
      <c r="E199" s="38">
        <f t="shared" si="13"/>
        <v>1.7063666759210089E-2</v>
      </c>
      <c r="H199" s="41" t="s">
        <v>296</v>
      </c>
      <c r="I199" s="37">
        <v>1944.1</v>
      </c>
      <c r="J199" s="37">
        <v>65995.63</v>
      </c>
      <c r="K199" s="38">
        <f t="shared" si="14"/>
        <v>-1.992351315821091E-2</v>
      </c>
      <c r="L199" s="38">
        <f t="shared" si="15"/>
        <v>4.3410037614732191E-3</v>
      </c>
    </row>
    <row r="200" spans="1:12">
      <c r="A200" s="41">
        <v>43625</v>
      </c>
      <c r="B200" s="37">
        <v>840.15</v>
      </c>
      <c r="C200" s="37">
        <v>37332.79</v>
      </c>
      <c r="D200" s="38">
        <f t="shared" si="12"/>
        <v>-1.2998475866792954E-2</v>
      </c>
      <c r="E200" s="38">
        <f t="shared" si="13"/>
        <v>-9.4469404259905805E-3</v>
      </c>
      <c r="H200" s="41" t="s">
        <v>297</v>
      </c>
      <c r="I200" s="37">
        <v>1905.75</v>
      </c>
      <c r="J200" s="37">
        <v>66282.740000000005</v>
      </c>
      <c r="K200" s="38">
        <f t="shared" si="14"/>
        <v>5.2459017596489209E-4</v>
      </c>
      <c r="L200" s="38">
        <f t="shared" si="15"/>
        <v>-1.3443665110907608E-2</v>
      </c>
    </row>
    <row r="201" spans="1:12">
      <c r="A201" s="41" t="s">
        <v>298</v>
      </c>
      <c r="B201" s="37">
        <v>829.3</v>
      </c>
      <c r="C201" s="37">
        <v>36981.769999999997</v>
      </c>
      <c r="D201" s="38">
        <f t="shared" si="12"/>
        <v>-2.9739694038594638E-2</v>
      </c>
      <c r="E201" s="38">
        <f t="shared" si="13"/>
        <v>1.08441984412216E-2</v>
      </c>
      <c r="H201" s="41" t="s">
        <v>299</v>
      </c>
      <c r="I201" s="37">
        <v>1906.75</v>
      </c>
      <c r="J201" s="37">
        <v>65397.62</v>
      </c>
      <c r="K201" s="38">
        <f t="shared" si="14"/>
        <v>5.9609578061371581E-3</v>
      </c>
      <c r="L201" s="38">
        <f t="shared" si="15"/>
        <v>-2.5002304835988861E-2</v>
      </c>
    </row>
    <row r="202" spans="1:12">
      <c r="A202" s="41" t="s">
        <v>300</v>
      </c>
      <c r="B202" s="37">
        <v>805</v>
      </c>
      <c r="C202" s="37">
        <v>37384.99</v>
      </c>
      <c r="D202" s="38">
        <f t="shared" si="12"/>
        <v>-2.8731815097149609E-2</v>
      </c>
      <c r="E202" s="38">
        <f t="shared" si="13"/>
        <v>1.6701535611367096E-2</v>
      </c>
      <c r="H202" s="41">
        <v>45392</v>
      </c>
      <c r="I202" s="37">
        <v>1918.15</v>
      </c>
      <c r="J202" s="37">
        <v>63782.8</v>
      </c>
      <c r="K202" s="38">
        <f t="shared" si="14"/>
        <v>8.7978248646165217E-3</v>
      </c>
      <c r="L202" s="38">
        <f t="shared" si="15"/>
        <v>9.0674910036062685E-3</v>
      </c>
    </row>
    <row r="203" spans="1:12">
      <c r="A203" s="41" t="s">
        <v>301</v>
      </c>
      <c r="B203" s="37">
        <v>782.2</v>
      </c>
      <c r="C203" s="37">
        <v>38014.620000000003</v>
      </c>
      <c r="D203" s="38">
        <f t="shared" si="12"/>
        <v>1.4280063687437455E-2</v>
      </c>
      <c r="E203" s="38">
        <f t="shared" si="13"/>
        <v>2.103095596144346E-2</v>
      </c>
      <c r="H203" s="41">
        <v>45606</v>
      </c>
      <c r="I203" s="37">
        <v>1935.1</v>
      </c>
      <c r="J203" s="37">
        <v>64363.78</v>
      </c>
      <c r="K203" s="38">
        <f t="shared" si="14"/>
        <v>-2.9100016486440974E-2</v>
      </c>
      <c r="L203" s="38">
        <f t="shared" si="15"/>
        <v>8.3686795188059257E-3</v>
      </c>
    </row>
    <row r="204" spans="1:12">
      <c r="A204" s="41">
        <v>43565</v>
      </c>
      <c r="B204" s="37">
        <v>793.45</v>
      </c>
      <c r="C204" s="37">
        <v>38822.57</v>
      </c>
      <c r="D204" s="38">
        <f t="shared" si="12"/>
        <v>2.6552158343799322E-2</v>
      </c>
      <c r="E204" s="38">
        <f t="shared" si="13"/>
        <v>-3.0049892363703225E-2</v>
      </c>
      <c r="H204" s="41" t="s">
        <v>302</v>
      </c>
      <c r="I204" s="37">
        <v>1879.6</v>
      </c>
      <c r="J204" s="37">
        <v>64904.68</v>
      </c>
      <c r="K204" s="38">
        <f t="shared" si="14"/>
        <v>-9.380956905777723E-3</v>
      </c>
      <c r="L204" s="38">
        <f t="shared" si="15"/>
        <v>1.3620011888307831E-2</v>
      </c>
    </row>
    <row r="205" spans="1:12">
      <c r="A205" s="41">
        <v>43779</v>
      </c>
      <c r="B205" s="37">
        <v>814.8</v>
      </c>
      <c r="C205" s="37">
        <v>37673.31</v>
      </c>
      <c r="D205" s="38">
        <f t="shared" si="12"/>
        <v>-5.9348282780948704E-2</v>
      </c>
      <c r="E205" s="38">
        <f t="shared" si="13"/>
        <v>1.1972904642435122E-2</v>
      </c>
      <c r="H205" s="41" t="s">
        <v>303</v>
      </c>
      <c r="I205" s="37">
        <v>1862.05</v>
      </c>
      <c r="J205" s="37">
        <v>65794.73</v>
      </c>
      <c r="K205" s="38">
        <f t="shared" si="14"/>
        <v>-1.7389387265051459E-2</v>
      </c>
      <c r="L205" s="38">
        <f t="shared" si="15"/>
        <v>2.6609556324181261E-3</v>
      </c>
    </row>
    <row r="206" spans="1:12">
      <c r="A206" s="41" t="s">
        <v>304</v>
      </c>
      <c r="B206" s="37">
        <v>767.85</v>
      </c>
      <c r="C206" s="37">
        <v>38127.08</v>
      </c>
      <c r="D206" s="38">
        <f t="shared" si="12"/>
        <v>-0.18611855898757065</v>
      </c>
      <c r="E206" s="38">
        <f t="shared" si="13"/>
        <v>3.02585058351201E-2</v>
      </c>
      <c r="H206" s="41">
        <v>45515</v>
      </c>
      <c r="I206" s="37">
        <v>1829.95</v>
      </c>
      <c r="J206" s="37">
        <v>65970.039999999994</v>
      </c>
      <c r="K206" s="38">
        <f t="shared" si="14"/>
        <v>1.873109304245512E-2</v>
      </c>
      <c r="L206" s="38">
        <f t="shared" si="15"/>
        <v>2.2648192806238164E-2</v>
      </c>
    </row>
    <row r="207" spans="1:12">
      <c r="A207" s="41" t="s">
        <v>305</v>
      </c>
      <c r="B207" s="37">
        <v>637.45000000000005</v>
      </c>
      <c r="C207" s="37">
        <v>39298.379999999997</v>
      </c>
      <c r="D207" s="38">
        <f t="shared" si="12"/>
        <v>7.6167635947837167E-2</v>
      </c>
      <c r="E207" s="38">
        <f t="shared" si="13"/>
        <v>-6.1340396151672695E-3</v>
      </c>
      <c r="H207" s="41" t="s">
        <v>306</v>
      </c>
      <c r="I207" s="37">
        <v>1864.55</v>
      </c>
      <c r="J207" s="37">
        <v>67481.19</v>
      </c>
      <c r="K207" s="38">
        <f t="shared" si="14"/>
        <v>2.0017658956345614E-2</v>
      </c>
      <c r="L207" s="38">
        <f t="shared" si="15"/>
        <v>3.4151812328123199E-2</v>
      </c>
    </row>
    <row r="208" spans="1:12">
      <c r="A208" s="41">
        <v>43476</v>
      </c>
      <c r="B208" s="37">
        <v>687.9</v>
      </c>
      <c r="C208" s="37">
        <v>39058.06</v>
      </c>
      <c r="D208" s="38">
        <f t="shared" si="12"/>
        <v>2.9012457128436909E-2</v>
      </c>
      <c r="E208" s="38">
        <f t="shared" si="13"/>
        <v>2.7947459508077997E-2</v>
      </c>
      <c r="H208" s="41" t="s">
        <v>307</v>
      </c>
      <c r="I208" s="37">
        <v>1902.25</v>
      </c>
      <c r="J208" s="37">
        <v>69825.600000000006</v>
      </c>
      <c r="K208" s="38">
        <f t="shared" si="14"/>
        <v>-2.3617490911709338E-2</v>
      </c>
      <c r="L208" s="38">
        <f t="shared" si="15"/>
        <v>2.3469446437158942E-2</v>
      </c>
    </row>
    <row r="209" spans="1:12">
      <c r="A209" s="41">
        <v>43688</v>
      </c>
      <c r="B209" s="37">
        <v>708.15</v>
      </c>
      <c r="C209" s="37">
        <v>40165.03</v>
      </c>
      <c r="D209" s="38">
        <f t="shared" si="12"/>
        <v>-6.0196350463195564E-3</v>
      </c>
      <c r="E209" s="38">
        <f t="shared" si="13"/>
        <v>3.9404369409105407E-3</v>
      </c>
      <c r="H209" s="41" t="s">
        <v>308</v>
      </c>
      <c r="I209" s="37">
        <v>1857.85</v>
      </c>
      <c r="J209" s="37">
        <v>71483.75</v>
      </c>
      <c r="K209" s="38">
        <f t="shared" si="14"/>
        <v>3.4154500277336297E-2</v>
      </c>
      <c r="L209" s="38">
        <f t="shared" si="15"/>
        <v>-5.2849288287175949E-3</v>
      </c>
    </row>
    <row r="210" spans="1:12">
      <c r="A210" s="41" t="s">
        <v>309</v>
      </c>
      <c r="B210" s="37">
        <v>703.9</v>
      </c>
      <c r="C210" s="37">
        <v>40323.61</v>
      </c>
      <c r="D210" s="38">
        <f t="shared" si="12"/>
        <v>-1.5317742772634861E-2</v>
      </c>
      <c r="E210" s="38">
        <f t="shared" si="13"/>
        <v>8.2002674391901554E-4</v>
      </c>
      <c r="H210" s="41">
        <v>45455</v>
      </c>
      <c r="I210" s="37">
        <v>1922.4</v>
      </c>
      <c r="J210" s="37">
        <v>71106.960000000006</v>
      </c>
      <c r="K210" s="38">
        <f t="shared" si="14"/>
        <v>3.9422763868697967E-2</v>
      </c>
      <c r="L210" s="38">
        <f t="shared" si="15"/>
        <v>1.5812285902705621E-2</v>
      </c>
    </row>
    <row r="211" spans="1:12">
      <c r="A211" s="41" t="s">
        <v>310</v>
      </c>
      <c r="B211" s="37">
        <v>693.2</v>
      </c>
      <c r="C211" s="37">
        <v>40356.69</v>
      </c>
      <c r="D211" s="38">
        <f t="shared" si="12"/>
        <v>4.5338496576498482E-3</v>
      </c>
      <c r="E211" s="38">
        <f t="shared" si="13"/>
        <v>6.7396715179001541E-5</v>
      </c>
      <c r="H211" s="41" t="s">
        <v>311</v>
      </c>
      <c r="I211" s="37">
        <v>1999.7</v>
      </c>
      <c r="J211" s="37">
        <v>72240.259999999995</v>
      </c>
      <c r="K211" s="38">
        <f t="shared" si="14"/>
        <v>-3.9552818101496315E-2</v>
      </c>
      <c r="L211" s="38">
        <f t="shared" si="15"/>
        <v>-2.9682606949545587E-3</v>
      </c>
    </row>
    <row r="212" spans="1:12">
      <c r="A212" s="41" t="s">
        <v>312</v>
      </c>
      <c r="B212" s="37">
        <v>696.35</v>
      </c>
      <c r="C212" s="37">
        <v>40359.410000000003</v>
      </c>
      <c r="D212" s="38">
        <f t="shared" si="12"/>
        <v>2.6569985555249385E-2</v>
      </c>
      <c r="E212" s="38">
        <f t="shared" si="13"/>
        <v>1.0705777269387861E-2</v>
      </c>
      <c r="H212" s="41" t="s">
        <v>313</v>
      </c>
      <c r="I212" s="37">
        <v>1922.15</v>
      </c>
      <c r="J212" s="37">
        <v>72026.149999999994</v>
      </c>
      <c r="K212" s="38">
        <f t="shared" si="14"/>
        <v>-2.8133077504570903E-3</v>
      </c>
      <c r="L212" s="38">
        <f t="shared" si="15"/>
        <v>7.5010068524194954E-3</v>
      </c>
    </row>
    <row r="213" spans="1:12">
      <c r="A213" s="41">
        <v>43628</v>
      </c>
      <c r="B213" s="37">
        <v>715.1</v>
      </c>
      <c r="C213" s="37">
        <v>40793.81</v>
      </c>
      <c r="D213" s="38">
        <f t="shared" si="12"/>
        <v>-5.3281113148808436E-3</v>
      </c>
      <c r="E213" s="38">
        <f t="shared" si="13"/>
        <v>-8.5836190105494058E-3</v>
      </c>
      <c r="H213" s="41" t="s">
        <v>314</v>
      </c>
      <c r="I213" s="37">
        <v>1916.75</v>
      </c>
      <c r="J213" s="37">
        <v>72568.45</v>
      </c>
      <c r="K213" s="38">
        <f t="shared" si="14"/>
        <v>1.1412392051744765E-2</v>
      </c>
      <c r="L213" s="38">
        <f t="shared" si="15"/>
        <v>-1.2273425338412519E-2</v>
      </c>
    </row>
    <row r="214" spans="1:12">
      <c r="A214" s="41" t="s">
        <v>315</v>
      </c>
      <c r="B214" s="37">
        <v>711.3</v>
      </c>
      <c r="C214" s="37">
        <v>40445.15</v>
      </c>
      <c r="D214" s="38">
        <f t="shared" si="12"/>
        <v>2.8071289084701766E-2</v>
      </c>
      <c r="E214" s="38">
        <f t="shared" si="13"/>
        <v>1.3862132729673127E-2</v>
      </c>
      <c r="H214" s="41">
        <v>45717</v>
      </c>
      <c r="I214" s="37">
        <v>1938.75</v>
      </c>
      <c r="J214" s="37">
        <v>71683.23</v>
      </c>
      <c r="K214" s="38">
        <f t="shared" si="14"/>
        <v>1.4440684154794428E-2</v>
      </c>
      <c r="L214" s="38">
        <f t="shared" si="15"/>
        <v>-1.3801779515794177E-2</v>
      </c>
    </row>
    <row r="215" spans="1:12">
      <c r="A215" s="41" t="s">
        <v>316</v>
      </c>
      <c r="B215" s="37">
        <v>731.55</v>
      </c>
      <c r="C215" s="37">
        <v>41009.71</v>
      </c>
      <c r="D215" s="38">
        <f t="shared" si="12"/>
        <v>7.3544764585957234E-3</v>
      </c>
      <c r="E215" s="38">
        <f t="shared" si="13"/>
        <v>1.6249477006151643E-2</v>
      </c>
      <c r="H215" s="41">
        <v>45931</v>
      </c>
      <c r="I215" s="37">
        <v>1966.95</v>
      </c>
      <c r="J215" s="37">
        <v>70700.67</v>
      </c>
      <c r="K215" s="38">
        <f t="shared" si="14"/>
        <v>-8.0150748792820442E-2</v>
      </c>
      <c r="L215" s="38">
        <f t="shared" si="15"/>
        <v>1.9399668388420131E-2</v>
      </c>
    </row>
    <row r="216" spans="1:12">
      <c r="A216" s="41" t="s">
        <v>317</v>
      </c>
      <c r="B216" s="37">
        <v>736.95</v>
      </c>
      <c r="C216" s="37">
        <v>41681.54</v>
      </c>
      <c r="D216" s="38">
        <f t="shared" si="12"/>
        <v>1.2205552920993939E-2</v>
      </c>
      <c r="E216" s="38">
        <f t="shared" si="13"/>
        <v>-2.5559524575079653E-3</v>
      </c>
      <c r="H216" s="41" t="s">
        <v>318</v>
      </c>
      <c r="I216" s="37">
        <v>1815.45</v>
      </c>
      <c r="J216" s="37">
        <v>72085.63</v>
      </c>
      <c r="K216" s="38">
        <f t="shared" si="14"/>
        <v>3.251525975639593E-2</v>
      </c>
      <c r="L216" s="38">
        <f t="shared" si="15"/>
        <v>-6.8226347520909348E-3</v>
      </c>
    </row>
    <row r="217" spans="1:12">
      <c r="A217" s="41">
        <v>43891</v>
      </c>
      <c r="B217" s="37">
        <v>746</v>
      </c>
      <c r="C217" s="37">
        <v>41575.14</v>
      </c>
      <c r="D217" s="38">
        <f t="shared" si="12"/>
        <v>-1.0578544223664001E-2</v>
      </c>
      <c r="E217" s="38">
        <f t="shared" si="13"/>
        <v>-2.6621001454150335E-3</v>
      </c>
      <c r="H217" s="41" t="s">
        <v>319</v>
      </c>
      <c r="I217" s="37">
        <v>1875.45</v>
      </c>
      <c r="J217" s="37">
        <v>71595.490000000005</v>
      </c>
      <c r="K217" s="38">
        <f t="shared" si="14"/>
        <v>1.4924465315164797E-2</v>
      </c>
      <c r="L217" s="38">
        <f t="shared" si="15"/>
        <v>1.1542104357736515E-2</v>
      </c>
    </row>
    <row r="218" spans="1:12">
      <c r="A218" s="41">
        <v>44105</v>
      </c>
      <c r="B218" s="37">
        <v>738.15</v>
      </c>
      <c r="C218" s="37">
        <v>41464.61</v>
      </c>
      <c r="D218" s="38">
        <f t="shared" si="12"/>
        <v>3.9447345591605065E-2</v>
      </c>
      <c r="E218" s="38">
        <f t="shared" si="13"/>
        <v>3.2531441391303192E-3</v>
      </c>
      <c r="H218" s="41">
        <v>45840</v>
      </c>
      <c r="I218" s="37">
        <v>1903.65</v>
      </c>
      <c r="J218" s="37">
        <v>72426.64</v>
      </c>
      <c r="K218" s="38">
        <f t="shared" si="14"/>
        <v>-2.5133967557262358E-2</v>
      </c>
      <c r="L218" s="38">
        <f t="shared" si="15"/>
        <v>9.8395072202479613E-3</v>
      </c>
    </row>
    <row r="219" spans="1:12">
      <c r="A219" s="41" t="s">
        <v>320</v>
      </c>
      <c r="B219" s="37">
        <v>767.85</v>
      </c>
      <c r="C219" s="37">
        <v>41599.72</v>
      </c>
      <c r="D219" s="38">
        <f t="shared" si="12"/>
        <v>1.9218958634813144E-2</v>
      </c>
      <c r="E219" s="38">
        <f t="shared" si="13"/>
        <v>8.274620859234947E-3</v>
      </c>
      <c r="H219" s="41" t="s">
        <v>321</v>
      </c>
      <c r="I219" s="37">
        <v>1856.4</v>
      </c>
      <c r="J219" s="37">
        <v>73142.8</v>
      </c>
      <c r="K219" s="38">
        <f t="shared" si="14"/>
        <v>-2.2553660668069627E-2</v>
      </c>
      <c r="L219" s="38">
        <f t="shared" si="15"/>
        <v>1.3263476751940336E-2</v>
      </c>
    </row>
    <row r="220" spans="1:12">
      <c r="A220" s="41" t="s">
        <v>322</v>
      </c>
      <c r="B220" s="37">
        <v>782.75</v>
      </c>
      <c r="C220" s="37">
        <v>41945.37</v>
      </c>
      <c r="D220" s="38">
        <f t="shared" si="12"/>
        <v>-8.5964091093216292E-3</v>
      </c>
      <c r="E220" s="38">
        <f t="shared" si="13"/>
        <v>-7.9508730148763335E-3</v>
      </c>
      <c r="H220" s="41" t="s">
        <v>323</v>
      </c>
      <c r="I220" s="37">
        <v>1815</v>
      </c>
      <c r="J220" s="37">
        <v>74119.39</v>
      </c>
      <c r="K220" s="38">
        <f t="shared" si="14"/>
        <v>-7.2718812456512433E-2</v>
      </c>
      <c r="L220" s="38">
        <f t="shared" si="15"/>
        <v>-2.0114219144585919E-2</v>
      </c>
    </row>
    <row r="221" spans="1:12">
      <c r="A221" s="41">
        <v>43832.708333333336</v>
      </c>
      <c r="B221" s="37">
        <v>776.05</v>
      </c>
      <c r="C221" s="37">
        <v>41613.19</v>
      </c>
      <c r="D221" s="38">
        <f t="shared" si="12"/>
        <v>1.6094251389803832E-3</v>
      </c>
      <c r="E221" s="38">
        <f t="shared" si="13"/>
        <v>-4.6171434649827051E-2</v>
      </c>
      <c r="H221" s="41" t="s">
        <v>324</v>
      </c>
      <c r="I221" s="37">
        <v>1687.7</v>
      </c>
      <c r="J221" s="37">
        <v>72643.429999999993</v>
      </c>
      <c r="K221" s="38">
        <f t="shared" si="14"/>
        <v>-1.0077956806379107E-3</v>
      </c>
      <c r="L221" s="38">
        <f t="shared" si="15"/>
        <v>2.5916429085196396E-3</v>
      </c>
    </row>
    <row r="222" spans="1:12">
      <c r="A222" s="41">
        <v>44014</v>
      </c>
      <c r="B222" s="37">
        <v>777.3</v>
      </c>
      <c r="C222" s="37">
        <v>39735.53</v>
      </c>
      <c r="D222" s="38">
        <f t="shared" si="12"/>
        <v>1.1702771450477673E-2</v>
      </c>
      <c r="E222" s="38">
        <f t="shared" si="13"/>
        <v>3.4780101944479475E-2</v>
      </c>
      <c r="H222" s="41">
        <v>45841</v>
      </c>
      <c r="I222" s="37">
        <v>1686</v>
      </c>
      <c r="J222" s="37">
        <v>72831.94</v>
      </c>
      <c r="K222" s="38">
        <f t="shared" si="14"/>
        <v>-6.5028953756423633E-2</v>
      </c>
      <c r="L222" s="38">
        <f t="shared" si="15"/>
        <v>1.1187877429784811E-2</v>
      </c>
    </row>
    <row r="223" spans="1:12">
      <c r="A223" s="41" t="s">
        <v>325</v>
      </c>
      <c r="B223" s="37">
        <v>786.45</v>
      </c>
      <c r="C223" s="37">
        <v>41141.85</v>
      </c>
      <c r="D223" s="38">
        <f t="shared" si="12"/>
        <v>1.3325531103563571E-2</v>
      </c>
      <c r="E223" s="38">
        <f t="shared" si="13"/>
        <v>2.8128799284793155E-3</v>
      </c>
      <c r="H223" s="41" t="s">
        <v>326</v>
      </c>
      <c r="I223" s="37">
        <v>1579.85</v>
      </c>
      <c r="J223" s="37">
        <v>73651.350000000006</v>
      </c>
      <c r="K223" s="38">
        <f t="shared" si="14"/>
        <v>8.0065993223146347E-3</v>
      </c>
      <c r="L223" s="38">
        <f t="shared" si="15"/>
        <v>8.0713316519291697E-3</v>
      </c>
    </row>
    <row r="224" spans="1:12">
      <c r="A224" s="41" t="s">
        <v>327</v>
      </c>
      <c r="B224" s="37">
        <v>797</v>
      </c>
      <c r="C224" s="37">
        <v>41257.74</v>
      </c>
      <c r="D224" s="38">
        <f t="shared" si="12"/>
        <v>-8.5484084900230739E-2</v>
      </c>
      <c r="E224" s="38">
        <f t="shared" si="13"/>
        <v>-2.1259810215145756E-3</v>
      </c>
      <c r="H224" s="41" t="s">
        <v>328</v>
      </c>
      <c r="I224" s="37">
        <v>1592.55</v>
      </c>
      <c r="J224" s="37">
        <v>74248.22</v>
      </c>
      <c r="K224" s="38">
        <f t="shared" si="14"/>
        <v>-1.3846958726110923E-2</v>
      </c>
      <c r="L224" s="38">
        <f t="shared" si="15"/>
        <v>-4.4715876406362821E-5</v>
      </c>
    </row>
    <row r="225" spans="1:12">
      <c r="A225" s="41" t="s">
        <v>329</v>
      </c>
      <c r="B225" s="37">
        <v>731.7</v>
      </c>
      <c r="C225" s="37">
        <v>41170.120000000003</v>
      </c>
      <c r="D225" s="38">
        <f t="shared" si="12"/>
        <v>9.8596657705973447E-3</v>
      </c>
      <c r="E225" s="38">
        <f t="shared" si="13"/>
        <v>-7.2333614018274608E-2</v>
      </c>
      <c r="H225" s="41" t="s">
        <v>330</v>
      </c>
      <c r="I225" s="37">
        <v>1570.65</v>
      </c>
      <c r="J225" s="37">
        <v>74244.899999999994</v>
      </c>
      <c r="K225" s="38">
        <f t="shared" si="14"/>
        <v>-7.8788705905252318E-2</v>
      </c>
      <c r="L225" s="38">
        <f t="shared" si="15"/>
        <v>-1.5700378766694965E-2</v>
      </c>
    </row>
    <row r="226" spans="1:12">
      <c r="A226" s="41">
        <v>43985</v>
      </c>
      <c r="B226" s="37">
        <v>738.95</v>
      </c>
      <c r="C226" s="37">
        <v>38297.29</v>
      </c>
      <c r="D226" s="38">
        <f t="shared" si="12"/>
        <v>-0.14009693318296304</v>
      </c>
      <c r="E226" s="38">
        <f t="shared" si="13"/>
        <v>-1.8997088020914939E-2</v>
      </c>
      <c r="H226" s="41">
        <v>45751</v>
      </c>
      <c r="I226" s="37">
        <v>1451.65</v>
      </c>
      <c r="J226" s="37">
        <v>73088.33</v>
      </c>
      <c r="K226" s="38">
        <f t="shared" si="14"/>
        <v>-2.9501283143551982E-2</v>
      </c>
      <c r="L226" s="38">
        <f t="shared" si="15"/>
        <v>8.7432323908502949E-3</v>
      </c>
    </row>
    <row r="227" spans="1:12">
      <c r="A227" s="41" t="s">
        <v>331</v>
      </c>
      <c r="B227" s="37">
        <v>642.35</v>
      </c>
      <c r="C227" s="37">
        <v>37576.620000000003</v>
      </c>
      <c r="D227" s="38">
        <f t="shared" si="12"/>
        <v>-9.3179657331649415E-2</v>
      </c>
      <c r="E227" s="38">
        <f t="shared" si="13"/>
        <v>-9.6982616613757761E-2</v>
      </c>
      <c r="H227" s="41">
        <v>45965</v>
      </c>
      <c r="I227" s="37">
        <v>1409.45</v>
      </c>
      <c r="J227" s="37">
        <v>73730.16</v>
      </c>
      <c r="K227" s="38">
        <f t="shared" si="14"/>
        <v>7.1051395602493806E-3</v>
      </c>
      <c r="L227" s="38">
        <f t="shared" si="15"/>
        <v>2.0051723319029261E-3</v>
      </c>
    </row>
    <row r="228" spans="1:12">
      <c r="A228" s="41" t="s">
        <v>332</v>
      </c>
      <c r="B228" s="37">
        <v>585.20000000000005</v>
      </c>
      <c r="C228" s="37">
        <v>34103.480000000003</v>
      </c>
      <c r="D228" s="38">
        <f t="shared" si="12"/>
        <v>0.10916393649520253</v>
      </c>
      <c r="E228" s="38">
        <f t="shared" si="13"/>
        <v>-0.13100731461698584</v>
      </c>
      <c r="H228" s="41" t="s">
        <v>333</v>
      </c>
      <c r="I228" s="37">
        <v>1419.5</v>
      </c>
      <c r="J228" s="37">
        <v>73878.149999999994</v>
      </c>
      <c r="K228" s="38">
        <f t="shared" si="14"/>
        <v>4.1872516850340234E-2</v>
      </c>
      <c r="L228" s="38">
        <f t="shared" si="15"/>
        <v>-1.6564570104864309E-2</v>
      </c>
    </row>
    <row r="229" spans="1:12">
      <c r="A229" s="41" t="s">
        <v>334</v>
      </c>
      <c r="B229" s="37">
        <v>652.70000000000005</v>
      </c>
      <c r="C229" s="37">
        <v>29915.96</v>
      </c>
      <c r="D229" s="38">
        <f t="shared" si="12"/>
        <v>-0.10830989254543509</v>
      </c>
      <c r="E229" s="38">
        <f t="shared" si="13"/>
        <v>-3.3607061751377296E-3</v>
      </c>
      <c r="H229" s="41" t="s">
        <v>335</v>
      </c>
      <c r="I229" s="37">
        <v>1480.2</v>
      </c>
      <c r="J229" s="37">
        <v>72664.47</v>
      </c>
      <c r="K229" s="38">
        <f t="shared" si="14"/>
        <v>1.781098305451986E-2</v>
      </c>
      <c r="L229" s="38">
        <f t="shared" si="15"/>
        <v>3.7092519622804826E-2</v>
      </c>
    </row>
    <row r="230" spans="1:12">
      <c r="A230" s="41">
        <v>43894</v>
      </c>
      <c r="B230" s="37">
        <v>585.70000000000005</v>
      </c>
      <c r="C230" s="37">
        <v>29815.59</v>
      </c>
      <c r="D230" s="38">
        <f t="shared" si="12"/>
        <v>8.2783854768995774E-2</v>
      </c>
      <c r="E230" s="38">
        <f t="shared" si="13"/>
        <v>-7.7543590674344742E-2</v>
      </c>
      <c r="H230" s="41">
        <v>45693</v>
      </c>
      <c r="I230" s="37">
        <v>1506.8</v>
      </c>
      <c r="J230" s="37">
        <v>75410.39</v>
      </c>
      <c r="K230" s="38">
        <f t="shared" si="14"/>
        <v>5.3078557509439776E-4</v>
      </c>
      <c r="L230" s="38">
        <f t="shared" si="15"/>
        <v>-1.9402945290099886E-2</v>
      </c>
    </row>
    <row r="231" spans="1:12">
      <c r="A231" s="41">
        <v>44078</v>
      </c>
      <c r="B231" s="37">
        <v>636.25</v>
      </c>
      <c r="C231" s="37">
        <v>27590.95</v>
      </c>
      <c r="D231" s="38">
        <f t="shared" si="12"/>
        <v>-1.1857846450783503E-2</v>
      </c>
      <c r="E231" s="38">
        <f t="shared" si="13"/>
        <v>0.1216352054043397</v>
      </c>
      <c r="H231" s="41">
        <v>45905</v>
      </c>
      <c r="I231" s="37">
        <v>1507.6</v>
      </c>
      <c r="J231" s="37">
        <v>73961.31</v>
      </c>
      <c r="K231" s="38">
        <f t="shared" si="14"/>
        <v>5.3152138761683093E-2</v>
      </c>
      <c r="L231" s="38">
        <f t="shared" si="15"/>
        <v>3.6273014930687734E-2</v>
      </c>
    </row>
    <row r="232" spans="1:12">
      <c r="A232" s="41" t="s">
        <v>336</v>
      </c>
      <c r="B232" s="37">
        <v>628.75</v>
      </c>
      <c r="C232" s="37">
        <v>31159.62</v>
      </c>
      <c r="D232" s="38">
        <f t="shared" si="12"/>
        <v>4.547120991136832E-2</v>
      </c>
      <c r="E232" s="38">
        <f t="shared" si="13"/>
        <v>1.3677069035205349E-2</v>
      </c>
      <c r="H232" s="41" t="s">
        <v>337</v>
      </c>
      <c r="I232" s="37">
        <v>1589.9</v>
      </c>
      <c r="J232" s="37">
        <v>76693.36</v>
      </c>
      <c r="K232" s="38">
        <f t="shared" si="14"/>
        <v>-1.5913100874110582E-2</v>
      </c>
      <c r="L232" s="38">
        <f t="shared" si="15"/>
        <v>3.8963877716148934E-3</v>
      </c>
    </row>
    <row r="233" spans="1:12">
      <c r="A233" s="41" t="s">
        <v>338</v>
      </c>
      <c r="B233" s="37">
        <v>658</v>
      </c>
      <c r="C233" s="37">
        <v>31588.720000000001</v>
      </c>
      <c r="D233" s="38">
        <f t="shared" si="12"/>
        <v>8.3776667671188368E-2</v>
      </c>
      <c r="E233" s="38">
        <f t="shared" si="13"/>
        <v>-8.3127266582514233E-3</v>
      </c>
      <c r="H233" s="41" t="s">
        <v>339</v>
      </c>
      <c r="I233" s="37">
        <v>1564.8</v>
      </c>
      <c r="J233" s="37">
        <v>76992.77</v>
      </c>
      <c r="K233" s="38">
        <f t="shared" si="14"/>
        <v>-1.3429258612972362E-3</v>
      </c>
      <c r="L233" s="38">
        <f t="shared" si="15"/>
        <v>2.8161658095932677E-3</v>
      </c>
    </row>
    <row r="234" spans="1:12">
      <c r="A234" s="41" t="s">
        <v>340</v>
      </c>
      <c r="B234" s="37">
        <v>715.5</v>
      </c>
      <c r="C234" s="37">
        <v>31327.22</v>
      </c>
      <c r="D234" s="38">
        <f t="shared" si="12"/>
        <v>-5.9454796196545132E-2</v>
      </c>
      <c r="E234" s="38">
        <f t="shared" si="13"/>
        <v>7.3533181202077469E-2</v>
      </c>
      <c r="H234" s="41" t="s">
        <v>341</v>
      </c>
      <c r="I234" s="37">
        <v>1562.7</v>
      </c>
      <c r="J234" s="37">
        <v>77209.899999999994</v>
      </c>
      <c r="K234" s="38">
        <f t="shared" si="14"/>
        <v>7.0366227115796086E-4</v>
      </c>
      <c r="L234" s="38">
        <f t="shared" si="15"/>
        <v>2.3334383313502897E-2</v>
      </c>
    </row>
    <row r="235" spans="1:12">
      <c r="A235" s="41">
        <v>44048</v>
      </c>
      <c r="B235" s="37">
        <v>674.2</v>
      </c>
      <c r="C235" s="37">
        <v>33717.620000000003</v>
      </c>
      <c r="D235" s="38">
        <f t="shared" si="12"/>
        <v>-3.3022223997910195E-2</v>
      </c>
      <c r="E235" s="38">
        <f t="shared" si="13"/>
        <v>-6.3513075107675773E-2</v>
      </c>
      <c r="H235" s="41">
        <v>45814</v>
      </c>
      <c r="I235" s="37">
        <v>1563.8</v>
      </c>
      <c r="J235" s="37">
        <v>79032.73</v>
      </c>
      <c r="K235" s="38">
        <f t="shared" si="14"/>
        <v>2.4134091937890855E-2</v>
      </c>
      <c r="L235" s="38">
        <f t="shared" si="15"/>
        <v>1.2122063306362285E-2</v>
      </c>
    </row>
    <row r="236" spans="1:12">
      <c r="A236" s="41" t="s">
        <v>342</v>
      </c>
      <c r="B236" s="37">
        <v>652.29999999999995</v>
      </c>
      <c r="C236" s="37">
        <v>31642.7</v>
      </c>
      <c r="D236" s="38">
        <f t="shared" si="12"/>
        <v>5.9587029298672718E-2</v>
      </c>
      <c r="E236" s="38">
        <f t="shared" si="13"/>
        <v>-1.7372648110025708E-2</v>
      </c>
      <c r="H236" s="41" t="s">
        <v>343</v>
      </c>
      <c r="I236" s="37">
        <v>1602</v>
      </c>
      <c r="J236" s="37">
        <v>79996.600000000006</v>
      </c>
      <c r="K236" s="38">
        <f t="shared" si="14"/>
        <v>1.2961823693531736E-2</v>
      </c>
      <c r="L236" s="38">
        <f t="shared" si="15"/>
        <v>6.5132702459547399E-3</v>
      </c>
    </row>
    <row r="237" spans="1:12">
      <c r="A237" s="41" t="s">
        <v>344</v>
      </c>
      <c r="B237" s="37">
        <v>692.35</v>
      </c>
      <c r="C237" s="37">
        <v>31097.73</v>
      </c>
      <c r="D237" s="38">
        <f t="shared" si="12"/>
        <v>-1.9517843330530526E-3</v>
      </c>
      <c r="E237" s="38">
        <f t="shared" si="13"/>
        <v>-1.3765404264200993E-2</v>
      </c>
      <c r="H237" s="41" t="s">
        <v>345</v>
      </c>
      <c r="I237" s="37">
        <v>1622.9</v>
      </c>
      <c r="J237" s="37">
        <v>80519.34</v>
      </c>
      <c r="K237" s="38">
        <f t="shared" si="14"/>
        <v>-9.223501582924629E-3</v>
      </c>
      <c r="L237" s="38">
        <f t="shared" si="15"/>
        <v>1.0589361394518053E-3</v>
      </c>
    </row>
    <row r="238" spans="1:12">
      <c r="A238" s="41" t="s">
        <v>346</v>
      </c>
      <c r="B238" s="37">
        <v>691</v>
      </c>
      <c r="C238" s="37">
        <v>30672.59</v>
      </c>
      <c r="D238" s="38">
        <f t="shared" si="12"/>
        <v>1.7999123466594776E-2</v>
      </c>
      <c r="E238" s="38">
        <f t="shared" si="13"/>
        <v>5.5532551553095749E-2</v>
      </c>
      <c r="H238" s="41" t="s">
        <v>347</v>
      </c>
      <c r="I238" s="37">
        <v>1608</v>
      </c>
      <c r="J238" s="37">
        <v>80604.649999999994</v>
      </c>
      <c r="K238" s="38">
        <f t="shared" si="14"/>
        <v>2.0131809281925105E-2</v>
      </c>
      <c r="L238" s="38">
        <f t="shared" si="15"/>
        <v>8.9920554569146906E-3</v>
      </c>
    </row>
    <row r="239" spans="1:12">
      <c r="A239" s="41">
        <v>43957</v>
      </c>
      <c r="B239" s="37">
        <v>703.55</v>
      </c>
      <c r="C239" s="37">
        <v>32424.1</v>
      </c>
      <c r="D239" s="38">
        <f t="shared" si="12"/>
        <v>-1.648073989155378E-2</v>
      </c>
      <c r="E239" s="38">
        <f t="shared" si="13"/>
        <v>5.5871299840122346E-2</v>
      </c>
      <c r="H239" s="41">
        <v>45754</v>
      </c>
      <c r="I239" s="37">
        <v>1640.7</v>
      </c>
      <c r="J239" s="37">
        <v>81332.72</v>
      </c>
      <c r="K239" s="38">
        <f t="shared" si="14"/>
        <v>-2.831194169212824E-2</v>
      </c>
      <c r="L239" s="38">
        <f t="shared" si="15"/>
        <v>-4.3221052791983464E-3</v>
      </c>
    </row>
    <row r="240" spans="1:12">
      <c r="A240" s="41">
        <v>44171</v>
      </c>
      <c r="B240" s="37">
        <v>692.05</v>
      </c>
      <c r="C240" s="37">
        <v>34287.24</v>
      </c>
      <c r="D240" s="38">
        <f t="shared" si="12"/>
        <v>1.9319433161058722E-2</v>
      </c>
      <c r="E240" s="38">
        <f t="shared" si="13"/>
        <v>-1.4878015313144642E-2</v>
      </c>
      <c r="H240" s="41">
        <v>45968</v>
      </c>
      <c r="I240" s="37">
        <v>1594.9</v>
      </c>
      <c r="J240" s="37">
        <v>80981.95</v>
      </c>
      <c r="K240" s="38">
        <f t="shared" si="14"/>
        <v>-5.5328654191943247E-3</v>
      </c>
      <c r="L240" s="38">
        <f t="shared" si="15"/>
        <v>-1.5882554212860233E-2</v>
      </c>
    </row>
    <row r="241" spans="1:12">
      <c r="A241" s="41" t="s">
        <v>348</v>
      </c>
      <c r="B241" s="37">
        <v>705.55</v>
      </c>
      <c r="C241" s="37">
        <v>33780.89</v>
      </c>
      <c r="D241" s="38">
        <f t="shared" si="12"/>
        <v>5.8692681410276226E-2</v>
      </c>
      <c r="E241" s="38">
        <f t="shared" si="13"/>
        <v>2.7758420373850085E-2</v>
      </c>
      <c r="H241" s="41" t="s">
        <v>349</v>
      </c>
      <c r="I241" s="37">
        <v>1586.1</v>
      </c>
      <c r="J241" s="37">
        <v>79705.91</v>
      </c>
      <c r="K241" s="38">
        <f t="shared" si="14"/>
        <v>-4.5400794471902962E-2</v>
      </c>
      <c r="L241" s="38">
        <f t="shared" si="15"/>
        <v>9.1285440734843615E-3</v>
      </c>
    </row>
    <row r="242" spans="1:12">
      <c r="A242" s="41" t="s">
        <v>350</v>
      </c>
      <c r="B242" s="37">
        <v>748.2</v>
      </c>
      <c r="C242" s="37">
        <v>34731.730000000003</v>
      </c>
      <c r="D242" s="38">
        <f t="shared" si="12"/>
        <v>1.9194447256147159E-2</v>
      </c>
      <c r="E242" s="38">
        <f t="shared" si="13"/>
        <v>1.2575877797937925E-2</v>
      </c>
      <c r="H242" s="41" t="s">
        <v>351</v>
      </c>
      <c r="I242" s="37">
        <v>1515.7</v>
      </c>
      <c r="J242" s="37">
        <v>80436.84</v>
      </c>
      <c r="K242" s="38">
        <f t="shared" si="14"/>
        <v>-3.0887123536695465E-2</v>
      </c>
      <c r="L242" s="38">
        <f t="shared" si="15"/>
        <v>8.0406294775924991E-3</v>
      </c>
    </row>
    <row r="243" spans="1:12">
      <c r="A243" s="41">
        <v>43897</v>
      </c>
      <c r="B243" s="37">
        <v>762.7</v>
      </c>
      <c r="C243" s="37">
        <v>35171.269999999997</v>
      </c>
      <c r="D243" s="38">
        <f t="shared" si="12"/>
        <v>2.4798137119326262E-2</v>
      </c>
      <c r="E243" s="38">
        <f t="shared" si="13"/>
        <v>2.3884205358567907E-2</v>
      </c>
      <c r="H243" s="41">
        <v>45665</v>
      </c>
      <c r="I243" s="37">
        <v>1469.6</v>
      </c>
      <c r="J243" s="37">
        <v>81086.210000000006</v>
      </c>
      <c r="K243" s="38">
        <f t="shared" si="14"/>
        <v>-3.215266421130164E-2</v>
      </c>
      <c r="L243" s="38">
        <f t="shared" si="15"/>
        <v>1.5657028314270249E-2</v>
      </c>
    </row>
    <row r="244" spans="1:12">
      <c r="A244" s="41">
        <v>44111</v>
      </c>
      <c r="B244" s="37">
        <v>781.85</v>
      </c>
      <c r="C244" s="37">
        <v>36021.42</v>
      </c>
      <c r="D244" s="38">
        <f t="shared" si="12"/>
        <v>0.14422574628904727</v>
      </c>
      <c r="E244" s="38">
        <f t="shared" si="13"/>
        <v>1.5779548859702262E-2</v>
      </c>
      <c r="H244" s="41">
        <v>45877</v>
      </c>
      <c r="I244" s="37">
        <v>1423.1</v>
      </c>
      <c r="J244" s="37">
        <v>82365.77</v>
      </c>
      <c r="K244" s="38">
        <f t="shared" si="14"/>
        <v>1.7138499470383661E-2</v>
      </c>
      <c r="L244" s="38">
        <f t="shared" si="15"/>
        <v>-1.4452616808706071E-2</v>
      </c>
    </row>
    <row r="245" spans="1:12">
      <c r="A245" s="41" t="s">
        <v>352</v>
      </c>
      <c r="B245" s="37">
        <v>903.15</v>
      </c>
      <c r="C245" s="37">
        <v>36594.33</v>
      </c>
      <c r="D245" s="38">
        <f t="shared" si="12"/>
        <v>2.157805517473383E-2</v>
      </c>
      <c r="E245" s="38">
        <f t="shared" si="13"/>
        <v>1.1568778504304999E-2</v>
      </c>
      <c r="H245" s="41" t="s">
        <v>353</v>
      </c>
      <c r="I245" s="37">
        <v>1447.7</v>
      </c>
      <c r="J245" s="37">
        <v>81183.929999999993</v>
      </c>
      <c r="K245" s="38">
        <f t="shared" si="14"/>
        <v>2.7120768259786952E-2</v>
      </c>
      <c r="L245" s="38">
        <f t="shared" si="15"/>
        <v>2.0808446692057603E-2</v>
      </c>
    </row>
    <row r="246" spans="1:12">
      <c r="A246" s="41" t="s">
        <v>354</v>
      </c>
      <c r="B246" s="37">
        <v>922.85</v>
      </c>
      <c r="C246" s="37">
        <v>37020.14</v>
      </c>
      <c r="D246" s="38">
        <f t="shared" si="12"/>
        <v>4.5697126459217807E-2</v>
      </c>
      <c r="E246" s="38">
        <f t="shared" si="13"/>
        <v>2.9510435899957017E-2</v>
      </c>
      <c r="H246" s="41" t="s">
        <v>355</v>
      </c>
      <c r="I246" s="37">
        <v>1487.5</v>
      </c>
      <c r="J246" s="37">
        <v>82890.94</v>
      </c>
      <c r="K246" s="38">
        <f t="shared" si="14"/>
        <v>-1.2106603518869012E-2</v>
      </c>
      <c r="L246" s="38">
        <f t="shared" si="15"/>
        <v>1.9750007753195461E-2</v>
      </c>
    </row>
    <row r="247" spans="1:12">
      <c r="A247" s="41" t="s">
        <v>356</v>
      </c>
      <c r="B247" s="37">
        <v>966</v>
      </c>
      <c r="C247" s="37">
        <v>38128.9</v>
      </c>
      <c r="D247" s="38">
        <f t="shared" si="12"/>
        <v>-1.5754929667119468E-2</v>
      </c>
      <c r="E247" s="38">
        <f t="shared" si="13"/>
        <v>-1.3785246488313781E-2</v>
      </c>
      <c r="H247" s="41" t="s">
        <v>357</v>
      </c>
      <c r="I247" s="37">
        <v>1469.6</v>
      </c>
      <c r="J247" s="37">
        <v>84544.31</v>
      </c>
      <c r="K247" s="38">
        <f t="shared" si="14"/>
        <v>-1.7157788284169501E-2</v>
      </c>
      <c r="L247" s="38">
        <f t="shared" si="15"/>
        <v>1.2080598299912463E-2</v>
      </c>
    </row>
    <row r="248" spans="1:12">
      <c r="A248" s="41">
        <v>44020</v>
      </c>
      <c r="B248" s="37">
        <v>950.9</v>
      </c>
      <c r="C248" s="37">
        <v>37606.89</v>
      </c>
      <c r="D248" s="38">
        <f t="shared" si="12"/>
        <v>2.8353917656867328E-3</v>
      </c>
      <c r="E248" s="38">
        <f t="shared" si="13"/>
        <v>1.1465943502612295E-2</v>
      </c>
      <c r="H248" s="41">
        <v>45786</v>
      </c>
      <c r="I248" s="37">
        <v>1444.6</v>
      </c>
      <c r="J248" s="37">
        <v>85571.85</v>
      </c>
      <c r="K248" s="38">
        <f t="shared" si="14"/>
        <v>5.4555308669462843E-2</v>
      </c>
      <c r="L248" s="38">
        <f t="shared" si="15"/>
        <v>-4.6443752919679344E-2</v>
      </c>
    </row>
    <row r="249" spans="1:12">
      <c r="A249" s="41" t="s">
        <v>358</v>
      </c>
      <c r="B249" s="37">
        <v>953.6</v>
      </c>
      <c r="C249" s="37">
        <v>38040.57</v>
      </c>
      <c r="D249" s="38">
        <f t="shared" si="12"/>
        <v>-5.046268067624384E-3</v>
      </c>
      <c r="E249" s="38">
        <f t="shared" si="13"/>
        <v>-4.3001776927457059E-3</v>
      </c>
      <c r="H249" s="41">
        <v>46000</v>
      </c>
      <c r="I249" s="37">
        <v>1525.6</v>
      </c>
      <c r="J249" s="37">
        <v>81688.45</v>
      </c>
      <c r="K249" s="38">
        <f t="shared" si="14"/>
        <v>9.5245028189404786E-3</v>
      </c>
      <c r="L249" s="38">
        <f t="shared" si="15"/>
        <v>-3.7663668464343338E-3</v>
      </c>
    </row>
    <row r="250" spans="1:12">
      <c r="A250" s="41" t="s">
        <v>359</v>
      </c>
      <c r="B250" s="37">
        <v>948.8</v>
      </c>
      <c r="C250" s="37">
        <v>37877.339999999997</v>
      </c>
      <c r="D250" s="38">
        <f t="shared" si="12"/>
        <v>-1.4384155015205461E-2</v>
      </c>
      <c r="E250" s="38">
        <f t="shared" si="13"/>
        <v>1.460817364858027E-2</v>
      </c>
      <c r="H250" s="41" t="s">
        <v>360</v>
      </c>
      <c r="I250" s="37">
        <v>1540.2</v>
      </c>
      <c r="J250" s="37">
        <v>81381.36</v>
      </c>
      <c r="K250" s="38">
        <f t="shared" si="14"/>
        <v>-6.110763027847306E-2</v>
      </c>
      <c r="L250" s="38">
        <f t="shared" si="15"/>
        <v>-1.9262504763731449E-3</v>
      </c>
    </row>
    <row r="251" spans="1:12">
      <c r="A251" s="41" t="s">
        <v>361</v>
      </c>
      <c r="B251" s="37">
        <v>935.25</v>
      </c>
      <c r="C251" s="37">
        <v>38434.720000000001</v>
      </c>
      <c r="D251" s="38">
        <f t="shared" si="12"/>
        <v>-1.7364543299374847E-2</v>
      </c>
      <c r="E251" s="38">
        <f t="shared" si="13"/>
        <v>2.6511516576725652E-2</v>
      </c>
      <c r="H251" s="41" t="s">
        <v>362</v>
      </c>
      <c r="I251" s="37">
        <v>1448.9</v>
      </c>
      <c r="J251" s="37">
        <v>81224.75</v>
      </c>
      <c r="K251" s="38">
        <f t="shared" si="14"/>
        <v>-1.5886724114963331E-3</v>
      </c>
      <c r="L251" s="38">
        <f t="shared" si="15"/>
        <v>-2.2692794533302384E-2</v>
      </c>
    </row>
    <row r="252" spans="1:12">
      <c r="A252" s="41">
        <v>43930</v>
      </c>
      <c r="B252" s="37">
        <v>919.15</v>
      </c>
      <c r="C252" s="37">
        <v>39467.31</v>
      </c>
      <c r="D252" s="38">
        <f t="shared" si="12"/>
        <v>2.8476064092585802E-2</v>
      </c>
      <c r="E252" s="38">
        <f t="shared" si="13"/>
        <v>-2.8531001088835061E-2</v>
      </c>
      <c r="H252" s="41">
        <v>45726</v>
      </c>
      <c r="I252" s="37">
        <v>1446.6</v>
      </c>
      <c r="J252" s="37">
        <v>79402.289999999994</v>
      </c>
      <c r="K252" s="38">
        <f t="shared" si="14"/>
        <v>4.6133454749097733E-2</v>
      </c>
      <c r="L252" s="38">
        <f t="shared" si="15"/>
        <v>1.0577222348944913E-3</v>
      </c>
    </row>
    <row r="253" spans="1:12">
      <c r="A253" s="41">
        <v>44144</v>
      </c>
      <c r="B253" s="37">
        <v>945.7</v>
      </c>
      <c r="C253" s="37">
        <v>38357.18</v>
      </c>
      <c r="D253" s="38">
        <f t="shared" si="12"/>
        <v>5.7977577018129403E-2</v>
      </c>
      <c r="E253" s="38">
        <f t="shared" si="13"/>
        <v>1.2883453837318006E-2</v>
      </c>
      <c r="H253" s="41">
        <v>45940</v>
      </c>
      <c r="I253" s="37">
        <v>1514.9</v>
      </c>
      <c r="J253" s="37">
        <v>79486.320000000007</v>
      </c>
      <c r="K253" s="38">
        <f t="shared" si="14"/>
        <v>-4.9942719319962151E-2</v>
      </c>
      <c r="L253" s="38">
        <f t="shared" si="15"/>
        <v>-2.4271273502842458E-2</v>
      </c>
    </row>
    <row r="254" spans="1:12">
      <c r="A254" s="41" t="s">
        <v>363</v>
      </c>
      <c r="B254" s="37">
        <v>1002.15</v>
      </c>
      <c r="C254" s="37">
        <v>38854.550000000003</v>
      </c>
      <c r="D254" s="38">
        <f t="shared" si="12"/>
        <v>9.2372528091046388E-3</v>
      </c>
      <c r="E254" s="38">
        <f t="shared" si="13"/>
        <v>-2.2470935561152132E-4</v>
      </c>
      <c r="H254" s="41" t="s">
        <v>364</v>
      </c>
      <c r="I254" s="37">
        <v>1441.1</v>
      </c>
      <c r="J254" s="37">
        <v>77580.31</v>
      </c>
      <c r="K254" s="38">
        <f t="shared" si="14"/>
        <v>5.684995988582249E-2</v>
      </c>
      <c r="L254" s="38">
        <f t="shared" si="15"/>
        <v>1.9615501973531662E-2</v>
      </c>
    </row>
    <row r="255" spans="1:12">
      <c r="A255" s="41" t="s">
        <v>365</v>
      </c>
      <c r="B255" s="37">
        <v>1011.45</v>
      </c>
      <c r="C255" s="37">
        <v>38845.82</v>
      </c>
      <c r="D255" s="38">
        <f t="shared" si="12"/>
        <v>6.1111027501873855E-3</v>
      </c>
      <c r="E255" s="38">
        <f t="shared" si="13"/>
        <v>-3.8233027830159617E-2</v>
      </c>
      <c r="H255" s="41" t="s">
        <v>366</v>
      </c>
      <c r="I255" s="37">
        <v>1525.4</v>
      </c>
      <c r="J255" s="37">
        <v>79117.11</v>
      </c>
      <c r="K255" s="38">
        <f t="shared" si="14"/>
        <v>-2.8661735210324262E-2</v>
      </c>
      <c r="L255" s="38">
        <f t="shared" si="15"/>
        <v>8.629306398012548E-3</v>
      </c>
    </row>
    <row r="256" spans="1:12">
      <c r="A256" s="41">
        <v>43840</v>
      </c>
      <c r="B256" s="37">
        <v>1017.65</v>
      </c>
      <c r="C256" s="37">
        <v>37388.660000000003</v>
      </c>
      <c r="D256" s="38">
        <f t="shared" si="12"/>
        <v>8.3976921313882735E-2</v>
      </c>
      <c r="E256" s="38">
        <f t="shared" si="13"/>
        <v>3.4395919852771829E-2</v>
      </c>
      <c r="H256" s="41" t="s">
        <v>367</v>
      </c>
      <c r="I256" s="37">
        <v>1482.3</v>
      </c>
      <c r="J256" s="37">
        <v>79802.789999999994</v>
      </c>
      <c r="K256" s="38">
        <f t="shared" si="14"/>
        <v>-3.7173507712262954E-3</v>
      </c>
      <c r="L256" s="38">
        <f t="shared" si="15"/>
        <v>2.3607157292395334E-2</v>
      </c>
    </row>
    <row r="257" spans="1:12">
      <c r="A257" s="41">
        <v>44084</v>
      </c>
      <c r="B257" s="37">
        <v>1106.8</v>
      </c>
      <c r="C257" s="37">
        <v>38697.050000000003</v>
      </c>
      <c r="D257" s="38">
        <f t="shared" si="12"/>
        <v>1.8529823464062668E-2</v>
      </c>
      <c r="E257" s="38">
        <f t="shared" si="13"/>
        <v>4.5772897911172762E-2</v>
      </c>
      <c r="H257" s="41">
        <v>45849</v>
      </c>
      <c r="I257" s="37">
        <v>1476.8</v>
      </c>
      <c r="J257" s="37">
        <v>81709.119999999995</v>
      </c>
      <c r="K257" s="38">
        <f t="shared" si="14"/>
        <v>1.7452449951226207E-2</v>
      </c>
      <c r="L257" s="38">
        <f t="shared" si="15"/>
        <v>5.1757220422815938E-3</v>
      </c>
    </row>
    <row r="258" spans="1:12">
      <c r="A258" s="41" t="s">
        <v>368</v>
      </c>
      <c r="B258" s="37">
        <v>1127.5</v>
      </c>
      <c r="C258" s="37">
        <v>40509.49</v>
      </c>
      <c r="D258" s="38">
        <f t="shared" si="12"/>
        <v>-4.4444517604240183E-3</v>
      </c>
      <c r="E258" s="38">
        <f t="shared" si="13"/>
        <v>-1.3082404088148715E-2</v>
      </c>
      <c r="H258" s="41" t="s">
        <v>369</v>
      </c>
      <c r="I258" s="37">
        <v>1502.8</v>
      </c>
      <c r="J258" s="37">
        <v>82133.119999999995</v>
      </c>
      <c r="K258" s="38">
        <f t="shared" si="14"/>
        <v>2.7693875632031933E-2</v>
      </c>
      <c r="L258" s="38">
        <f t="shared" si="15"/>
        <v>-5.1099455870830646E-2</v>
      </c>
    </row>
    <row r="259" spans="1:12">
      <c r="A259" s="41" t="s">
        <v>370</v>
      </c>
      <c r="B259" s="37">
        <v>1122.5</v>
      </c>
      <c r="C259" s="37">
        <v>39982.980000000003</v>
      </c>
      <c r="D259" s="38">
        <f t="shared" si="12"/>
        <v>-5.6723554913379798E-2</v>
      </c>
      <c r="E259" s="38">
        <f t="shared" si="13"/>
        <v>1.7417900051580597E-2</v>
      </c>
      <c r="H259" s="41" t="s">
        <v>371</v>
      </c>
      <c r="I259" s="37">
        <v>1545</v>
      </c>
      <c r="J259" s="37">
        <v>78041.59</v>
      </c>
      <c r="K259" s="38"/>
      <c r="L259" s="38"/>
    </row>
    <row r="260" spans="1:12">
      <c r="A260" s="41" t="s">
        <v>372</v>
      </c>
      <c r="B260" s="37">
        <v>1060.5999999999999</v>
      </c>
      <c r="C260" s="37">
        <v>40685.5</v>
      </c>
      <c r="D260" s="38">
        <f t="shared" ref="D260:D323" si="16">LN(B261/B260)</f>
        <v>4.7999643192934274E-2</v>
      </c>
      <c r="E260" s="38">
        <f t="shared" ref="E260:E323" si="17">LN(C261/C260)</f>
        <v>-2.6687405429141459E-2</v>
      </c>
      <c r="J260" s="1"/>
    </row>
    <row r="261" spans="1:12">
      <c r="A261" s="41">
        <v>43993</v>
      </c>
      <c r="B261" s="37">
        <v>1112.75</v>
      </c>
      <c r="C261" s="37">
        <v>39614.07</v>
      </c>
      <c r="D261" s="38">
        <f t="shared" si="16"/>
        <v>-8.4834225668742151E-3</v>
      </c>
      <c r="E261" s="38">
        <f t="shared" si="17"/>
        <v>5.5935822565724311E-2</v>
      </c>
    </row>
    <row r="262" spans="1:12">
      <c r="A262" s="41" t="s">
        <v>373</v>
      </c>
      <c r="B262" s="37">
        <v>1103.3499999999999</v>
      </c>
      <c r="C262" s="37">
        <v>41893.06</v>
      </c>
      <c r="D262" s="38">
        <f t="shared" si="16"/>
        <v>-3.0408265426276277E-3</v>
      </c>
      <c r="E262" s="38">
        <f t="shared" si="17"/>
        <v>4.6389729549001689E-2</v>
      </c>
    </row>
    <row r="263" spans="1:12">
      <c r="A263" s="41" t="s">
        <v>64</v>
      </c>
      <c r="B263" s="37">
        <v>1100</v>
      </c>
      <c r="C263" s="37">
        <v>43882.25</v>
      </c>
      <c r="D263" s="38">
        <f t="shared" si="16"/>
        <v>3.1014053529169541E-2</v>
      </c>
      <c r="E263" s="38">
        <f t="shared" si="17"/>
        <v>6.0766747137139896E-3</v>
      </c>
    </row>
    <row r="264" spans="1:12">
      <c r="A264" s="41">
        <v>43933</v>
      </c>
      <c r="B264" s="37">
        <v>1134.6500000000001</v>
      </c>
      <c r="C264" s="37">
        <v>44149.72</v>
      </c>
      <c r="D264" s="38">
        <f t="shared" si="16"/>
        <v>2.4850594463623608E-2</v>
      </c>
      <c r="E264" s="38">
        <f t="shared" si="17"/>
        <v>2.0842121853978275E-2</v>
      </c>
    </row>
    <row r="265" spans="1:12">
      <c r="A265" s="41">
        <v>44147</v>
      </c>
      <c r="B265" s="37">
        <v>1163.2</v>
      </c>
      <c r="C265" s="37">
        <v>45079.55</v>
      </c>
      <c r="D265" s="38">
        <f t="shared" si="16"/>
        <v>2.2610397974550261E-2</v>
      </c>
      <c r="E265" s="38">
        <f t="shared" si="17"/>
        <v>2.2362767849799219E-2</v>
      </c>
    </row>
    <row r="266" spans="1:12">
      <c r="A266" s="41" t="s">
        <v>66</v>
      </c>
      <c r="B266" s="37">
        <v>1189.8</v>
      </c>
      <c r="C266" s="37">
        <v>46099.01</v>
      </c>
      <c r="D266" s="38">
        <f t="shared" si="16"/>
        <v>3.8135585520060904E-2</v>
      </c>
      <c r="E266" s="38">
        <f t="shared" si="17"/>
        <v>1.8519394050161855E-2</v>
      </c>
    </row>
    <row r="267" spans="1:12">
      <c r="A267" s="41" t="s">
        <v>68</v>
      </c>
      <c r="B267" s="37">
        <v>1236.05</v>
      </c>
      <c r="C267" s="37">
        <v>46960.69</v>
      </c>
      <c r="D267" s="38">
        <f t="shared" si="16"/>
        <v>1.9547988768470886E-2</v>
      </c>
      <c r="E267" s="38">
        <f t="shared" si="17"/>
        <v>2.7359568668748125E-4</v>
      </c>
    </row>
    <row r="268" spans="1:12">
      <c r="A268" s="41">
        <v>44197</v>
      </c>
      <c r="B268" s="37">
        <v>1260.45</v>
      </c>
      <c r="C268" s="37">
        <v>46973.54</v>
      </c>
      <c r="D268" s="38">
        <f t="shared" si="16"/>
        <v>4.016010706933297E-2</v>
      </c>
      <c r="E268" s="38">
        <f t="shared" si="17"/>
        <v>1.888323101439841E-2</v>
      </c>
    </row>
    <row r="269" spans="1:12">
      <c r="A269" s="41">
        <v>44409</v>
      </c>
      <c r="B269" s="37">
        <v>1312.1</v>
      </c>
      <c r="C269" s="37">
        <v>47868.98</v>
      </c>
      <c r="D269" s="38">
        <f t="shared" si="16"/>
        <v>2.4727930512082965E-2</v>
      </c>
      <c r="E269" s="38">
        <f t="shared" si="17"/>
        <v>1.890415150951141E-2</v>
      </c>
    </row>
    <row r="270" spans="1:12">
      <c r="A270" s="41" t="s">
        <v>70</v>
      </c>
      <c r="B270" s="37">
        <v>1344.95</v>
      </c>
      <c r="C270" s="37">
        <v>48782.51</v>
      </c>
      <c r="D270" s="38">
        <f t="shared" si="16"/>
        <v>-3.0530964217816798E-3</v>
      </c>
      <c r="E270" s="38">
        <f t="shared" si="17"/>
        <v>5.1557519562825428E-3</v>
      </c>
    </row>
    <row r="271" spans="1:12">
      <c r="A271" s="41" t="s">
        <v>72</v>
      </c>
      <c r="B271" s="37">
        <v>1340.85</v>
      </c>
      <c r="C271" s="37">
        <v>49034.67</v>
      </c>
      <c r="D271" s="38">
        <f t="shared" si="16"/>
        <v>-7.8958784261974085E-2</v>
      </c>
      <c r="E271" s="38">
        <f t="shared" si="17"/>
        <v>-3.1891535846749908E-3</v>
      </c>
    </row>
    <row r="272" spans="1:12">
      <c r="A272" s="41" t="s">
        <v>74</v>
      </c>
      <c r="B272" s="37">
        <v>1239.05</v>
      </c>
      <c r="C272" s="37">
        <v>48878.54</v>
      </c>
      <c r="D272" s="38">
        <f t="shared" si="16"/>
        <v>2.632412122216796E-2</v>
      </c>
      <c r="E272" s="38">
        <f t="shared" si="17"/>
        <v>-5.4503874910152038E-2</v>
      </c>
    </row>
    <row r="273" spans="1:5">
      <c r="A273" s="41">
        <v>44318</v>
      </c>
      <c r="B273" s="37">
        <v>1272.0999999999999</v>
      </c>
      <c r="C273" s="37">
        <v>46285.77</v>
      </c>
      <c r="D273" s="38">
        <f t="shared" si="16"/>
        <v>2.9205375621788075E-2</v>
      </c>
      <c r="E273" s="38">
        <f t="shared" si="17"/>
        <v>9.1715011511437614E-2</v>
      </c>
    </row>
    <row r="274" spans="1:5">
      <c r="A274" s="41">
        <v>44532</v>
      </c>
      <c r="B274" s="37">
        <v>1309.8</v>
      </c>
      <c r="C274" s="37">
        <v>50731.63</v>
      </c>
      <c r="D274" s="38">
        <f t="shared" si="16"/>
        <v>-1.4224990931347326E-2</v>
      </c>
      <c r="E274" s="38">
        <f t="shared" si="17"/>
        <v>1.5892050138031293E-2</v>
      </c>
    </row>
    <row r="275" spans="1:5">
      <c r="A275" s="41" t="s">
        <v>77</v>
      </c>
      <c r="B275" s="37">
        <v>1291.3</v>
      </c>
      <c r="C275" s="37">
        <v>51544.3</v>
      </c>
      <c r="D275" s="38">
        <f t="shared" si="16"/>
        <v>-2.9869390235129408E-2</v>
      </c>
      <c r="E275" s="38">
        <f t="shared" si="17"/>
        <v>-1.2779907554078084E-2</v>
      </c>
    </row>
    <row r="276" spans="1:5">
      <c r="A276" s="41" t="s">
        <v>78</v>
      </c>
      <c r="B276" s="37">
        <v>1253.3</v>
      </c>
      <c r="C276" s="37">
        <v>50889.760000000002</v>
      </c>
      <c r="D276" s="38">
        <f t="shared" si="16"/>
        <v>4.9348533744821434E-2</v>
      </c>
      <c r="E276" s="38">
        <f t="shared" si="17"/>
        <v>-3.5802893400919716E-2</v>
      </c>
    </row>
    <row r="277" spans="1:5">
      <c r="A277" s="41">
        <v>44319</v>
      </c>
      <c r="B277" s="37">
        <v>1316.7</v>
      </c>
      <c r="C277" s="37">
        <v>49099.99</v>
      </c>
      <c r="D277" s="38">
        <f t="shared" si="16"/>
        <v>4.3216027878436689E-2</v>
      </c>
      <c r="E277" s="38">
        <f t="shared" si="17"/>
        <v>2.6237893927816527E-2</v>
      </c>
    </row>
    <row r="278" spans="1:5">
      <c r="A278" s="41">
        <v>44533</v>
      </c>
      <c r="B278" s="37">
        <v>1374.85</v>
      </c>
      <c r="C278" s="37">
        <v>50405.32</v>
      </c>
      <c r="D278" s="38">
        <f t="shared" si="16"/>
        <v>-2.2359626769254258E-2</v>
      </c>
      <c r="E278" s="38">
        <f t="shared" si="17"/>
        <v>7.6437118558148193E-3</v>
      </c>
    </row>
    <row r="279" spans="1:5">
      <c r="A279" s="41" t="s">
        <v>81</v>
      </c>
      <c r="B279" s="37">
        <v>1344.45</v>
      </c>
      <c r="C279" s="37">
        <v>50792.08</v>
      </c>
      <c r="D279" s="38">
        <f t="shared" si="16"/>
        <v>-6.1552429801034828E-3</v>
      </c>
      <c r="E279" s="38">
        <f t="shared" si="17"/>
        <v>-1.8556658282447312E-2</v>
      </c>
    </row>
    <row r="280" spans="1:5">
      <c r="A280" s="41" t="s">
        <v>82</v>
      </c>
      <c r="B280" s="37">
        <v>1336.2</v>
      </c>
      <c r="C280" s="37">
        <v>49858.239999999998</v>
      </c>
      <c r="D280" s="38">
        <f t="shared" si="16"/>
        <v>3.6014769036889854E-2</v>
      </c>
      <c r="E280" s="38">
        <f t="shared" si="17"/>
        <v>-1.7190026181343038E-2</v>
      </c>
    </row>
    <row r="281" spans="1:5">
      <c r="A281" s="41">
        <v>44200</v>
      </c>
      <c r="B281" s="37">
        <v>1385.2</v>
      </c>
      <c r="C281" s="37">
        <v>49008.5</v>
      </c>
      <c r="D281" s="38">
        <f t="shared" si="16"/>
        <v>3.9527480995590253E-2</v>
      </c>
      <c r="E281" s="38">
        <f t="shared" si="17"/>
        <v>2.0625675078810114E-2</v>
      </c>
    </row>
    <row r="282" spans="1:5">
      <c r="A282" s="41">
        <v>44443</v>
      </c>
      <c r="B282" s="37">
        <v>1441.05</v>
      </c>
      <c r="C282" s="37">
        <v>50029.83</v>
      </c>
      <c r="D282" s="38">
        <f t="shared" si="16"/>
        <v>-6.2493495208656866E-2</v>
      </c>
      <c r="E282" s="38">
        <f t="shared" si="17"/>
        <v>-8.8036091165222489E-3</v>
      </c>
    </row>
    <row r="283" spans="1:5">
      <c r="A283" s="41" t="s">
        <v>85</v>
      </c>
      <c r="B283" s="37">
        <v>1353.75</v>
      </c>
      <c r="C283" s="37">
        <v>49591.32</v>
      </c>
      <c r="D283" s="38">
        <f t="shared" si="16"/>
        <v>-1.4846508116994473E-2</v>
      </c>
      <c r="E283" s="38">
        <f t="shared" si="17"/>
        <v>-1.5429368403546898E-2</v>
      </c>
    </row>
    <row r="284" spans="1:5">
      <c r="A284" s="41" t="s">
        <v>87</v>
      </c>
      <c r="B284" s="37">
        <v>1333.8</v>
      </c>
      <c r="C284" s="37">
        <v>48832.03</v>
      </c>
      <c r="D284" s="38">
        <f t="shared" si="16"/>
        <v>1.5289623223392043E-2</v>
      </c>
      <c r="E284" s="38">
        <f t="shared" si="17"/>
        <v>-1.9720942445441727E-2</v>
      </c>
    </row>
    <row r="285" spans="1:5">
      <c r="A285" s="41" t="s">
        <v>88</v>
      </c>
      <c r="B285" s="37">
        <v>1354.35</v>
      </c>
      <c r="C285" s="37">
        <v>47878.45</v>
      </c>
      <c r="D285" s="38">
        <f t="shared" si="16"/>
        <v>-1.3299348075725022E-3</v>
      </c>
      <c r="E285" s="38">
        <f t="shared" si="17"/>
        <v>1.8703264533674907E-2</v>
      </c>
    </row>
    <row r="286" spans="1:5">
      <c r="A286" s="41">
        <v>44382</v>
      </c>
      <c r="B286" s="37">
        <v>1352.55</v>
      </c>
      <c r="C286" s="37">
        <v>48782.36</v>
      </c>
      <c r="D286" s="38">
        <f t="shared" si="16"/>
        <v>-2.7090961544840361E-2</v>
      </c>
      <c r="E286" s="38">
        <f t="shared" si="17"/>
        <v>8.6563468161202362E-3</v>
      </c>
    </row>
    <row r="287" spans="1:5">
      <c r="A287" s="41" t="s">
        <v>91</v>
      </c>
      <c r="B287" s="37">
        <v>1316.4</v>
      </c>
      <c r="C287" s="37">
        <v>49206.47</v>
      </c>
      <c r="D287" s="38">
        <f t="shared" si="16"/>
        <v>2.8531644455964962E-2</v>
      </c>
      <c r="E287" s="38">
        <f t="shared" si="17"/>
        <v>-9.6779342704281287E-3</v>
      </c>
    </row>
    <row r="288" spans="1:5">
      <c r="A288" s="41" t="s">
        <v>93</v>
      </c>
      <c r="B288" s="37">
        <v>1354.5</v>
      </c>
      <c r="C288" s="37">
        <v>48732.55</v>
      </c>
      <c r="D288" s="38">
        <f t="shared" si="16"/>
        <v>3.6640506798099458E-2</v>
      </c>
      <c r="E288" s="38">
        <f t="shared" si="17"/>
        <v>3.6427414695754487E-2</v>
      </c>
    </row>
    <row r="289" spans="1:5">
      <c r="A289" s="41" t="s">
        <v>94</v>
      </c>
      <c r="B289" s="37">
        <v>1405.05</v>
      </c>
      <c r="C289" s="37">
        <v>50540.480000000003</v>
      </c>
      <c r="D289" s="38">
        <f t="shared" si="16"/>
        <v>-1.3903545715796285E-2</v>
      </c>
      <c r="E289" s="38">
        <f t="shared" si="17"/>
        <v>1.7308610261440423E-2</v>
      </c>
    </row>
    <row r="290" spans="1:5">
      <c r="A290" s="41">
        <v>44292</v>
      </c>
      <c r="B290" s="37">
        <v>1385.65</v>
      </c>
      <c r="C290" s="37">
        <v>51422.879999999997</v>
      </c>
      <c r="D290" s="38">
        <f t="shared" si="16"/>
        <v>4.3253993135582876E-2</v>
      </c>
      <c r="E290" s="38">
        <f t="shared" si="17"/>
        <v>1.3082698847590717E-2</v>
      </c>
    </row>
    <row r="291" spans="1:5">
      <c r="A291" s="41">
        <v>44506</v>
      </c>
      <c r="B291" s="37">
        <v>1446.9</v>
      </c>
      <c r="C291" s="37">
        <v>52100.05</v>
      </c>
      <c r="D291" s="38">
        <f t="shared" si="16"/>
        <v>3.8239354890752739E-2</v>
      </c>
      <c r="E291" s="38">
        <f t="shared" si="17"/>
        <v>7.1663836379994173E-3</v>
      </c>
    </row>
    <row r="292" spans="1:5">
      <c r="A292" s="41" t="s">
        <v>97</v>
      </c>
      <c r="B292" s="37">
        <v>1503.3</v>
      </c>
      <c r="C292" s="37">
        <v>52474.76</v>
      </c>
      <c r="D292" s="38">
        <f t="shared" si="16"/>
        <v>4.6084515074561232E-2</v>
      </c>
      <c r="E292" s="38">
        <f t="shared" si="17"/>
        <v>-2.486377585409468E-3</v>
      </c>
    </row>
    <row r="293" spans="1:5">
      <c r="A293" s="41" t="s">
        <v>98</v>
      </c>
      <c r="B293" s="37">
        <v>1574.2</v>
      </c>
      <c r="C293" s="37">
        <v>52344.45</v>
      </c>
      <c r="D293" s="38">
        <f t="shared" si="16"/>
        <v>-4.073843953728E-3</v>
      </c>
      <c r="E293" s="38">
        <f t="shared" si="17"/>
        <v>1.1030658302784581E-2</v>
      </c>
    </row>
    <row r="294" spans="1:5">
      <c r="A294" s="41">
        <v>44234</v>
      </c>
      <c r="B294" s="37">
        <v>1567.8</v>
      </c>
      <c r="C294" s="37">
        <v>52925.04</v>
      </c>
      <c r="D294" s="38">
        <f t="shared" si="16"/>
        <v>-3.1302929064738042E-3</v>
      </c>
      <c r="E294" s="38">
        <f t="shared" si="17"/>
        <v>-8.355445849856381E-3</v>
      </c>
    </row>
    <row r="295" spans="1:5">
      <c r="A295" s="41">
        <v>44446</v>
      </c>
      <c r="B295" s="37">
        <v>1562.9</v>
      </c>
      <c r="C295" s="37">
        <v>52484.67</v>
      </c>
      <c r="D295" s="38">
        <f t="shared" si="16"/>
        <v>-4.7781770322288062E-3</v>
      </c>
      <c r="E295" s="38">
        <f t="shared" si="17"/>
        <v>-1.8781199839050186E-3</v>
      </c>
    </row>
    <row r="296" spans="1:5">
      <c r="A296" s="41" t="s">
        <v>101</v>
      </c>
      <c r="B296" s="37">
        <v>1555.45</v>
      </c>
      <c r="C296" s="37">
        <v>52386.19</v>
      </c>
      <c r="D296" s="38">
        <f t="shared" si="16"/>
        <v>2.2252102223997927E-2</v>
      </c>
      <c r="E296" s="38">
        <f t="shared" si="17"/>
        <v>1.4288062450619862E-2</v>
      </c>
    </row>
    <row r="297" spans="1:5">
      <c r="A297" s="41" t="s">
        <v>103</v>
      </c>
      <c r="B297" s="37">
        <v>1590.45</v>
      </c>
      <c r="C297" s="37">
        <v>53140.06</v>
      </c>
      <c r="D297" s="38">
        <f t="shared" si="16"/>
        <v>1.2527694731336496E-2</v>
      </c>
      <c r="E297" s="38">
        <f t="shared" si="17"/>
        <v>-3.0958639207008267E-3</v>
      </c>
    </row>
    <row r="298" spans="1:5">
      <c r="A298" s="41" t="s">
        <v>104</v>
      </c>
      <c r="B298" s="37">
        <v>1610.5</v>
      </c>
      <c r="C298" s="37">
        <v>52975.8</v>
      </c>
      <c r="D298" s="38">
        <f t="shared" si="16"/>
        <v>2.4351802898989361E-2</v>
      </c>
      <c r="E298" s="38">
        <f t="shared" si="17"/>
        <v>-7.3693071764632237E-3</v>
      </c>
    </row>
    <row r="299" spans="1:5">
      <c r="A299" s="41">
        <v>44355</v>
      </c>
      <c r="B299" s="37">
        <v>1650.2</v>
      </c>
      <c r="C299" s="37">
        <v>52586.84</v>
      </c>
      <c r="D299" s="38">
        <f t="shared" si="16"/>
        <v>3.6882600638142492E-2</v>
      </c>
      <c r="E299" s="38">
        <f t="shared" si="17"/>
        <v>3.1647931336112031E-2</v>
      </c>
    </row>
    <row r="300" spans="1:5">
      <c r="A300" s="41" t="s">
        <v>106</v>
      </c>
      <c r="B300" s="37">
        <v>1712.2</v>
      </c>
      <c r="C300" s="37">
        <v>54277.72</v>
      </c>
      <c r="D300" s="38">
        <f t="shared" si="16"/>
        <v>1.2046065288752008E-2</v>
      </c>
      <c r="E300" s="38">
        <f t="shared" si="17"/>
        <v>2.1138642350078229E-2</v>
      </c>
    </row>
    <row r="301" spans="1:5">
      <c r="A301" s="41" t="s">
        <v>108</v>
      </c>
      <c r="B301" s="37">
        <v>1732.95</v>
      </c>
      <c r="C301" s="37">
        <v>55437.29</v>
      </c>
      <c r="D301" s="38">
        <f t="shared" si="16"/>
        <v>-1.4033788831261629E-2</v>
      </c>
      <c r="E301" s="38">
        <f t="shared" si="17"/>
        <v>-1.949505075502967E-3</v>
      </c>
    </row>
    <row r="302" spans="1:5">
      <c r="A302" s="41" t="s">
        <v>109</v>
      </c>
      <c r="B302" s="37">
        <v>1708.8</v>
      </c>
      <c r="C302" s="37">
        <v>55329.32</v>
      </c>
      <c r="D302" s="38">
        <f t="shared" si="16"/>
        <v>-4.7808388586503495E-3</v>
      </c>
      <c r="E302" s="38">
        <f t="shared" si="17"/>
        <v>1.4273390248316297E-2</v>
      </c>
    </row>
    <row r="303" spans="1:5">
      <c r="A303" s="41">
        <v>44264</v>
      </c>
      <c r="B303" s="37">
        <v>1700.65</v>
      </c>
      <c r="C303" s="37">
        <v>56124.72</v>
      </c>
      <c r="D303" s="38">
        <f t="shared" si="16"/>
        <v>-5.3357043088918506E-3</v>
      </c>
      <c r="E303" s="38">
        <f t="shared" si="17"/>
        <v>3.5104664385994584E-2</v>
      </c>
    </row>
    <row r="304" spans="1:5">
      <c r="A304" s="41">
        <v>44448</v>
      </c>
      <c r="B304" s="37">
        <v>1691.6</v>
      </c>
      <c r="C304" s="37">
        <v>58129.95</v>
      </c>
      <c r="D304" s="38">
        <f t="shared" si="16"/>
        <v>-1.7736261833718435E-4</v>
      </c>
      <c r="E304" s="38">
        <f t="shared" si="17"/>
        <v>3.0080319828897873E-3</v>
      </c>
    </row>
    <row r="305" spans="1:5">
      <c r="A305" s="41" t="s">
        <v>112</v>
      </c>
      <c r="B305" s="37">
        <v>1691.3</v>
      </c>
      <c r="C305" s="37">
        <v>58305.07</v>
      </c>
      <c r="D305" s="38">
        <f t="shared" si="16"/>
        <v>4.2001455957538181E-2</v>
      </c>
      <c r="E305" s="38">
        <f t="shared" si="17"/>
        <v>1.2117676124233374E-2</v>
      </c>
    </row>
    <row r="306" spans="1:5">
      <c r="A306" s="41" t="s">
        <v>114</v>
      </c>
      <c r="B306" s="37">
        <v>1763.85</v>
      </c>
      <c r="C306" s="37">
        <v>59015.89</v>
      </c>
      <c r="D306" s="38">
        <f t="shared" si="16"/>
        <v>-5.7583710490768547E-2</v>
      </c>
      <c r="E306" s="38">
        <f t="shared" si="17"/>
        <v>1.7345339754760405E-2</v>
      </c>
    </row>
    <row r="307" spans="1:5">
      <c r="A307" s="41">
        <v>44206</v>
      </c>
      <c r="B307" s="37">
        <v>1665.15</v>
      </c>
      <c r="C307" s="37">
        <v>60048.47</v>
      </c>
      <c r="D307" s="38">
        <f t="shared" si="16"/>
        <v>3.464495203099046E-2</v>
      </c>
      <c r="E307" s="38">
        <f t="shared" si="17"/>
        <v>-2.1595760077127144E-2</v>
      </c>
    </row>
    <row r="308" spans="1:5">
      <c r="A308" s="41">
        <v>44418</v>
      </c>
      <c r="B308" s="37">
        <v>1723.85</v>
      </c>
      <c r="C308" s="37">
        <v>58765.58</v>
      </c>
      <c r="D308" s="38">
        <f t="shared" si="16"/>
        <v>-4.7098586890122725E-3</v>
      </c>
      <c r="E308" s="38">
        <f t="shared" si="17"/>
        <v>2.1772102060472309E-2</v>
      </c>
    </row>
    <row r="309" spans="1:5">
      <c r="A309" s="41" t="s">
        <v>117</v>
      </c>
      <c r="B309" s="37">
        <v>1715.75</v>
      </c>
      <c r="C309" s="37">
        <v>60059.06</v>
      </c>
      <c r="D309" s="38">
        <f t="shared" si="16"/>
        <v>2.3577021880520537E-3</v>
      </c>
      <c r="E309" s="38">
        <f t="shared" si="17"/>
        <v>2.0548490436275806E-2</v>
      </c>
    </row>
    <row r="310" spans="1:5">
      <c r="A310" s="41" t="s">
        <v>119</v>
      </c>
      <c r="B310" s="37">
        <v>1719.8</v>
      </c>
      <c r="C310" s="37">
        <v>61305.95</v>
      </c>
      <c r="D310" s="38">
        <f t="shared" si="16"/>
        <v>-3.0732592387171322E-2</v>
      </c>
      <c r="E310" s="38">
        <f t="shared" si="17"/>
        <v>-7.9315839838350055E-3</v>
      </c>
    </row>
    <row r="311" spans="1:5">
      <c r="A311" s="41" t="s">
        <v>120</v>
      </c>
      <c r="B311" s="37">
        <v>1667.75</v>
      </c>
      <c r="C311" s="37">
        <v>60821.62</v>
      </c>
      <c r="D311" s="38">
        <f t="shared" si="16"/>
        <v>2.4257434864602825E-2</v>
      </c>
      <c r="E311" s="38">
        <f t="shared" si="17"/>
        <v>-2.521915528740358E-2</v>
      </c>
    </row>
    <row r="312" spans="1:5">
      <c r="A312" s="41">
        <v>44297.802083333336</v>
      </c>
      <c r="B312" s="37">
        <v>1708.7</v>
      </c>
      <c r="C312" s="37">
        <v>59306.93</v>
      </c>
      <c r="D312" s="38">
        <f t="shared" si="16"/>
        <v>4.0992870070603371E-2</v>
      </c>
      <c r="E312" s="38">
        <f t="shared" si="17"/>
        <v>1.2744765052250919E-2</v>
      </c>
    </row>
    <row r="313" spans="1:5">
      <c r="A313" s="41">
        <v>44541</v>
      </c>
      <c r="B313" s="37">
        <v>1780.2</v>
      </c>
      <c r="C313" s="37">
        <v>60067.62</v>
      </c>
      <c r="D313" s="38">
        <f t="shared" si="16"/>
        <v>-4.494887141640641E-4</v>
      </c>
      <c r="E313" s="38">
        <f t="shared" si="17"/>
        <v>1.02534712632463E-2</v>
      </c>
    </row>
    <row r="314" spans="1:5">
      <c r="A314" s="41" t="s">
        <v>123</v>
      </c>
      <c r="B314" s="37">
        <v>1779.4</v>
      </c>
      <c r="C314" s="37">
        <v>60686.69</v>
      </c>
      <c r="D314" s="38">
        <f t="shared" si="16"/>
        <v>-5.0571844834070803E-2</v>
      </c>
      <c r="E314" s="38">
        <f t="shared" si="17"/>
        <v>-1.7464812647501382E-2</v>
      </c>
    </row>
    <row r="315" spans="1:5">
      <c r="A315" s="41" t="s">
        <v>124</v>
      </c>
      <c r="B315" s="37">
        <v>1691.65</v>
      </c>
      <c r="C315" s="37">
        <v>59636.01</v>
      </c>
      <c r="D315" s="38">
        <f t="shared" si="16"/>
        <v>2.5619982051410209E-2</v>
      </c>
      <c r="E315" s="38">
        <f t="shared" si="17"/>
        <v>-4.3330258513171571E-2</v>
      </c>
    </row>
    <row r="316" spans="1:5">
      <c r="A316" s="41">
        <v>44267</v>
      </c>
      <c r="B316" s="37">
        <v>1735.55</v>
      </c>
      <c r="C316" s="37">
        <v>57107.15</v>
      </c>
      <c r="D316" s="38">
        <f t="shared" si="16"/>
        <v>1.3563215818651797E-2</v>
      </c>
      <c r="E316" s="38">
        <f t="shared" si="17"/>
        <v>1.0266492075280338E-2</v>
      </c>
    </row>
    <row r="317" spans="1:5">
      <c r="A317" s="41">
        <v>44481</v>
      </c>
      <c r="B317" s="37">
        <v>1759.25</v>
      </c>
      <c r="C317" s="37">
        <v>57696.46</v>
      </c>
      <c r="D317" s="38">
        <f t="shared" si="16"/>
        <v>3.4415843165264082E-2</v>
      </c>
      <c r="E317" s="38">
        <f t="shared" si="17"/>
        <v>1.8719308711628947E-2</v>
      </c>
    </row>
    <row r="318" spans="1:5">
      <c r="A318" s="41" t="s">
        <v>127</v>
      </c>
      <c r="B318" s="37">
        <v>1820.85</v>
      </c>
      <c r="C318" s="37">
        <v>58786.67</v>
      </c>
      <c r="D318" s="38">
        <f t="shared" si="16"/>
        <v>2.3153014907390752E-2</v>
      </c>
      <c r="E318" s="38">
        <f t="shared" si="17"/>
        <v>-3.065791698485534E-2</v>
      </c>
    </row>
    <row r="319" spans="1:5">
      <c r="A319" s="41" t="s">
        <v>129</v>
      </c>
      <c r="B319" s="37">
        <v>1863.5</v>
      </c>
      <c r="C319" s="37">
        <v>57011.74</v>
      </c>
      <c r="D319" s="38">
        <f t="shared" si="16"/>
        <v>1.2929203764221757E-2</v>
      </c>
      <c r="E319" s="38">
        <f t="shared" si="17"/>
        <v>1.9725588278325023E-3</v>
      </c>
    </row>
    <row r="320" spans="1:5">
      <c r="A320" s="41" t="s">
        <v>130</v>
      </c>
      <c r="B320" s="37">
        <v>1887.75</v>
      </c>
      <c r="C320" s="37">
        <v>57124.31</v>
      </c>
      <c r="D320" s="38">
        <f t="shared" si="16"/>
        <v>-3.9685925307417491E-2</v>
      </c>
      <c r="E320" s="38">
        <f t="shared" si="17"/>
        <v>1.9579899327914076E-2</v>
      </c>
    </row>
    <row r="321" spans="1:5">
      <c r="A321" s="41">
        <v>44743</v>
      </c>
      <c r="B321" s="37">
        <v>1814.3</v>
      </c>
      <c r="C321" s="37">
        <v>58253.82</v>
      </c>
      <c r="D321" s="38">
        <f t="shared" si="16"/>
        <v>6.1483440232378325E-2</v>
      </c>
      <c r="E321" s="38">
        <f t="shared" si="17"/>
        <v>2.5269977359026658E-2</v>
      </c>
    </row>
    <row r="322" spans="1:5">
      <c r="A322" s="41" t="s">
        <v>133</v>
      </c>
      <c r="B322" s="37">
        <v>1929.35</v>
      </c>
      <c r="C322" s="37">
        <v>59744.65</v>
      </c>
      <c r="D322" s="38">
        <f t="shared" si="16"/>
        <v>-7.737266340541675E-2</v>
      </c>
      <c r="E322" s="38">
        <f t="shared" si="17"/>
        <v>2.4443778868286584E-2</v>
      </c>
    </row>
    <row r="323" spans="1:5">
      <c r="A323" s="41" t="s">
        <v>135</v>
      </c>
      <c r="B323" s="37">
        <v>1785.7</v>
      </c>
      <c r="C323" s="37">
        <v>61223.03</v>
      </c>
      <c r="D323" s="38">
        <f t="shared" si="16"/>
        <v>-5.7333018714503796E-2</v>
      </c>
      <c r="E323" s="38">
        <f t="shared" si="17"/>
        <v>-3.63560109982023E-2</v>
      </c>
    </row>
    <row r="324" spans="1:5">
      <c r="A324" s="41" t="s">
        <v>136</v>
      </c>
      <c r="B324" s="37">
        <v>1686.2</v>
      </c>
      <c r="C324" s="37">
        <v>59037.18</v>
      </c>
      <c r="D324" s="38">
        <f t="shared" ref="D324:D387" si="18">LN(B325/B324)</f>
        <v>3.2039620883977396E-2</v>
      </c>
      <c r="E324" s="38">
        <f t="shared" ref="E324:E387" si="19">LN(C325/C324)</f>
        <v>-3.160949556713856E-2</v>
      </c>
    </row>
    <row r="325" spans="1:5">
      <c r="A325" s="41">
        <v>44653</v>
      </c>
      <c r="B325" s="37">
        <v>1741.1</v>
      </c>
      <c r="C325" s="37">
        <v>57200.23</v>
      </c>
      <c r="D325" s="38">
        <f t="shared" si="18"/>
        <v>-1.1408230704272437E-2</v>
      </c>
      <c r="E325" s="38">
        <f t="shared" si="19"/>
        <v>2.4941331296696675E-2</v>
      </c>
    </row>
    <row r="326" spans="1:5">
      <c r="A326" s="41">
        <v>44867</v>
      </c>
      <c r="B326" s="37">
        <v>1721.35</v>
      </c>
      <c r="C326" s="37">
        <v>58644.82</v>
      </c>
      <c r="D326" s="38">
        <f t="shared" si="18"/>
        <v>-8.4007144569053262E-3</v>
      </c>
      <c r="E326" s="38">
        <f t="shared" si="19"/>
        <v>-8.4231579881344238E-3</v>
      </c>
    </row>
    <row r="327" spans="1:5">
      <c r="A327" s="41" t="s">
        <v>139</v>
      </c>
      <c r="B327" s="37">
        <v>1706.95</v>
      </c>
      <c r="C327" s="37">
        <v>58152.92</v>
      </c>
      <c r="D327" s="38">
        <f t="shared" si="18"/>
        <v>-7.2614274470112414E-3</v>
      </c>
      <c r="E327" s="38">
        <f t="shared" si="19"/>
        <v>-5.5170643869310041E-3</v>
      </c>
    </row>
    <row r="328" spans="1:5">
      <c r="A328" s="41" t="s">
        <v>140</v>
      </c>
      <c r="B328" s="37">
        <v>1694.6</v>
      </c>
      <c r="C328" s="37">
        <v>57832.97</v>
      </c>
      <c r="D328" s="38">
        <f t="shared" si="18"/>
        <v>1.6794332523167744E-2</v>
      </c>
      <c r="E328" s="38">
        <f t="shared" si="19"/>
        <v>-3.473696292073316E-2</v>
      </c>
    </row>
    <row r="329" spans="1:5">
      <c r="A329" s="41">
        <v>44654</v>
      </c>
      <c r="B329" s="37">
        <v>1723.3</v>
      </c>
      <c r="C329" s="37">
        <v>55858.52</v>
      </c>
      <c r="D329" s="38">
        <f t="shared" si="18"/>
        <v>5.5693741532372359E-2</v>
      </c>
      <c r="E329" s="38">
        <f t="shared" si="19"/>
        <v>-2.7675380251282283E-2</v>
      </c>
    </row>
    <row r="330" spans="1:5">
      <c r="A330" s="41">
        <v>44868</v>
      </c>
      <c r="B330" s="37">
        <v>1822</v>
      </c>
      <c r="C330" s="37">
        <v>54333.81</v>
      </c>
      <c r="D330" s="38">
        <f t="shared" si="18"/>
        <v>1.7734240546221896E-2</v>
      </c>
      <c r="E330" s="38">
        <f t="shared" si="19"/>
        <v>2.2142231504805269E-2</v>
      </c>
    </row>
    <row r="331" spans="1:5">
      <c r="A331" s="41" t="s">
        <v>143</v>
      </c>
      <c r="B331" s="37">
        <v>1854.6</v>
      </c>
      <c r="C331" s="37">
        <v>55550.3</v>
      </c>
      <c r="D331" s="38">
        <f t="shared" si="18"/>
        <v>1.1765945204355276E-2</v>
      </c>
      <c r="E331" s="38">
        <f t="shared" si="19"/>
        <v>4.0805303201970199E-2</v>
      </c>
    </row>
    <row r="332" spans="1:5">
      <c r="A332" s="41" t="s">
        <v>145</v>
      </c>
      <c r="B332" s="37">
        <v>1876.55</v>
      </c>
      <c r="C332" s="37">
        <v>57863.93</v>
      </c>
      <c r="D332" s="38">
        <f t="shared" si="18"/>
        <v>1.4285579309242888E-2</v>
      </c>
      <c r="E332" s="38">
        <f t="shared" si="19"/>
        <v>-8.7086700033857604E-3</v>
      </c>
    </row>
    <row r="333" spans="1:5">
      <c r="A333" s="41">
        <v>44565</v>
      </c>
      <c r="B333" s="37">
        <v>1903.55</v>
      </c>
      <c r="C333" s="37">
        <v>57362.2</v>
      </c>
      <c r="D333" s="38">
        <f t="shared" si="18"/>
        <v>-4.7855506144195308E-2</v>
      </c>
      <c r="E333" s="38">
        <f t="shared" si="19"/>
        <v>3.2830592912057401E-2</v>
      </c>
    </row>
    <row r="334" spans="1:5">
      <c r="A334" s="41">
        <v>44777</v>
      </c>
      <c r="B334" s="37">
        <v>1814.6</v>
      </c>
      <c r="C334" s="37">
        <v>59276.69</v>
      </c>
      <c r="D334" s="38">
        <f t="shared" si="18"/>
        <v>-3.7078184701577491E-2</v>
      </c>
      <c r="E334" s="38">
        <f t="shared" si="19"/>
        <v>2.8720444707964732E-3</v>
      </c>
    </row>
    <row r="335" spans="1:5">
      <c r="A335" s="41" t="s">
        <v>148</v>
      </c>
      <c r="B335" s="37">
        <v>1748.55</v>
      </c>
      <c r="C335" s="37">
        <v>59447.18</v>
      </c>
      <c r="D335" s="38">
        <f t="shared" si="18"/>
        <v>-9.791859434593779E-2</v>
      </c>
      <c r="E335" s="38">
        <f t="shared" si="19"/>
        <v>-1.881856368222283E-2</v>
      </c>
    </row>
    <row r="336" spans="1:5">
      <c r="A336" s="41" t="s">
        <v>150</v>
      </c>
      <c r="B336" s="37">
        <v>1585.45</v>
      </c>
      <c r="C336" s="37">
        <v>58338.93</v>
      </c>
      <c r="D336" s="38">
        <f t="shared" si="18"/>
        <v>-1.1354387763030833E-2</v>
      </c>
      <c r="E336" s="38">
        <f t="shared" si="19"/>
        <v>-1.9765551540713831E-2</v>
      </c>
    </row>
    <row r="337" spans="1:5">
      <c r="A337" s="41" t="s">
        <v>151</v>
      </c>
      <c r="B337" s="37">
        <v>1567.55</v>
      </c>
      <c r="C337" s="37">
        <v>57197.15</v>
      </c>
      <c r="D337" s="38">
        <f t="shared" si="18"/>
        <v>-1.5882535508331189E-2</v>
      </c>
      <c r="E337" s="38">
        <f t="shared" si="19"/>
        <v>-2.3854791921867546E-3</v>
      </c>
    </row>
    <row r="338" spans="1:5">
      <c r="A338" s="41">
        <v>44717</v>
      </c>
      <c r="B338" s="37">
        <v>1542.85</v>
      </c>
      <c r="C338" s="37">
        <v>57060.87</v>
      </c>
      <c r="D338" s="38">
        <f t="shared" si="18"/>
        <v>-2.5237207820469891E-2</v>
      </c>
      <c r="E338" s="38">
        <f t="shared" si="19"/>
        <v>-3.9779339435087109E-2</v>
      </c>
    </row>
    <row r="339" spans="1:5">
      <c r="A339" s="41" t="s">
        <v>153</v>
      </c>
      <c r="B339" s="37">
        <v>1504.4</v>
      </c>
      <c r="C339" s="37">
        <v>54835.58</v>
      </c>
      <c r="D339" s="38">
        <f t="shared" si="18"/>
        <v>-3.3285159520779033E-2</v>
      </c>
      <c r="E339" s="38">
        <f t="shared" si="19"/>
        <v>-3.7948903264390786E-2</v>
      </c>
    </row>
    <row r="340" spans="1:5">
      <c r="A340" s="41" t="s">
        <v>155</v>
      </c>
      <c r="B340" s="37">
        <v>1455.15</v>
      </c>
      <c r="C340" s="37">
        <v>52793.62</v>
      </c>
      <c r="D340" s="38">
        <f t="shared" si="18"/>
        <v>4.2516779287907376E-3</v>
      </c>
      <c r="E340" s="38">
        <f t="shared" si="19"/>
        <v>2.8619762483644572E-2</v>
      </c>
    </row>
    <row r="341" spans="1:5">
      <c r="A341" s="41" t="s">
        <v>156</v>
      </c>
      <c r="B341" s="37">
        <v>1461.35</v>
      </c>
      <c r="C341" s="37">
        <v>54326.39</v>
      </c>
      <c r="D341" s="38">
        <f t="shared" si="18"/>
        <v>4.0467464921875924E-2</v>
      </c>
      <c r="E341" s="38">
        <f t="shared" si="19"/>
        <v>1.0223779787616087E-2</v>
      </c>
    </row>
    <row r="342" spans="1:5">
      <c r="A342" s="41">
        <v>44626</v>
      </c>
      <c r="B342" s="37">
        <v>1521.7</v>
      </c>
      <c r="C342" s="37">
        <v>54884.66</v>
      </c>
      <c r="D342" s="38">
        <f t="shared" si="18"/>
        <v>-2.9950546177481205E-2</v>
      </c>
      <c r="E342" s="38">
        <f t="shared" si="19"/>
        <v>1.5988391250826964E-2</v>
      </c>
    </row>
    <row r="343" spans="1:5">
      <c r="A343" s="41">
        <v>44840</v>
      </c>
      <c r="B343" s="37">
        <v>1476.8</v>
      </c>
      <c r="C343" s="37">
        <v>55769.23</v>
      </c>
      <c r="D343" s="38">
        <f t="shared" si="18"/>
        <v>-6.2518172661907817E-2</v>
      </c>
      <c r="E343" s="38">
        <f t="shared" si="19"/>
        <v>-2.663470691724255E-2</v>
      </c>
    </row>
    <row r="344" spans="1:5">
      <c r="A344" s="41" t="s">
        <v>159</v>
      </c>
      <c r="B344" s="37">
        <v>1387.3</v>
      </c>
      <c r="C344" s="37">
        <v>54303.44</v>
      </c>
      <c r="D344" s="38">
        <f t="shared" si="18"/>
        <v>3.8047298757635947E-2</v>
      </c>
      <c r="E344" s="38">
        <f t="shared" si="19"/>
        <v>-5.5719739764429087E-2</v>
      </c>
    </row>
    <row r="345" spans="1:5">
      <c r="A345" s="41" t="s">
        <v>161</v>
      </c>
      <c r="B345" s="37">
        <v>1441.1</v>
      </c>
      <c r="C345" s="37">
        <v>51360.42</v>
      </c>
      <c r="D345" s="38">
        <f t="shared" si="18"/>
        <v>2.6229889309451457E-2</v>
      </c>
      <c r="E345" s="38">
        <f t="shared" si="19"/>
        <v>2.6278407526870877E-2</v>
      </c>
    </row>
    <row r="346" spans="1:5">
      <c r="A346" s="41">
        <v>44568</v>
      </c>
      <c r="B346" s="37">
        <v>1479.4</v>
      </c>
      <c r="C346" s="37">
        <v>52727.98</v>
      </c>
      <c r="D346" s="38">
        <f t="shared" si="18"/>
        <v>2.3415736572439727E-2</v>
      </c>
      <c r="E346" s="38">
        <f t="shared" si="19"/>
        <v>3.406988666357416E-3</v>
      </c>
    </row>
    <row r="347" spans="1:5">
      <c r="A347" s="41">
        <v>44780</v>
      </c>
      <c r="B347" s="37">
        <v>1514.45</v>
      </c>
      <c r="C347" s="37">
        <v>52907.93</v>
      </c>
      <c r="D347" s="38">
        <f t="shared" si="18"/>
        <v>-5.7133167175177461E-2</v>
      </c>
      <c r="E347" s="38">
        <f t="shared" si="19"/>
        <v>2.9314202021309341E-2</v>
      </c>
    </row>
    <row r="348" spans="1:5">
      <c r="A348" s="41" t="s">
        <v>164</v>
      </c>
      <c r="B348" s="37">
        <v>1430.35</v>
      </c>
      <c r="C348" s="37">
        <v>54481.84</v>
      </c>
      <c r="D348" s="38">
        <f t="shared" si="18"/>
        <v>5.1737143157739675E-2</v>
      </c>
      <c r="E348" s="38">
        <f t="shared" si="19"/>
        <v>-1.3323230094688466E-2</v>
      </c>
    </row>
    <row r="349" spans="1:5">
      <c r="A349" s="41" t="s">
        <v>166</v>
      </c>
      <c r="B349" s="37">
        <v>1506.3</v>
      </c>
      <c r="C349" s="37">
        <v>53760.78</v>
      </c>
      <c r="D349" s="38">
        <f t="shared" si="18"/>
        <v>2.8405051084519805E-2</v>
      </c>
      <c r="E349" s="38">
        <f t="shared" si="19"/>
        <v>4.2096476020424517E-2</v>
      </c>
    </row>
    <row r="350" spans="1:5">
      <c r="A350" s="41" t="s">
        <v>167</v>
      </c>
      <c r="B350" s="37">
        <v>1549.7</v>
      </c>
      <c r="C350" s="37">
        <v>56072.23</v>
      </c>
      <c r="D350" s="38">
        <f t="shared" si="18"/>
        <v>4.2294743138638478E-2</v>
      </c>
      <c r="E350" s="38">
        <f t="shared" si="19"/>
        <v>2.6365260159169877E-2</v>
      </c>
    </row>
    <row r="351" spans="1:5">
      <c r="A351" s="41">
        <v>44689</v>
      </c>
      <c r="B351" s="37">
        <v>1616.65</v>
      </c>
      <c r="C351" s="37">
        <v>57570.25</v>
      </c>
      <c r="D351" s="38">
        <f t="shared" si="18"/>
        <v>-1.4046793292326897E-2</v>
      </c>
      <c r="E351" s="38">
        <f t="shared" si="19"/>
        <v>1.4103249173324997E-2</v>
      </c>
    </row>
    <row r="352" spans="1:5">
      <c r="A352" s="41">
        <v>44903</v>
      </c>
      <c r="B352" s="37">
        <v>1594.1</v>
      </c>
      <c r="C352" s="37">
        <v>58387.93</v>
      </c>
      <c r="D352" s="38">
        <f t="shared" si="18"/>
        <v>1.8801710226628156E-3</v>
      </c>
      <c r="E352" s="38">
        <f t="shared" si="19"/>
        <v>1.8241380206297425E-2</v>
      </c>
    </row>
    <row r="353" spans="1:5">
      <c r="A353" s="41" t="s">
        <v>170</v>
      </c>
      <c r="B353" s="37">
        <v>1597.1</v>
      </c>
      <c r="C353" s="37">
        <v>59462.78</v>
      </c>
      <c r="D353" s="38">
        <f t="shared" si="18"/>
        <v>-4.845993255825775E-2</v>
      </c>
      <c r="E353" s="38">
        <f t="shared" si="19"/>
        <v>3.0790326950134949E-3</v>
      </c>
    </row>
    <row r="354" spans="1:5">
      <c r="A354" s="41" t="s">
        <v>171</v>
      </c>
      <c r="B354" s="37">
        <v>1521.55</v>
      </c>
      <c r="C354" s="37">
        <v>59646.15</v>
      </c>
      <c r="D354" s="38">
        <f t="shared" si="18"/>
        <v>-4.6099167533722951E-2</v>
      </c>
      <c r="E354" s="38">
        <f t="shared" si="19"/>
        <v>-1.3711893815772926E-2</v>
      </c>
    </row>
    <row r="355" spans="1:5">
      <c r="A355" s="41">
        <v>44601</v>
      </c>
      <c r="B355" s="37">
        <v>1453</v>
      </c>
      <c r="C355" s="37">
        <v>58833.87</v>
      </c>
      <c r="D355" s="38">
        <f t="shared" si="18"/>
        <v>3.9571384891740655E-2</v>
      </c>
      <c r="E355" s="38">
        <f t="shared" si="19"/>
        <v>-5.1922352259516666E-4</v>
      </c>
    </row>
    <row r="356" spans="1:5">
      <c r="A356" s="41">
        <v>44813</v>
      </c>
      <c r="B356" s="37">
        <v>1511.65</v>
      </c>
      <c r="C356" s="37">
        <v>58803.33</v>
      </c>
      <c r="D356" s="38">
        <f t="shared" si="18"/>
        <v>-9.3258239571966051E-2</v>
      </c>
      <c r="E356" s="38">
        <f t="shared" si="19"/>
        <v>1.669245270309681E-2</v>
      </c>
    </row>
    <row r="357" spans="1:5">
      <c r="A357" s="41" t="s">
        <v>174</v>
      </c>
      <c r="B357" s="37">
        <v>1377.05</v>
      </c>
      <c r="C357" s="37">
        <v>59793.14</v>
      </c>
      <c r="D357" s="38">
        <f t="shared" si="18"/>
        <v>-8.4594852706499288E-3</v>
      </c>
      <c r="E357" s="38">
        <f t="shared" si="19"/>
        <v>-1.6055616773412898E-2</v>
      </c>
    </row>
    <row r="358" spans="1:5">
      <c r="A358" s="41" t="s">
        <v>176</v>
      </c>
      <c r="B358" s="37">
        <v>1365.45</v>
      </c>
      <c r="C358" s="37">
        <v>58840.79</v>
      </c>
      <c r="D358" s="38">
        <f t="shared" si="18"/>
        <v>3.4549479701467475E-2</v>
      </c>
      <c r="E358" s="38">
        <f t="shared" si="19"/>
        <v>-1.2688246838938979E-2</v>
      </c>
    </row>
    <row r="359" spans="1:5">
      <c r="A359" s="41" t="s">
        <v>177</v>
      </c>
      <c r="B359" s="37">
        <v>1413.45</v>
      </c>
      <c r="C359" s="37">
        <v>58098.92</v>
      </c>
      <c r="D359" s="38">
        <f t="shared" si="18"/>
        <v>2.6357276039997171E-2</v>
      </c>
      <c r="E359" s="38">
        <f t="shared" si="19"/>
        <v>-1.163389211348499E-2</v>
      </c>
    </row>
    <row r="360" spans="1:5">
      <c r="A360" s="41">
        <v>44752</v>
      </c>
      <c r="B360" s="37">
        <v>1451.2</v>
      </c>
      <c r="C360" s="37">
        <v>57426.92</v>
      </c>
      <c r="D360" s="38">
        <f t="shared" si="18"/>
        <v>1.575858551974129E-2</v>
      </c>
      <c r="E360" s="38">
        <f t="shared" si="19"/>
        <v>1.3222504249039452E-2</v>
      </c>
    </row>
    <row r="361" spans="1:5">
      <c r="A361" s="41" t="s">
        <v>180</v>
      </c>
      <c r="B361" s="37">
        <v>1474.25</v>
      </c>
      <c r="C361" s="37">
        <v>58191.29</v>
      </c>
      <c r="D361" s="38">
        <f t="shared" si="18"/>
        <v>1.7648999999808204E-2</v>
      </c>
      <c r="E361" s="38">
        <f t="shared" si="19"/>
        <v>-4.6734570588480321E-3</v>
      </c>
    </row>
    <row r="362" spans="1:5">
      <c r="A362" s="41" t="s">
        <v>182</v>
      </c>
      <c r="B362" s="37">
        <v>1500.5</v>
      </c>
      <c r="C362" s="37">
        <v>57919.97</v>
      </c>
      <c r="D362" s="38">
        <f t="shared" si="18"/>
        <v>8.4612698913747418E-3</v>
      </c>
      <c r="E362" s="38">
        <f t="shared" si="19"/>
        <v>2.3667641969589249E-2</v>
      </c>
    </row>
    <row r="363" spans="1:5">
      <c r="A363" s="41" t="s">
        <v>183</v>
      </c>
      <c r="B363" s="37">
        <v>1513.25</v>
      </c>
      <c r="C363" s="37">
        <v>59307.15</v>
      </c>
      <c r="D363" s="38">
        <f t="shared" si="18"/>
        <v>4.9549922559756542E-4</v>
      </c>
      <c r="E363" s="38">
        <f t="shared" si="19"/>
        <v>1.0945299472374418E-2</v>
      </c>
    </row>
    <row r="364" spans="1:5">
      <c r="A364" s="41">
        <v>44662</v>
      </c>
      <c r="B364" s="37">
        <v>1514</v>
      </c>
      <c r="C364" s="37">
        <v>59959.85</v>
      </c>
      <c r="D364" s="38">
        <f t="shared" si="18"/>
        <v>3.6384156584081867E-2</v>
      </c>
      <c r="E364" s="38">
        <f t="shared" si="19"/>
        <v>1.6384590827070063E-2</v>
      </c>
    </row>
    <row r="365" spans="1:5">
      <c r="A365" s="41">
        <v>44876</v>
      </c>
      <c r="B365" s="37">
        <v>1570.1</v>
      </c>
      <c r="C365" s="37">
        <v>60950.36</v>
      </c>
      <c r="D365" s="38">
        <f t="shared" si="18"/>
        <v>1.473078636478981E-2</v>
      </c>
      <c r="E365" s="38">
        <f t="shared" si="19"/>
        <v>1.3763339952491727E-2</v>
      </c>
    </row>
    <row r="366" spans="1:5">
      <c r="A366" s="41" t="s">
        <v>186</v>
      </c>
      <c r="B366" s="37">
        <v>1593.4</v>
      </c>
      <c r="C366" s="37">
        <v>61795.040000000001</v>
      </c>
      <c r="D366" s="38">
        <f t="shared" si="18"/>
        <v>2.6170180898446343E-2</v>
      </c>
      <c r="E366" s="38">
        <f t="shared" si="19"/>
        <v>-2.131242943745166E-3</v>
      </c>
    </row>
    <row r="367" spans="1:5">
      <c r="A367" s="41" t="s">
        <v>187</v>
      </c>
      <c r="B367" s="37">
        <v>1635.65</v>
      </c>
      <c r="C367" s="37">
        <v>61663.48</v>
      </c>
      <c r="D367" s="38">
        <f t="shared" si="18"/>
        <v>1.3746546436218818E-3</v>
      </c>
      <c r="E367" s="38">
        <f t="shared" si="19"/>
        <v>1.0167474505534622E-2</v>
      </c>
    </row>
    <row r="368" spans="1:5">
      <c r="A368" s="41">
        <v>44604</v>
      </c>
      <c r="B368" s="37">
        <v>1637.9</v>
      </c>
      <c r="C368" s="37">
        <v>62293.64</v>
      </c>
      <c r="D368" s="38">
        <f t="shared" si="18"/>
        <v>-4.2785273443658879E-2</v>
      </c>
      <c r="E368" s="38">
        <f t="shared" si="19"/>
        <v>9.1859094493411224E-3</v>
      </c>
    </row>
    <row r="369" spans="1:5">
      <c r="A369" s="41">
        <v>44816</v>
      </c>
      <c r="B369" s="37">
        <v>1569.3</v>
      </c>
      <c r="C369" s="37">
        <v>62868.5</v>
      </c>
      <c r="D369" s="38">
        <f t="shared" si="18"/>
        <v>-3.0473003211383878E-2</v>
      </c>
      <c r="E369" s="38">
        <f t="shared" si="19"/>
        <v>-1.0984981573776835E-2</v>
      </c>
    </row>
    <row r="370" spans="1:5">
      <c r="A370" s="41" t="s">
        <v>190</v>
      </c>
      <c r="B370" s="37">
        <v>1522.2</v>
      </c>
      <c r="C370" s="37">
        <v>62181.67</v>
      </c>
      <c r="D370" s="38">
        <f t="shared" si="18"/>
        <v>-1.6626753377500331E-2</v>
      </c>
      <c r="E370" s="38">
        <f t="shared" si="19"/>
        <v>-1.366380637267107E-2</v>
      </c>
    </row>
    <row r="371" spans="1:5">
      <c r="A371" s="41" t="s">
        <v>192</v>
      </c>
      <c r="B371" s="37">
        <v>1497.1</v>
      </c>
      <c r="C371" s="37">
        <v>61337.81</v>
      </c>
      <c r="D371" s="38">
        <f t="shared" si="18"/>
        <v>7.3869833127557559E-3</v>
      </c>
      <c r="E371" s="38">
        <f t="shared" si="19"/>
        <v>-2.463372324235719E-2</v>
      </c>
    </row>
    <row r="372" spans="1:5">
      <c r="A372" s="41" t="s">
        <v>193</v>
      </c>
      <c r="B372" s="37">
        <v>1508.2</v>
      </c>
      <c r="C372" s="37">
        <v>59845.29</v>
      </c>
      <c r="D372" s="38">
        <f t="shared" si="18"/>
        <v>-4.0388348559141585E-2</v>
      </c>
      <c r="E372" s="38">
        <f t="shared" si="19"/>
        <v>1.6496898202370911E-2</v>
      </c>
    </row>
    <row r="373" spans="1:5">
      <c r="A373" s="41">
        <v>45078</v>
      </c>
      <c r="B373" s="37">
        <v>1448.5</v>
      </c>
      <c r="C373" s="37">
        <v>60840.74</v>
      </c>
      <c r="D373" s="38">
        <f t="shared" si="18"/>
        <v>3.7366947452605388E-2</v>
      </c>
      <c r="E373" s="38">
        <f t="shared" si="19"/>
        <v>-1.557694830381828E-2</v>
      </c>
    </row>
    <row r="374" spans="1:5">
      <c r="A374" s="41" t="s">
        <v>195</v>
      </c>
      <c r="B374" s="37">
        <v>1503.65</v>
      </c>
      <c r="C374" s="37">
        <v>59900.37</v>
      </c>
      <c r="D374" s="38">
        <f t="shared" si="18"/>
        <v>1.4459515096558821E-2</v>
      </c>
      <c r="E374" s="38">
        <f t="shared" si="19"/>
        <v>6.0054332586523739E-3</v>
      </c>
    </row>
    <row r="375" spans="1:5">
      <c r="A375" s="41" t="s">
        <v>197</v>
      </c>
      <c r="B375" s="37">
        <v>1525.55</v>
      </c>
      <c r="C375" s="37">
        <v>60261.18</v>
      </c>
      <c r="D375" s="38">
        <f t="shared" si="18"/>
        <v>-4.2040328610851987E-3</v>
      </c>
      <c r="E375" s="38">
        <f t="shared" si="19"/>
        <v>5.9659541652087658E-3</v>
      </c>
    </row>
    <row r="376" spans="1:5">
      <c r="A376" s="41" t="s">
        <v>198</v>
      </c>
      <c r="B376" s="37">
        <v>1519.15</v>
      </c>
      <c r="C376" s="37">
        <v>60621.77</v>
      </c>
      <c r="D376" s="38">
        <f t="shared" si="18"/>
        <v>5.1477591000305453E-2</v>
      </c>
      <c r="E376" s="38">
        <f t="shared" si="19"/>
        <v>-2.1523819940753301E-2</v>
      </c>
    </row>
    <row r="377" spans="1:5">
      <c r="A377" s="41">
        <v>44987</v>
      </c>
      <c r="B377" s="37">
        <v>1599.4</v>
      </c>
      <c r="C377" s="37">
        <v>59330.9</v>
      </c>
      <c r="D377" s="38">
        <f t="shared" si="18"/>
        <v>5.7045931598394811E-3</v>
      </c>
      <c r="E377" s="38">
        <f t="shared" si="19"/>
        <v>2.5148118089846305E-2</v>
      </c>
    </row>
    <row r="378" spans="1:5">
      <c r="A378" s="41">
        <v>45201</v>
      </c>
      <c r="B378" s="37">
        <v>1608.55</v>
      </c>
      <c r="C378" s="37">
        <v>60841.88</v>
      </c>
      <c r="D378" s="38">
        <f t="shared" si="18"/>
        <v>-1.5506129281316968E-2</v>
      </c>
      <c r="E378" s="38">
        <f t="shared" si="19"/>
        <v>-2.6197184312291063E-3</v>
      </c>
    </row>
    <row r="379" spans="1:5">
      <c r="A379" s="41" t="s">
        <v>201</v>
      </c>
      <c r="B379" s="37">
        <v>1583.8</v>
      </c>
      <c r="C379" s="37">
        <v>60682.7</v>
      </c>
      <c r="D379" s="38">
        <f t="shared" si="18"/>
        <v>-2.1152824928975755E-2</v>
      </c>
      <c r="E379" s="38">
        <f t="shared" si="19"/>
        <v>5.2573452277064718E-3</v>
      </c>
    </row>
    <row r="380" spans="1:5">
      <c r="A380" s="41" t="s">
        <v>202</v>
      </c>
      <c r="B380" s="37">
        <v>1550.65</v>
      </c>
      <c r="C380" s="37">
        <v>61002.57</v>
      </c>
      <c r="D380" s="38">
        <f t="shared" si="18"/>
        <v>-4.7105194949146167E-2</v>
      </c>
      <c r="E380" s="38">
        <f t="shared" si="19"/>
        <v>-2.554608419389421E-2</v>
      </c>
    </row>
    <row r="381" spans="1:5">
      <c r="A381" s="41">
        <v>44988</v>
      </c>
      <c r="B381" s="37">
        <v>1479.3</v>
      </c>
      <c r="C381" s="37">
        <v>59463.93</v>
      </c>
      <c r="D381" s="38">
        <f t="shared" si="18"/>
        <v>-5.2527358688720027E-3</v>
      </c>
      <c r="E381" s="38">
        <f t="shared" si="19"/>
        <v>5.7857394682447067E-3</v>
      </c>
    </row>
    <row r="382" spans="1:5">
      <c r="A382" s="41">
        <v>45202</v>
      </c>
      <c r="B382" s="37">
        <v>1471.55</v>
      </c>
      <c r="C382" s="37">
        <v>59808.97</v>
      </c>
      <c r="D382" s="38">
        <f t="shared" si="18"/>
        <v>-3.5166559151286657E-2</v>
      </c>
      <c r="E382" s="38">
        <f t="shared" si="19"/>
        <v>-1.1330485647361747E-2</v>
      </c>
    </row>
    <row r="383" spans="1:5">
      <c r="A383" s="41" t="s">
        <v>205</v>
      </c>
      <c r="B383" s="37">
        <v>1420.7</v>
      </c>
      <c r="C383" s="37">
        <v>59135.13</v>
      </c>
      <c r="D383" s="38">
        <f t="shared" si="18"/>
        <v>-2.8595305126533584E-2</v>
      </c>
      <c r="E383" s="38">
        <f t="shared" si="19"/>
        <v>-1.9556306608734229E-2</v>
      </c>
    </row>
    <row r="384" spans="1:5">
      <c r="A384" s="41" t="s">
        <v>207</v>
      </c>
      <c r="B384" s="37">
        <v>1380.65</v>
      </c>
      <c r="C384" s="37">
        <v>57989.9</v>
      </c>
      <c r="D384" s="38">
        <f t="shared" si="18"/>
        <v>3.368544652942513E-2</v>
      </c>
      <c r="E384" s="38">
        <f t="shared" si="19"/>
        <v>-8.0127163294939525E-3</v>
      </c>
    </row>
    <row r="385" spans="1:5">
      <c r="A385" s="41" t="s">
        <v>208</v>
      </c>
      <c r="B385" s="37">
        <v>1427.95</v>
      </c>
      <c r="C385" s="37">
        <v>57527.1</v>
      </c>
      <c r="D385" s="38">
        <f t="shared" si="18"/>
        <v>-4.2458438785940309E-3</v>
      </c>
      <c r="E385" s="38">
        <f t="shared" si="19"/>
        <v>2.5137563640063327E-2</v>
      </c>
    </row>
    <row r="386" spans="1:5">
      <c r="A386" s="41">
        <v>45081</v>
      </c>
      <c r="B386" s="37">
        <v>1421.9</v>
      </c>
      <c r="C386" s="37">
        <v>58991.519999999997</v>
      </c>
      <c r="D386" s="38">
        <f t="shared" si="18"/>
        <v>-2.3265963532409846E-2</v>
      </c>
      <c r="E386" s="38">
        <f t="shared" si="19"/>
        <v>1.4163142056203974E-2</v>
      </c>
    </row>
    <row r="387" spans="1:5">
      <c r="A387" s="41" t="s">
        <v>211</v>
      </c>
      <c r="B387" s="37">
        <v>1389.2</v>
      </c>
      <c r="C387" s="37">
        <v>59832.97</v>
      </c>
      <c r="D387" s="38">
        <f t="shared" si="18"/>
        <v>-0.12387066826088997</v>
      </c>
      <c r="E387" s="38">
        <f t="shared" si="19"/>
        <v>9.9453714903105506E-3</v>
      </c>
    </row>
    <row r="388" spans="1:5">
      <c r="A388" s="41" t="s">
        <v>213</v>
      </c>
      <c r="B388" s="37">
        <v>1227.3499999999999</v>
      </c>
      <c r="C388" s="37">
        <v>60431</v>
      </c>
      <c r="D388" s="38">
        <f t="shared" ref="D388:D451" si="20">LN(B389/B388)</f>
        <v>2.0483761230804958E-2</v>
      </c>
      <c r="E388" s="38">
        <f t="shared" ref="E388:E451" si="21">LN(C389/C388)</f>
        <v>-1.2923245198187409E-2</v>
      </c>
    </row>
    <row r="389" spans="1:5">
      <c r="A389" s="41" t="s">
        <v>214</v>
      </c>
      <c r="B389" s="37">
        <v>1252.75</v>
      </c>
      <c r="C389" s="37">
        <v>59655.06</v>
      </c>
      <c r="D389" s="38">
        <f t="shared" si="20"/>
        <v>5.0560451678208105E-3</v>
      </c>
      <c r="E389" s="38">
        <f t="shared" si="21"/>
        <v>2.4136472997902173E-2</v>
      </c>
    </row>
    <row r="390" spans="1:5">
      <c r="A390" s="41">
        <v>45051</v>
      </c>
      <c r="B390" s="37">
        <v>1259.0999999999999</v>
      </c>
      <c r="C390" s="37">
        <v>61112.44</v>
      </c>
      <c r="D390" s="38">
        <f t="shared" si="20"/>
        <v>-1.1101020440201659E-2</v>
      </c>
      <c r="E390" s="38">
        <f t="shared" si="21"/>
        <v>-9.5197775026960101E-4</v>
      </c>
    </row>
    <row r="391" spans="1:5">
      <c r="A391" s="41">
        <v>45265</v>
      </c>
      <c r="B391" s="37">
        <v>1245.2</v>
      </c>
      <c r="C391" s="37">
        <v>61054.29</v>
      </c>
      <c r="D391" s="38">
        <f t="shared" si="20"/>
        <v>1.8854223835415834E-2</v>
      </c>
      <c r="E391" s="38">
        <f t="shared" si="21"/>
        <v>1.5820815467312149E-2</v>
      </c>
    </row>
    <row r="392" spans="1:5">
      <c r="A392" s="41" t="s">
        <v>217</v>
      </c>
      <c r="B392" s="37">
        <v>1268.9000000000001</v>
      </c>
      <c r="C392" s="37">
        <v>62027.9</v>
      </c>
      <c r="D392" s="38">
        <f t="shared" si="20"/>
        <v>3.7547666628367164E-2</v>
      </c>
      <c r="E392" s="38">
        <f t="shared" si="21"/>
        <v>-4.8194312983076398E-3</v>
      </c>
    </row>
    <row r="393" spans="1:5">
      <c r="A393" s="41" t="s">
        <v>218</v>
      </c>
      <c r="B393" s="37">
        <v>1317.45</v>
      </c>
      <c r="C393" s="37">
        <v>61729.68</v>
      </c>
      <c r="D393" s="38">
        <f t="shared" si="20"/>
        <v>-1.4103312360636605E-2</v>
      </c>
      <c r="E393" s="38">
        <f t="shared" si="21"/>
        <v>1.2428743849632896E-2</v>
      </c>
    </row>
    <row r="394" spans="1:5">
      <c r="A394" s="41">
        <v>44963</v>
      </c>
      <c r="B394" s="37">
        <v>1299</v>
      </c>
      <c r="C394" s="37">
        <v>62501.69</v>
      </c>
      <c r="D394" s="38">
        <f t="shared" si="20"/>
        <v>-2.5771909217179204E-2</v>
      </c>
      <c r="E394" s="38">
        <f t="shared" si="21"/>
        <v>7.2643643117526889E-4</v>
      </c>
    </row>
    <row r="395" spans="1:5">
      <c r="A395" s="41">
        <v>45175</v>
      </c>
      <c r="B395" s="37">
        <v>1265.95</v>
      </c>
      <c r="C395" s="37">
        <v>62547.11</v>
      </c>
      <c r="D395" s="38">
        <f t="shared" si="20"/>
        <v>2.0097642356863708E-2</v>
      </c>
      <c r="E395" s="38">
        <f t="shared" si="21"/>
        <v>1.2545864267110415E-3</v>
      </c>
    </row>
    <row r="396" spans="1:5">
      <c r="A396" s="41" t="s">
        <v>221</v>
      </c>
      <c r="B396" s="37">
        <v>1291.6500000000001</v>
      </c>
      <c r="C396" s="37">
        <v>62625.63</v>
      </c>
      <c r="D396" s="38">
        <f t="shared" si="20"/>
        <v>-2.084834864866339E-2</v>
      </c>
      <c r="E396" s="38">
        <f t="shared" si="21"/>
        <v>1.2045994960683969E-2</v>
      </c>
    </row>
    <row r="397" spans="1:5">
      <c r="A397" s="41" t="s">
        <v>223</v>
      </c>
      <c r="B397" s="37">
        <v>1265</v>
      </c>
      <c r="C397" s="37">
        <v>63384.58</v>
      </c>
      <c r="D397" s="38">
        <f t="shared" si="20"/>
        <v>5.4233631388394855E-2</v>
      </c>
      <c r="E397" s="38">
        <f t="shared" si="21"/>
        <v>-6.4134017481167378E-3</v>
      </c>
    </row>
    <row r="398" spans="1:5">
      <c r="A398" s="41" t="s">
        <v>224</v>
      </c>
      <c r="B398" s="37">
        <v>1335.5</v>
      </c>
      <c r="C398" s="37">
        <v>62979.37</v>
      </c>
      <c r="D398" s="38">
        <f t="shared" si="20"/>
        <v>-3.9764466996947811E-3</v>
      </c>
      <c r="E398" s="38">
        <f t="shared" si="21"/>
        <v>2.7240810364496475E-2</v>
      </c>
    </row>
    <row r="399" spans="1:5">
      <c r="A399" s="41">
        <v>45114</v>
      </c>
      <c r="B399" s="37">
        <v>1330.2</v>
      </c>
      <c r="C399" s="37">
        <v>64718.559999999998</v>
      </c>
      <c r="D399" s="38">
        <f t="shared" si="20"/>
        <v>6.9508951395590615E-2</v>
      </c>
      <c r="E399" s="38">
        <f t="shared" si="21"/>
        <v>8.6445812027135145E-3</v>
      </c>
    </row>
    <row r="400" spans="1:5">
      <c r="A400" s="41" t="s">
        <v>227</v>
      </c>
      <c r="B400" s="37">
        <v>1425.95</v>
      </c>
      <c r="C400" s="37">
        <v>65280.45</v>
      </c>
      <c r="D400" s="38">
        <f t="shared" si="20"/>
        <v>-6.845703154504168E-2</v>
      </c>
      <c r="E400" s="38">
        <f t="shared" si="21"/>
        <v>1.1884439833594421E-2</v>
      </c>
    </row>
    <row r="401" spans="1:5">
      <c r="A401" s="41" t="s">
        <v>229</v>
      </c>
      <c r="B401" s="37">
        <v>1331.6</v>
      </c>
      <c r="C401" s="37">
        <v>66060.899999999994</v>
      </c>
      <c r="D401" s="38">
        <f t="shared" si="20"/>
        <v>6.6614519751442818E-3</v>
      </c>
      <c r="E401" s="38">
        <f t="shared" si="21"/>
        <v>9.3918992164074896E-3</v>
      </c>
    </row>
    <row r="402" spans="1:5">
      <c r="A402" s="41" t="s">
        <v>230</v>
      </c>
      <c r="B402" s="37">
        <v>1340.5</v>
      </c>
      <c r="C402" s="37">
        <v>66684.259999999995</v>
      </c>
      <c r="D402" s="38">
        <f t="shared" si="20"/>
        <v>2.784445293898969E-2</v>
      </c>
      <c r="E402" s="38">
        <f t="shared" si="21"/>
        <v>-7.8898693789732632E-3</v>
      </c>
    </row>
    <row r="403" spans="1:5">
      <c r="A403" s="41">
        <v>45024</v>
      </c>
      <c r="B403" s="37">
        <v>1378.35</v>
      </c>
      <c r="C403" s="37">
        <v>66160.2</v>
      </c>
      <c r="D403" s="38">
        <f t="shared" si="20"/>
        <v>-4.7269377521368039E-3</v>
      </c>
      <c r="E403" s="38">
        <f t="shared" si="21"/>
        <v>-6.6567606120759033E-3</v>
      </c>
    </row>
    <row r="404" spans="1:5">
      <c r="A404" s="41">
        <v>45238</v>
      </c>
      <c r="B404" s="37">
        <v>1371.85</v>
      </c>
      <c r="C404" s="37">
        <v>65721.25</v>
      </c>
      <c r="D404" s="38">
        <f t="shared" si="20"/>
        <v>1.2279871043218812E-2</v>
      </c>
      <c r="E404" s="38">
        <f t="shared" si="21"/>
        <v>-6.0834762900730454E-3</v>
      </c>
    </row>
    <row r="405" spans="1:5">
      <c r="A405" s="41" t="s">
        <v>233</v>
      </c>
      <c r="B405" s="37">
        <v>1388.8</v>
      </c>
      <c r="C405" s="37">
        <v>65322.65</v>
      </c>
      <c r="D405" s="38">
        <f t="shared" si="20"/>
        <v>2.228722674488166E-2</v>
      </c>
      <c r="E405" s="38">
        <f t="shared" si="21"/>
        <v>-5.7417251343547379E-3</v>
      </c>
    </row>
    <row r="406" spans="1:5">
      <c r="A406" s="41" t="s">
        <v>235</v>
      </c>
      <c r="B406" s="37">
        <v>1420.1</v>
      </c>
      <c r="C406" s="37">
        <v>64948.66</v>
      </c>
      <c r="D406" s="38">
        <f t="shared" si="20"/>
        <v>1.6585865289755575E-2</v>
      </c>
      <c r="E406" s="38">
        <f t="shared" si="21"/>
        <v>-9.5736778789569854E-4</v>
      </c>
    </row>
    <row r="407" spans="1:5">
      <c r="A407" s="41">
        <v>44935</v>
      </c>
      <c r="B407" s="37">
        <v>1443.85</v>
      </c>
      <c r="C407" s="37">
        <v>64886.51</v>
      </c>
      <c r="D407" s="38">
        <f t="shared" si="20"/>
        <v>1.7677097960193136E-2</v>
      </c>
      <c r="E407" s="38">
        <f t="shared" si="21"/>
        <v>7.6861650515381783E-3</v>
      </c>
    </row>
    <row r="408" spans="1:5">
      <c r="A408" s="41">
        <v>45147</v>
      </c>
      <c r="B408" s="37">
        <v>1469.6</v>
      </c>
      <c r="C408" s="37">
        <v>65387.16</v>
      </c>
      <c r="D408" s="38">
        <f t="shared" si="20"/>
        <v>2.8178437574417927E-2</v>
      </c>
      <c r="E408" s="38">
        <f t="shared" si="21"/>
        <v>1.8362302133434427E-2</v>
      </c>
    </row>
    <row r="409" spans="1:5">
      <c r="A409" s="41" t="s">
        <v>238</v>
      </c>
      <c r="B409" s="37">
        <v>1511.6</v>
      </c>
      <c r="C409" s="37">
        <v>66598.91</v>
      </c>
      <c r="D409" s="38">
        <f t="shared" si="20"/>
        <v>-1.0273550587669761E-2</v>
      </c>
      <c r="E409" s="38">
        <f t="shared" si="21"/>
        <v>1.844358565821614E-2</v>
      </c>
    </row>
    <row r="410" spans="1:5">
      <c r="A410" s="41" t="s">
        <v>240</v>
      </c>
      <c r="B410" s="37">
        <v>1496.15</v>
      </c>
      <c r="C410" s="37">
        <v>67838.63</v>
      </c>
      <c r="D410" s="38">
        <f t="shared" si="20"/>
        <v>-4.1416753002475021E-2</v>
      </c>
      <c r="E410" s="38">
        <f t="shared" si="21"/>
        <v>-2.7338427923333533E-2</v>
      </c>
    </row>
    <row r="411" spans="1:5">
      <c r="A411" s="41" t="s">
        <v>241</v>
      </c>
      <c r="B411" s="37">
        <v>1435.45</v>
      </c>
      <c r="C411" s="37">
        <v>66009.149999999994</v>
      </c>
      <c r="D411" s="38">
        <f t="shared" si="20"/>
        <v>2.9684934494252694E-2</v>
      </c>
      <c r="E411" s="38">
        <f t="shared" si="21"/>
        <v>-2.741860714512261E-3</v>
      </c>
    </row>
    <row r="412" spans="1:5">
      <c r="A412" s="41">
        <v>45087</v>
      </c>
      <c r="B412" s="37">
        <v>1478.7</v>
      </c>
      <c r="C412" s="37">
        <v>65828.41</v>
      </c>
      <c r="D412" s="38">
        <f t="shared" si="20"/>
        <v>-3.2685006513477104E-2</v>
      </c>
      <c r="E412" s="38">
        <f t="shared" si="21"/>
        <v>2.5370196466772271E-3</v>
      </c>
    </row>
    <row r="413" spans="1:5">
      <c r="A413" s="41" t="s">
        <v>243</v>
      </c>
      <c r="B413" s="37">
        <v>1431.15</v>
      </c>
      <c r="C413" s="37">
        <v>65995.63</v>
      </c>
      <c r="D413" s="38">
        <f t="shared" si="20"/>
        <v>-2.7288010215961709E-3</v>
      </c>
      <c r="E413" s="38">
        <f t="shared" si="21"/>
        <v>4.3410037614732191E-3</v>
      </c>
    </row>
    <row r="414" spans="1:5">
      <c r="A414" s="41" t="s">
        <v>245</v>
      </c>
      <c r="B414" s="37">
        <v>1427.25</v>
      </c>
      <c r="C414" s="37">
        <v>66282.740000000005</v>
      </c>
      <c r="D414" s="38">
        <f t="shared" si="20"/>
        <v>-3.3412425661636269E-2</v>
      </c>
      <c r="E414" s="38">
        <f t="shared" si="21"/>
        <v>-1.3443665110907608E-2</v>
      </c>
    </row>
    <row r="415" spans="1:5">
      <c r="A415" s="41" t="s">
        <v>246</v>
      </c>
      <c r="B415" s="37">
        <v>1380.35</v>
      </c>
      <c r="C415" s="37">
        <v>65397.62</v>
      </c>
      <c r="D415" s="38">
        <f t="shared" si="20"/>
        <v>6.2829700439609301E-3</v>
      </c>
      <c r="E415" s="38">
        <f t="shared" si="21"/>
        <v>-2.5002304835988861E-2</v>
      </c>
    </row>
    <row r="416" spans="1:5">
      <c r="A416" s="41">
        <v>44996</v>
      </c>
      <c r="B416" s="37">
        <v>1389.05</v>
      </c>
      <c r="C416" s="37">
        <v>63782.8</v>
      </c>
      <c r="D416" s="38">
        <f t="shared" si="20"/>
        <v>-1.4649088969856981E-2</v>
      </c>
      <c r="E416" s="38">
        <f t="shared" si="21"/>
        <v>9.0674910036062685E-3</v>
      </c>
    </row>
    <row r="417" spans="1:5">
      <c r="A417" s="41">
        <v>45210</v>
      </c>
      <c r="B417" s="37">
        <v>1368.85</v>
      </c>
      <c r="C417" s="37">
        <v>64363.78</v>
      </c>
      <c r="D417" s="38">
        <f t="shared" si="20"/>
        <v>4.896930441846379E-2</v>
      </c>
      <c r="E417" s="38">
        <f t="shared" si="21"/>
        <v>8.3686795188059257E-3</v>
      </c>
    </row>
    <row r="418" spans="1:5">
      <c r="A418" s="41" t="s">
        <v>249</v>
      </c>
      <c r="B418" s="37">
        <v>1437.55</v>
      </c>
      <c r="C418" s="37">
        <v>64904.68</v>
      </c>
      <c r="D418" s="38">
        <f t="shared" si="20"/>
        <v>-1.043496409578637E-4</v>
      </c>
      <c r="E418" s="38">
        <f t="shared" si="21"/>
        <v>1.3620011888307831E-2</v>
      </c>
    </row>
    <row r="419" spans="1:5">
      <c r="A419" s="41" t="s">
        <v>251</v>
      </c>
      <c r="B419" s="37">
        <v>1437.4</v>
      </c>
      <c r="C419" s="37">
        <v>65794.73</v>
      </c>
      <c r="D419" s="38">
        <f t="shared" si="20"/>
        <v>1.0312580579415948E-2</v>
      </c>
      <c r="E419" s="38">
        <f t="shared" si="21"/>
        <v>2.6609556324181261E-3</v>
      </c>
    </row>
    <row r="420" spans="1:5">
      <c r="A420" s="41">
        <v>44938</v>
      </c>
      <c r="B420" s="37">
        <v>1452.3</v>
      </c>
      <c r="C420" s="37">
        <v>65970.039999999994</v>
      </c>
      <c r="D420" s="38">
        <f t="shared" si="20"/>
        <v>2.6399127712505577E-2</v>
      </c>
      <c r="E420" s="38">
        <f t="shared" si="21"/>
        <v>2.2648192806238164E-2</v>
      </c>
    </row>
    <row r="421" spans="1:5">
      <c r="A421" s="41">
        <v>45150</v>
      </c>
      <c r="B421" s="37">
        <v>1491.15</v>
      </c>
      <c r="C421" s="37">
        <v>67481.19</v>
      </c>
      <c r="D421" s="38">
        <f t="shared" si="20"/>
        <v>5.6864041382141794E-2</v>
      </c>
      <c r="E421" s="38">
        <f t="shared" si="21"/>
        <v>3.4151812328123199E-2</v>
      </c>
    </row>
    <row r="422" spans="1:5">
      <c r="A422" s="41" t="s">
        <v>254</v>
      </c>
      <c r="B422" s="37">
        <v>1578.4</v>
      </c>
      <c r="C422" s="37">
        <v>69825.600000000006</v>
      </c>
      <c r="D422" s="38">
        <f t="shared" si="20"/>
        <v>-9.8686058602577495E-3</v>
      </c>
      <c r="E422" s="38">
        <f t="shared" si="21"/>
        <v>2.3469446437158942E-2</v>
      </c>
    </row>
    <row r="423" spans="1:5">
      <c r="A423" s="41" t="s">
        <v>256</v>
      </c>
      <c r="B423" s="37">
        <v>1562.9</v>
      </c>
      <c r="C423" s="37">
        <v>71483.75</v>
      </c>
      <c r="D423" s="38">
        <f t="shared" si="20"/>
        <v>-1.2879307399167646E-2</v>
      </c>
      <c r="E423" s="38">
        <f t="shared" si="21"/>
        <v>-5.2849288287175949E-3</v>
      </c>
    </row>
    <row r="424" spans="1:5">
      <c r="A424" s="41" t="s">
        <v>257</v>
      </c>
      <c r="B424" s="37">
        <v>1542.9</v>
      </c>
      <c r="C424" s="37">
        <v>71106.960000000006</v>
      </c>
      <c r="D424" s="38">
        <f t="shared" si="20"/>
        <v>-6.7307477434378907E-3</v>
      </c>
      <c r="E424" s="38">
        <f t="shared" si="21"/>
        <v>1.5812285902705621E-2</v>
      </c>
    </row>
    <row r="425" spans="1:5">
      <c r="A425" s="41">
        <v>45413</v>
      </c>
      <c r="B425" s="37">
        <v>1532.55</v>
      </c>
      <c r="C425" s="37">
        <v>72240.259999999995</v>
      </c>
      <c r="D425" s="38">
        <f t="shared" si="20"/>
        <v>5.1007781706808815E-2</v>
      </c>
      <c r="E425" s="38">
        <f t="shared" si="21"/>
        <v>-2.9682606949545587E-3</v>
      </c>
    </row>
    <row r="426" spans="1:5">
      <c r="A426" s="41">
        <v>45627</v>
      </c>
      <c r="B426" s="37">
        <v>1612.75</v>
      </c>
      <c r="C426" s="37">
        <v>72026.149999999994</v>
      </c>
      <c r="D426" s="38">
        <f t="shared" si="20"/>
        <v>3.4343762572020729E-2</v>
      </c>
      <c r="E426" s="38">
        <f t="shared" si="21"/>
        <v>7.5010068524194954E-3</v>
      </c>
    </row>
    <row r="427" spans="1:5">
      <c r="A427" s="41" t="s">
        <v>260</v>
      </c>
      <c r="B427" s="37">
        <v>1669.1</v>
      </c>
      <c r="C427" s="37">
        <v>72568.45</v>
      </c>
      <c r="D427" s="38">
        <f t="shared" si="20"/>
        <v>1.4424256391293773E-2</v>
      </c>
      <c r="E427" s="38">
        <f t="shared" si="21"/>
        <v>-1.2273425338412519E-2</v>
      </c>
    </row>
    <row r="428" spans="1:5">
      <c r="A428" s="41">
        <v>45324</v>
      </c>
      <c r="B428" s="37">
        <v>1693.35</v>
      </c>
      <c r="C428" s="37">
        <v>71683.23</v>
      </c>
      <c r="D428" s="38">
        <f t="shared" si="20"/>
        <v>-1.4274486288121868E-2</v>
      </c>
      <c r="E428" s="38">
        <f t="shared" si="21"/>
        <v>-1.3801779515794177E-2</v>
      </c>
    </row>
    <row r="429" spans="1:5">
      <c r="A429" s="41">
        <v>45537</v>
      </c>
      <c r="B429" s="37">
        <v>1669.35</v>
      </c>
      <c r="C429" s="37">
        <v>70700.67</v>
      </c>
      <c r="D429" s="38">
        <f t="shared" si="20"/>
        <v>1.9164039475853094E-2</v>
      </c>
      <c r="E429" s="38">
        <f t="shared" si="21"/>
        <v>1.9399668388420131E-2</v>
      </c>
    </row>
    <row r="430" spans="1:5">
      <c r="A430" s="41" t="s">
        <v>262</v>
      </c>
      <c r="B430" s="37">
        <v>1701.65</v>
      </c>
      <c r="C430" s="37">
        <v>72085.63</v>
      </c>
      <c r="D430" s="38">
        <f t="shared" si="20"/>
        <v>-1.4681335178952423E-2</v>
      </c>
      <c r="E430" s="38">
        <f t="shared" si="21"/>
        <v>-6.8226347520909348E-3</v>
      </c>
    </row>
    <row r="431" spans="1:5">
      <c r="A431" s="41" t="s">
        <v>264</v>
      </c>
      <c r="B431" s="37">
        <v>1676.85</v>
      </c>
      <c r="C431" s="37">
        <v>71595.490000000005</v>
      </c>
      <c r="D431" s="38">
        <f t="shared" si="20"/>
        <v>-3.6684646721147414E-2</v>
      </c>
      <c r="E431" s="38">
        <f t="shared" si="21"/>
        <v>1.1542104357736515E-2</v>
      </c>
    </row>
    <row r="432" spans="1:5">
      <c r="A432" s="41">
        <v>45476</v>
      </c>
      <c r="B432" s="37">
        <v>1616.45</v>
      </c>
      <c r="C432" s="37">
        <v>72426.64</v>
      </c>
      <c r="D432" s="38">
        <f t="shared" si="20"/>
        <v>1.0798609756651228E-2</v>
      </c>
      <c r="E432" s="38">
        <f t="shared" si="21"/>
        <v>9.8395072202479613E-3</v>
      </c>
    </row>
    <row r="433" spans="1:5">
      <c r="A433" s="41" t="s">
        <v>265</v>
      </c>
      <c r="B433" s="37">
        <v>1634</v>
      </c>
      <c r="C433" s="37">
        <v>73142.8</v>
      </c>
      <c r="D433" s="38">
        <f t="shared" si="20"/>
        <v>-7.9683225171491276E-2</v>
      </c>
      <c r="E433" s="38">
        <f t="shared" si="21"/>
        <v>1.3263476751940336E-2</v>
      </c>
    </row>
    <row r="434" spans="1:5">
      <c r="A434" s="41" t="s">
        <v>267</v>
      </c>
      <c r="B434" s="37">
        <v>1508.85</v>
      </c>
      <c r="C434" s="37">
        <v>74119.39</v>
      </c>
      <c r="D434" s="38">
        <f t="shared" si="20"/>
        <v>-7.1835088912036195E-3</v>
      </c>
      <c r="E434" s="38">
        <f t="shared" si="21"/>
        <v>-2.0114219144585919E-2</v>
      </c>
    </row>
    <row r="435" spans="1:5">
      <c r="A435" s="41" t="s">
        <v>269</v>
      </c>
      <c r="B435" s="37">
        <v>1498.05</v>
      </c>
      <c r="C435" s="37">
        <v>72643.429999999993</v>
      </c>
      <c r="D435" s="38">
        <f t="shared" si="20"/>
        <v>-1.2730467679929065E-2</v>
      </c>
      <c r="E435" s="38">
        <f t="shared" si="21"/>
        <v>2.5916429085196396E-3</v>
      </c>
    </row>
    <row r="436" spans="1:5">
      <c r="A436" s="41">
        <v>45416</v>
      </c>
      <c r="B436" s="37">
        <v>1479.1</v>
      </c>
      <c r="C436" s="37">
        <v>72831.94</v>
      </c>
      <c r="D436" s="38">
        <f t="shared" si="20"/>
        <v>3.8126132186452372E-3</v>
      </c>
      <c r="E436" s="38">
        <f t="shared" si="21"/>
        <v>1.1187877429784811E-2</v>
      </c>
    </row>
    <row r="437" spans="1:5">
      <c r="A437" s="41">
        <v>45630</v>
      </c>
      <c r="B437" s="37">
        <v>1484.75</v>
      </c>
      <c r="C437" s="37">
        <v>73651.350000000006</v>
      </c>
      <c r="D437" s="38">
        <f t="shared" si="20"/>
        <v>-5.077057143209783E-2</v>
      </c>
      <c r="E437" s="38">
        <f t="shared" si="21"/>
        <v>8.0713316519291697E-3</v>
      </c>
    </row>
    <row r="438" spans="1:5">
      <c r="A438" s="41" t="s">
        <v>271</v>
      </c>
      <c r="B438" s="37">
        <v>1411.25</v>
      </c>
      <c r="C438" s="37">
        <v>74248.22</v>
      </c>
      <c r="D438" s="38">
        <f t="shared" si="20"/>
        <v>1.3373417684766319E-2</v>
      </c>
      <c r="E438" s="38">
        <f t="shared" si="21"/>
        <v>-4.4715876406362821E-5</v>
      </c>
    </row>
    <row r="439" spans="1:5">
      <c r="A439" s="41" t="s">
        <v>273</v>
      </c>
      <c r="B439" s="37">
        <v>1430.25</v>
      </c>
      <c r="C439" s="37">
        <v>74244.899999999994</v>
      </c>
      <c r="D439" s="38">
        <f t="shared" si="20"/>
        <v>-9.8014169282873657E-3</v>
      </c>
      <c r="E439" s="38">
        <f t="shared" si="21"/>
        <v>-1.5700378766694965E-2</v>
      </c>
    </row>
    <row r="440" spans="1:5">
      <c r="A440" s="41">
        <v>45356</v>
      </c>
      <c r="B440" s="37">
        <v>1416.3</v>
      </c>
      <c r="C440" s="37">
        <v>73088.33</v>
      </c>
      <c r="D440" s="38">
        <f t="shared" si="20"/>
        <v>6.053798581392488E-3</v>
      </c>
      <c r="E440" s="38">
        <f t="shared" si="21"/>
        <v>8.7432323908502949E-3</v>
      </c>
    </row>
    <row r="441" spans="1:5">
      <c r="A441" s="41">
        <v>45570</v>
      </c>
      <c r="B441" s="37">
        <v>1424.9</v>
      </c>
      <c r="C441" s="37">
        <v>73730.16</v>
      </c>
      <c r="D441" s="38">
        <f t="shared" si="20"/>
        <v>2.7821863705524065E-2</v>
      </c>
      <c r="E441" s="38">
        <f t="shared" si="21"/>
        <v>2.0051723319029261E-3</v>
      </c>
    </row>
    <row r="442" spans="1:5">
      <c r="A442" s="41" t="s">
        <v>275</v>
      </c>
      <c r="B442" s="37">
        <v>1465.1</v>
      </c>
      <c r="C442" s="37">
        <v>73878.149999999994</v>
      </c>
      <c r="D442" s="38">
        <f t="shared" si="20"/>
        <v>-4.0534797124099707E-2</v>
      </c>
      <c r="E442" s="38">
        <f t="shared" si="21"/>
        <v>-1.6564570104864309E-2</v>
      </c>
    </row>
    <row r="443" spans="1:5">
      <c r="A443" s="41" t="s">
        <v>277</v>
      </c>
      <c r="B443" s="37">
        <v>1406.9</v>
      </c>
      <c r="C443" s="37">
        <v>72664.47</v>
      </c>
      <c r="D443" s="38">
        <f t="shared" si="20"/>
        <v>8.6229210348266985E-2</v>
      </c>
      <c r="E443" s="38">
        <f t="shared" si="21"/>
        <v>3.7092519622804826E-2</v>
      </c>
    </row>
    <row r="444" spans="1:5">
      <c r="A444" s="41">
        <v>45479</v>
      </c>
      <c r="B444" s="37">
        <v>1533.6</v>
      </c>
      <c r="C444" s="37">
        <v>75410.39</v>
      </c>
      <c r="D444" s="38">
        <f t="shared" si="20"/>
        <v>-2.9580320469929818E-2</v>
      </c>
      <c r="E444" s="38">
        <f t="shared" si="21"/>
        <v>-1.9402945290099886E-2</v>
      </c>
    </row>
    <row r="445" spans="1:5">
      <c r="A445" s="41" t="s">
        <v>280</v>
      </c>
      <c r="B445" s="37">
        <v>1488.9</v>
      </c>
      <c r="C445" s="37">
        <v>73961.31</v>
      </c>
      <c r="D445" s="38">
        <f t="shared" si="20"/>
        <v>2.8993293743357153E-2</v>
      </c>
      <c r="E445" s="38">
        <f t="shared" si="21"/>
        <v>3.6273014930687734E-2</v>
      </c>
    </row>
    <row r="446" spans="1:5">
      <c r="A446" s="41" t="s">
        <v>281</v>
      </c>
      <c r="B446" s="37">
        <v>1532.7</v>
      </c>
      <c r="C446" s="37">
        <v>76693.36</v>
      </c>
      <c r="D446" s="38">
        <f t="shared" si="20"/>
        <v>2.1972524099922869E-2</v>
      </c>
      <c r="E446" s="38">
        <f t="shared" si="21"/>
        <v>3.8963877716148934E-3</v>
      </c>
    </row>
    <row r="447" spans="1:5">
      <c r="A447" s="41" t="s">
        <v>283</v>
      </c>
      <c r="B447" s="37">
        <v>1566.75</v>
      </c>
      <c r="C447" s="37">
        <v>76992.77</v>
      </c>
      <c r="D447" s="38">
        <f t="shared" si="20"/>
        <v>5.0225227797679788E-2</v>
      </c>
      <c r="E447" s="38">
        <f t="shared" si="21"/>
        <v>2.8161658095932677E-3</v>
      </c>
    </row>
    <row r="448" spans="1:5">
      <c r="A448" s="41">
        <v>45419</v>
      </c>
      <c r="B448" s="37">
        <v>1647.45</v>
      </c>
      <c r="C448" s="37">
        <v>77209.899999999994</v>
      </c>
      <c r="D448" s="38">
        <f t="shared" si="20"/>
        <v>3.8287601098707588E-2</v>
      </c>
      <c r="E448" s="38">
        <f t="shared" si="21"/>
        <v>2.3334383313502897E-2</v>
      </c>
    </row>
    <row r="449" spans="1:5">
      <c r="A449" s="41">
        <v>45633</v>
      </c>
      <c r="B449" s="37">
        <v>1711.75</v>
      </c>
      <c r="C449" s="37">
        <v>79032.73</v>
      </c>
      <c r="D449" s="38">
        <f t="shared" si="20"/>
        <v>4.6346068990927428E-2</v>
      </c>
      <c r="E449" s="38">
        <f t="shared" si="21"/>
        <v>1.2122063306362285E-2</v>
      </c>
    </row>
    <row r="450" spans="1:5">
      <c r="A450" s="41" t="s">
        <v>286</v>
      </c>
      <c r="B450" s="37">
        <v>1792.95</v>
      </c>
      <c r="C450" s="37">
        <v>79996.600000000006</v>
      </c>
      <c r="D450" s="38">
        <f t="shared" si="20"/>
        <v>4.6824191207377255E-2</v>
      </c>
      <c r="E450" s="38">
        <f t="shared" si="21"/>
        <v>6.5132702459547399E-3</v>
      </c>
    </row>
    <row r="451" spans="1:5">
      <c r="A451" s="41" t="s">
        <v>287</v>
      </c>
      <c r="B451" s="37">
        <v>1878.9</v>
      </c>
      <c r="C451" s="37">
        <v>80519.34</v>
      </c>
      <c r="D451" s="38">
        <f t="shared" si="20"/>
        <v>-3.1190874738849871E-2</v>
      </c>
      <c r="E451" s="38">
        <f t="shared" si="21"/>
        <v>1.0589361394518053E-3</v>
      </c>
    </row>
    <row r="452" spans="1:5">
      <c r="A452" s="41">
        <v>45330</v>
      </c>
      <c r="B452" s="37">
        <v>1821.2</v>
      </c>
      <c r="C452" s="37">
        <v>80604.649999999994</v>
      </c>
      <c r="D452" s="38">
        <f t="shared" ref="D452:D517" si="22">LN(B453/B452)</f>
        <v>-2.8092438826895074E-2</v>
      </c>
      <c r="E452" s="38">
        <f t="shared" ref="E452:E517" si="23">LN(C453/C452)</f>
        <v>8.9920554569146906E-3</v>
      </c>
    </row>
    <row r="453" spans="1:5">
      <c r="A453" s="41">
        <v>45543</v>
      </c>
      <c r="B453" s="37">
        <v>1770.75</v>
      </c>
      <c r="C453" s="37">
        <v>81332.72</v>
      </c>
      <c r="D453" s="38">
        <f t="shared" si="22"/>
        <v>4.8608626545260943E-2</v>
      </c>
      <c r="E453" s="38">
        <f t="shared" si="23"/>
        <v>-4.3221052791983464E-3</v>
      </c>
    </row>
    <row r="454" spans="1:5">
      <c r="A454" s="41" t="s">
        <v>290</v>
      </c>
      <c r="B454" s="37">
        <v>1858.95</v>
      </c>
      <c r="C454" s="37">
        <v>80981.95</v>
      </c>
      <c r="D454" s="38">
        <f t="shared" si="22"/>
        <v>1.6930709087237886E-3</v>
      </c>
      <c r="E454" s="38">
        <f t="shared" si="23"/>
        <v>-1.5882554212860233E-2</v>
      </c>
    </row>
    <row r="455" spans="1:5">
      <c r="A455" s="41" t="s">
        <v>291</v>
      </c>
      <c r="B455" s="37">
        <v>1862.1</v>
      </c>
      <c r="C455" s="37">
        <v>79705.91</v>
      </c>
      <c r="D455" s="38">
        <f t="shared" si="22"/>
        <v>4.2888490036304544E-2</v>
      </c>
      <c r="E455" s="38">
        <f t="shared" si="23"/>
        <v>9.1285440734843615E-3</v>
      </c>
    </row>
    <row r="456" spans="1:5">
      <c r="A456" s="41" t="s">
        <v>293</v>
      </c>
      <c r="B456" s="37">
        <v>1943.7</v>
      </c>
      <c r="C456" s="37">
        <v>80436.84</v>
      </c>
      <c r="D456" s="38">
        <f t="shared" si="22"/>
        <v>-2.1766276481954627E-2</v>
      </c>
      <c r="E456" s="38">
        <f t="shared" si="23"/>
        <v>8.0406294775924991E-3</v>
      </c>
    </row>
    <row r="457" spans="1:5">
      <c r="A457" s="41">
        <v>45452</v>
      </c>
      <c r="B457" s="37">
        <v>1901.85</v>
      </c>
      <c r="C457" s="37">
        <v>81086.210000000006</v>
      </c>
      <c r="D457" s="38">
        <f t="shared" si="22"/>
        <v>2.1972048384527515E-2</v>
      </c>
      <c r="E457" s="38">
        <f t="shared" si="23"/>
        <v>1.5657028314270249E-2</v>
      </c>
    </row>
    <row r="458" spans="1:5">
      <c r="A458" s="41" t="s">
        <v>296</v>
      </c>
      <c r="B458" s="37">
        <v>1944.1</v>
      </c>
      <c r="C458" s="37">
        <v>82365.77</v>
      </c>
      <c r="D458" s="38">
        <f t="shared" si="22"/>
        <v>-1.992351315821091E-2</v>
      </c>
      <c r="E458" s="38">
        <f t="shared" si="23"/>
        <v>-1.4452616808706071E-2</v>
      </c>
    </row>
    <row r="459" spans="1:5">
      <c r="A459" s="41" t="s">
        <v>297</v>
      </c>
      <c r="B459" s="37">
        <v>1905.75</v>
      </c>
      <c r="C459" s="37">
        <v>81183.929999999993</v>
      </c>
      <c r="D459" s="38">
        <f t="shared" si="22"/>
        <v>5.2459017596489209E-4</v>
      </c>
      <c r="E459" s="38">
        <f t="shared" si="23"/>
        <v>2.0808446692057603E-2</v>
      </c>
    </row>
    <row r="460" spans="1:5">
      <c r="A460" s="41" t="s">
        <v>299</v>
      </c>
      <c r="B460" s="37">
        <v>1906.75</v>
      </c>
      <c r="C460" s="37">
        <v>82890.94</v>
      </c>
      <c r="D460" s="38">
        <f t="shared" si="22"/>
        <v>5.9609578061371581E-3</v>
      </c>
      <c r="E460" s="38">
        <f t="shared" si="23"/>
        <v>1.9750007753195461E-2</v>
      </c>
    </row>
    <row r="461" spans="1:5">
      <c r="A461" s="41">
        <v>45392</v>
      </c>
      <c r="B461" s="37">
        <v>1918.15</v>
      </c>
      <c r="C461" s="37">
        <v>84544.31</v>
      </c>
      <c r="D461" s="38">
        <f t="shared" si="22"/>
        <v>8.7978248646165217E-3</v>
      </c>
      <c r="E461" s="38">
        <f t="shared" si="23"/>
        <v>1.2080598299912463E-2</v>
      </c>
    </row>
    <row r="462" spans="1:5">
      <c r="A462" s="41">
        <v>45606</v>
      </c>
      <c r="B462" s="37">
        <v>1935.1</v>
      </c>
      <c r="C462" s="37">
        <v>85571.85</v>
      </c>
      <c r="D462" s="38">
        <f t="shared" si="22"/>
        <v>-2.9100016486440974E-2</v>
      </c>
      <c r="E462" s="38">
        <f t="shared" si="23"/>
        <v>-4.6443752919679344E-2</v>
      </c>
    </row>
    <row r="463" spans="1:5">
      <c r="A463" s="41" t="s">
        <v>302</v>
      </c>
      <c r="B463" s="37">
        <v>1879.6</v>
      </c>
      <c r="C463" s="37">
        <v>81688.45</v>
      </c>
      <c r="D463" s="38">
        <f t="shared" si="22"/>
        <v>-9.380956905777723E-3</v>
      </c>
      <c r="E463" s="38">
        <f t="shared" si="23"/>
        <v>-3.7663668464343338E-3</v>
      </c>
    </row>
    <row r="464" spans="1:5">
      <c r="A464" s="41" t="s">
        <v>303</v>
      </c>
      <c r="B464" s="37">
        <v>1862.05</v>
      </c>
      <c r="C464" s="37">
        <v>81381.36</v>
      </c>
      <c r="D464" s="38">
        <f t="shared" si="22"/>
        <v>-1.7389387265051459E-2</v>
      </c>
      <c r="E464" s="38">
        <f t="shared" si="23"/>
        <v>-1.9262504763731449E-3</v>
      </c>
    </row>
    <row r="465" spans="1:5">
      <c r="A465" s="41">
        <v>45515</v>
      </c>
      <c r="B465" s="37">
        <v>1829.95</v>
      </c>
      <c r="C465" s="37">
        <v>81224.75</v>
      </c>
      <c r="D465" s="38">
        <f t="shared" si="22"/>
        <v>1.873109304245512E-2</v>
      </c>
      <c r="E465" s="38">
        <f t="shared" si="23"/>
        <v>-2.2692794533302384E-2</v>
      </c>
    </row>
    <row r="466" spans="1:5">
      <c r="A466" s="41" t="s">
        <v>306</v>
      </c>
      <c r="B466" s="37">
        <v>1864.55</v>
      </c>
      <c r="C466" s="37">
        <v>79402.289999999994</v>
      </c>
      <c r="D466" s="38">
        <f t="shared" si="22"/>
        <v>2.0017658956345614E-2</v>
      </c>
      <c r="E466" s="38">
        <f t="shared" si="23"/>
        <v>1.0577222348944913E-3</v>
      </c>
    </row>
    <row r="467" spans="1:5">
      <c r="A467" s="41" t="s">
        <v>307</v>
      </c>
      <c r="B467" s="37">
        <v>1902.25</v>
      </c>
      <c r="C467" s="37">
        <v>79486.320000000007</v>
      </c>
      <c r="D467" s="38">
        <f t="shared" si="22"/>
        <v>-2.3617490911709338E-2</v>
      </c>
      <c r="E467" s="38">
        <f t="shared" si="23"/>
        <v>-2.4271273502842458E-2</v>
      </c>
    </row>
    <row r="468" spans="1:5">
      <c r="A468" s="41" t="s">
        <v>308</v>
      </c>
      <c r="B468" s="37">
        <v>1857.85</v>
      </c>
      <c r="C468" s="37">
        <v>77580.31</v>
      </c>
      <c r="D468" s="38">
        <f t="shared" si="22"/>
        <v>3.4154500277336297E-2</v>
      </c>
      <c r="E468" s="38">
        <f t="shared" si="23"/>
        <v>1.9615501973531662E-2</v>
      </c>
    </row>
    <row r="469" spans="1:5">
      <c r="A469" s="41">
        <v>45455</v>
      </c>
      <c r="B469" s="37">
        <v>1922.4</v>
      </c>
      <c r="C469" s="37">
        <v>79117.11</v>
      </c>
      <c r="D469" s="38">
        <f t="shared" si="22"/>
        <v>3.9422763868697967E-2</v>
      </c>
      <c r="E469" s="38">
        <f t="shared" si="23"/>
        <v>8.629306398012548E-3</v>
      </c>
    </row>
    <row r="470" spans="1:5">
      <c r="A470" s="41" t="s">
        <v>311</v>
      </c>
      <c r="B470" s="37">
        <v>1999.7</v>
      </c>
      <c r="C470" s="37">
        <v>79802.789999999994</v>
      </c>
      <c r="D470" s="38">
        <f t="shared" si="22"/>
        <v>-3.9552818101496315E-2</v>
      </c>
      <c r="E470" s="38">
        <f t="shared" si="23"/>
        <v>2.3607157292395334E-2</v>
      </c>
    </row>
    <row r="471" spans="1:5">
      <c r="A471" s="41" t="s">
        <v>313</v>
      </c>
      <c r="B471" s="37">
        <v>1922.15</v>
      </c>
      <c r="C471" s="37">
        <v>81709.119999999995</v>
      </c>
      <c r="D471" s="38">
        <f t="shared" si="22"/>
        <v>-2.8133077504570903E-3</v>
      </c>
      <c r="E471" s="38">
        <f t="shared" si="23"/>
        <v>5.1757220422815938E-3</v>
      </c>
    </row>
    <row r="472" spans="1:5">
      <c r="A472" s="41" t="s">
        <v>314</v>
      </c>
      <c r="B472" s="37">
        <v>1916.75</v>
      </c>
      <c r="C472" s="37">
        <v>82133.119999999995</v>
      </c>
      <c r="D472" s="38">
        <f t="shared" si="22"/>
        <v>1.1412392051744765E-2</v>
      </c>
      <c r="E472" s="38">
        <f t="shared" si="23"/>
        <v>-5.1099455870830646E-2</v>
      </c>
    </row>
    <row r="473" spans="1:5">
      <c r="A473" s="41">
        <v>45717</v>
      </c>
      <c r="B473" s="37">
        <v>1938.75</v>
      </c>
      <c r="C473" s="37">
        <v>78041.59</v>
      </c>
      <c r="D473" s="38">
        <f t="shared" si="22"/>
        <v>1.4440684154794428E-2</v>
      </c>
      <c r="E473" s="38">
        <f t="shared" si="23"/>
        <v>8.3894486123986152E-3</v>
      </c>
    </row>
    <row r="474" spans="1:5">
      <c r="A474" s="41">
        <v>45931</v>
      </c>
      <c r="B474" s="37">
        <v>1966.95</v>
      </c>
      <c r="C474" s="37">
        <v>78699.070000000007</v>
      </c>
      <c r="D474" s="38">
        <f t="shared" si="22"/>
        <v>-8.0150748792820442E-2</v>
      </c>
      <c r="E474" s="38">
        <f t="shared" si="23"/>
        <v>6.6367108595434014E-3</v>
      </c>
    </row>
    <row r="475" spans="1:5">
      <c r="A475" s="41" t="s">
        <v>318</v>
      </c>
      <c r="B475" s="37">
        <v>1815.45</v>
      </c>
      <c r="C475" s="37">
        <v>79223.11</v>
      </c>
      <c r="D475" s="38">
        <f t="shared" si="22"/>
        <v>3.251525975639593E-2</v>
      </c>
      <c r="E475" s="38">
        <f t="shared" si="23"/>
        <v>-2.3553786340458464E-2</v>
      </c>
    </row>
    <row r="476" spans="1:5">
      <c r="A476" s="41" t="s">
        <v>319</v>
      </c>
      <c r="B476" s="37">
        <v>1875.45</v>
      </c>
      <c r="C476" s="37">
        <v>77378.91</v>
      </c>
      <c r="D476" s="38">
        <f t="shared" si="22"/>
        <v>1.4924465315164797E-2</v>
      </c>
      <c r="E476" s="38">
        <f t="shared" si="23"/>
        <v>-9.864868064812746E-3</v>
      </c>
    </row>
    <row r="477" spans="1:5">
      <c r="A477" s="41">
        <v>45840</v>
      </c>
      <c r="B477" s="37">
        <v>1903.65</v>
      </c>
      <c r="C477" s="37">
        <v>76619.33</v>
      </c>
      <c r="D477" s="38">
        <f t="shared" si="22"/>
        <v>-2.5133967557262358E-2</v>
      </c>
      <c r="E477" s="38">
        <f t="shared" si="23"/>
        <v>-5.6131367766974367E-3</v>
      </c>
    </row>
    <row r="478" spans="1:5">
      <c r="A478" s="41" t="s">
        <v>321</v>
      </c>
      <c r="B478" s="37">
        <v>1856.4</v>
      </c>
      <c r="C478" s="37">
        <v>76190.460000000006</v>
      </c>
      <c r="D478" s="38">
        <f t="shared" si="22"/>
        <v>-2.2553660668069627E-2</v>
      </c>
      <c r="E478" s="38">
        <f t="shared" si="23"/>
        <v>2.1678524452326094E-2</v>
      </c>
    </row>
    <row r="479" spans="1:5">
      <c r="A479" s="41" t="s">
        <v>323</v>
      </c>
      <c r="B479" s="37">
        <v>1815</v>
      </c>
      <c r="C479" s="37">
        <v>77860.19</v>
      </c>
      <c r="D479" s="38">
        <f t="shared" si="22"/>
        <v>-7.2718812456512433E-2</v>
      </c>
      <c r="E479" s="38">
        <f t="shared" si="23"/>
        <v>-2.4981630656905049E-2</v>
      </c>
    </row>
    <row r="480" spans="1:5">
      <c r="A480" s="41" t="s">
        <v>324</v>
      </c>
      <c r="B480" s="37">
        <v>1687.7</v>
      </c>
      <c r="C480" s="37">
        <v>75939.210000000006</v>
      </c>
      <c r="D480" s="38">
        <f t="shared" si="22"/>
        <v>-1.0077956806379107E-3</v>
      </c>
      <c r="E480" s="38">
        <f t="shared" si="23"/>
        <v>-8.3061486296202008E-3</v>
      </c>
    </row>
    <row r="481" spans="1:5">
      <c r="A481" s="41">
        <v>45841</v>
      </c>
      <c r="B481" s="37">
        <v>1686</v>
      </c>
      <c r="C481" s="37">
        <v>75311.06</v>
      </c>
      <c r="D481" s="38">
        <f t="shared" si="22"/>
        <v>-6.5028953756423633E-2</v>
      </c>
      <c r="E481" s="38">
        <f t="shared" si="23"/>
        <v>-2.8457538823985242E-2</v>
      </c>
    </row>
    <row r="482" spans="1:5">
      <c r="A482" s="41" t="s">
        <v>326</v>
      </c>
      <c r="B482" s="37">
        <v>1579.85</v>
      </c>
      <c r="C482" s="37">
        <v>73198.100000000006</v>
      </c>
      <c r="D482" s="38">
        <f t="shared" si="22"/>
        <v>8.0065993223146347E-3</v>
      </c>
      <c r="E482" s="38">
        <f t="shared" si="23"/>
        <v>1.5379883865263537E-2</v>
      </c>
    </row>
    <row r="483" spans="1:5">
      <c r="A483" s="41" t="s">
        <v>328</v>
      </c>
      <c r="B483" s="37">
        <v>1592.55</v>
      </c>
      <c r="C483" s="37">
        <v>74332.58</v>
      </c>
      <c r="D483" s="38">
        <f t="shared" si="22"/>
        <v>-1.3846958726110923E-2</v>
      </c>
      <c r="E483" s="38">
        <f t="shared" si="23"/>
        <v>-6.7989588956301568E-3</v>
      </c>
    </row>
    <row r="484" spans="1:5">
      <c r="A484" s="41" t="s">
        <v>330</v>
      </c>
      <c r="B484" s="37">
        <v>1570.65</v>
      </c>
      <c r="C484" s="37">
        <v>73828.91</v>
      </c>
      <c r="D484" s="38">
        <f t="shared" si="22"/>
        <v>-7.8788705905252318E-2</v>
      </c>
      <c r="E484" s="38">
        <f t="shared" si="23"/>
        <v>4.0827136124324793E-2</v>
      </c>
    </row>
    <row r="485" spans="1:5">
      <c r="A485" s="41">
        <v>45751</v>
      </c>
      <c r="B485" s="37">
        <v>1451.65</v>
      </c>
      <c r="C485" s="37">
        <v>76905.509999999995</v>
      </c>
      <c r="D485" s="38">
        <f t="shared" si="22"/>
        <v>-2.9501283143551982E-2</v>
      </c>
      <c r="E485" s="38">
        <f t="shared" si="23"/>
        <v>6.6020014366035377E-3</v>
      </c>
    </row>
    <row r="486" spans="1:5">
      <c r="A486" s="41">
        <v>45965</v>
      </c>
      <c r="B486" s="37">
        <v>1409.45</v>
      </c>
      <c r="C486" s="37">
        <v>77414.92</v>
      </c>
      <c r="D486" s="38">
        <f t="shared" si="22"/>
        <v>7.1051395602493806E-3</v>
      </c>
      <c r="E486" s="38">
        <f t="shared" si="23"/>
        <v>-2.6840663937971024E-2</v>
      </c>
    </row>
    <row r="487" spans="1:5">
      <c r="A487" s="41" t="s">
        <v>333</v>
      </c>
      <c r="B487" s="37">
        <v>1419.5</v>
      </c>
      <c r="C487" s="37">
        <v>75364.69</v>
      </c>
      <c r="D487" s="38">
        <f t="shared" si="22"/>
        <v>4.1872516850340234E-2</v>
      </c>
      <c r="E487" s="38">
        <f t="shared" si="23"/>
        <v>-2.7561446195580219E-3</v>
      </c>
    </row>
    <row r="488" spans="1:5">
      <c r="A488" s="41" t="s">
        <v>335</v>
      </c>
      <c r="B488" s="37">
        <v>1480.2</v>
      </c>
      <c r="C488" s="37">
        <v>75157.259999999995</v>
      </c>
      <c r="D488" s="38">
        <f t="shared" si="22"/>
        <v>1.781098305451986E-2</v>
      </c>
      <c r="E488" s="38">
        <f t="shared" si="23"/>
        <v>4.4193383935764559E-2</v>
      </c>
    </row>
    <row r="489" spans="1:5">
      <c r="A489" s="41">
        <v>45693</v>
      </c>
      <c r="B489" s="37">
        <v>1506.8</v>
      </c>
      <c r="C489" s="37">
        <v>78553.2</v>
      </c>
      <c r="D489" s="38">
        <f t="shared" si="22"/>
        <v>5.3078557509439776E-4</v>
      </c>
      <c r="E489" s="38">
        <f t="shared" si="23"/>
        <v>8.3583911226283135E-3</v>
      </c>
    </row>
    <row r="490" spans="1:5">
      <c r="A490" s="41">
        <v>45905</v>
      </c>
      <c r="B490" s="37">
        <v>1507.6</v>
      </c>
      <c r="C490" s="37">
        <v>79212.53</v>
      </c>
      <c r="D490" s="38">
        <f t="shared" si="22"/>
        <v>5.3152138761683093E-2</v>
      </c>
      <c r="E490" s="38">
        <f t="shared" si="23"/>
        <v>1.6147411238197209E-2</v>
      </c>
    </row>
    <row r="491" spans="1:5">
      <c r="A491" s="41" t="s">
        <v>337</v>
      </c>
      <c r="B491" s="37">
        <v>1589.9</v>
      </c>
      <c r="C491" s="37">
        <v>80501.990000000005</v>
      </c>
      <c r="D491" s="38">
        <f t="shared" si="22"/>
        <v>-1.5913100874110582E-2</v>
      </c>
      <c r="E491" s="38">
        <f t="shared" si="23"/>
        <v>-1.3097751415902239E-2</v>
      </c>
    </row>
    <row r="492" spans="1:5">
      <c r="A492" s="41" t="s">
        <v>339</v>
      </c>
      <c r="B492" s="37">
        <v>1564.8</v>
      </c>
      <c r="C492" s="37">
        <v>79454.47</v>
      </c>
      <c r="D492" s="38">
        <f t="shared" si="22"/>
        <v>-1.3429258612972362E-3</v>
      </c>
      <c r="E492" s="38">
        <f t="shared" si="23"/>
        <v>3.5558574366729233E-2</v>
      </c>
    </row>
    <row r="493" spans="1:5">
      <c r="A493" s="41" t="s">
        <v>341</v>
      </c>
      <c r="B493" s="37">
        <v>1562.7</v>
      </c>
      <c r="C493" s="37">
        <v>82330.59</v>
      </c>
      <c r="D493" s="38">
        <f t="shared" si="22"/>
        <v>7.0366227115796086E-4</v>
      </c>
      <c r="E493" s="38">
        <f t="shared" si="23"/>
        <v>-7.4307418455692286E-3</v>
      </c>
    </row>
    <row r="494" spans="1:5">
      <c r="A494" s="41">
        <v>45814</v>
      </c>
      <c r="B494" s="37">
        <v>1563.8</v>
      </c>
      <c r="C494" s="37">
        <v>81721.08</v>
      </c>
      <c r="D494" s="38">
        <f t="shared" si="22"/>
        <v>2.4134091937890855E-2</v>
      </c>
      <c r="E494" s="38">
        <f t="shared" si="23"/>
        <v>-3.3102505044023734E-3</v>
      </c>
    </row>
    <row r="495" spans="1:5">
      <c r="A495" s="41" t="s">
        <v>343</v>
      </c>
      <c r="B495" s="37">
        <v>1602</v>
      </c>
      <c r="C495" s="37">
        <v>81451.009999999995</v>
      </c>
      <c r="D495" s="38">
        <f t="shared" si="22"/>
        <v>1.2961823693531736E-2</v>
      </c>
      <c r="E495" s="38">
        <f t="shared" si="23"/>
        <v>9.0196162685958862E-3</v>
      </c>
    </row>
    <row r="496" spans="1:5">
      <c r="A496" s="41" t="s">
        <v>345</v>
      </c>
      <c r="B496" s="37">
        <v>1622.9</v>
      </c>
      <c r="C496" s="37">
        <v>82188.990000000005</v>
      </c>
      <c r="D496" s="38">
        <f t="shared" si="22"/>
        <v>-9.223501582924629E-3</v>
      </c>
      <c r="E496" s="38">
        <f t="shared" si="23"/>
        <v>-1.3109070174014453E-2</v>
      </c>
    </row>
    <row r="497" spans="1:5">
      <c r="A497" s="41" t="s">
        <v>347</v>
      </c>
      <c r="B497" s="37">
        <v>1608</v>
      </c>
      <c r="C497" s="37">
        <v>81118.600000000006</v>
      </c>
      <c r="D497" s="38">
        <f t="shared" si="22"/>
        <v>2.0131809281925105E-2</v>
      </c>
      <c r="E497" s="38">
        <f t="shared" si="23"/>
        <v>1.5772301174475832E-2</v>
      </c>
    </row>
    <row r="498" spans="1:5">
      <c r="A498" s="41">
        <v>45754</v>
      </c>
      <c r="B498" s="37">
        <v>1640.7</v>
      </c>
      <c r="C498" s="37">
        <v>82408.17</v>
      </c>
      <c r="D498" s="38">
        <f t="shared" si="22"/>
        <v>-2.831194169212824E-2</v>
      </c>
      <c r="E498" s="38">
        <f t="shared" si="23"/>
        <v>1.9833161114540997E-2</v>
      </c>
    </row>
    <row r="499" spans="1:5">
      <c r="A499" s="41">
        <v>45968</v>
      </c>
      <c r="B499" s="37">
        <v>1594.9</v>
      </c>
      <c r="C499" s="37">
        <v>84058.9</v>
      </c>
      <c r="D499" s="38">
        <f t="shared" si="22"/>
        <v>-5.5328654191943247E-3</v>
      </c>
      <c r="E499" s="38">
        <f t="shared" si="23"/>
        <v>-7.4751474684694322E-3</v>
      </c>
    </row>
    <row r="500" spans="1:5">
      <c r="A500" s="41" t="s">
        <v>349</v>
      </c>
      <c r="B500" s="37">
        <v>1586.1</v>
      </c>
      <c r="C500" s="37">
        <v>83432.89</v>
      </c>
      <c r="D500" s="38">
        <f t="shared" si="22"/>
        <v>-4.5400794471902962E-2</v>
      </c>
      <c r="E500" s="38">
        <f t="shared" si="23"/>
        <v>-1.1238605837745275E-2</v>
      </c>
    </row>
    <row r="501" spans="1:5">
      <c r="A501" s="41" t="s">
        <v>351</v>
      </c>
      <c r="B501" s="37">
        <v>1515.7</v>
      </c>
      <c r="C501" s="37">
        <v>82500.47</v>
      </c>
      <c r="D501" s="38">
        <f t="shared" si="22"/>
        <v>-3.0887123536695465E-2</v>
      </c>
      <c r="E501" s="38">
        <f t="shared" si="23"/>
        <v>-9.043628412009435E-3</v>
      </c>
    </row>
    <row r="502" spans="1:5">
      <c r="A502" s="41">
        <v>45665</v>
      </c>
      <c r="B502" s="37">
        <v>1469.6</v>
      </c>
      <c r="C502" s="37">
        <v>81757.73</v>
      </c>
      <c r="D502" s="38">
        <f t="shared" si="22"/>
        <v>-3.215266421130164E-2</v>
      </c>
      <c r="E502" s="38">
        <f t="shared" si="23"/>
        <v>-3.6103276535372829E-3</v>
      </c>
    </row>
    <row r="503" spans="1:5">
      <c r="A503" s="41">
        <v>45877</v>
      </c>
      <c r="B503" s="37">
        <v>1423.1</v>
      </c>
      <c r="C503" s="37">
        <v>81463.09</v>
      </c>
      <c r="D503" s="38">
        <f t="shared" si="22"/>
        <v>1.7138499470383661E-2</v>
      </c>
      <c r="E503" s="38">
        <f t="shared" si="23"/>
        <v>-1.0652501341908796E-2</v>
      </c>
    </row>
    <row r="504" spans="1:5">
      <c r="A504" s="41" t="s">
        <v>353</v>
      </c>
      <c r="B504" s="37">
        <v>1447.7</v>
      </c>
      <c r="C504" s="37">
        <v>80599.91</v>
      </c>
      <c r="D504" s="38">
        <f t="shared" si="22"/>
        <v>2.7120768259786952E-2</v>
      </c>
      <c r="E504" s="38">
        <f t="shared" si="23"/>
        <v>-9.2501050629900869E-3</v>
      </c>
    </row>
    <row r="505" spans="1:5">
      <c r="A505" s="41" t="s">
        <v>355</v>
      </c>
      <c r="B505" s="37">
        <v>1487.5</v>
      </c>
      <c r="C505" s="37">
        <v>79857.789999999994</v>
      </c>
      <c r="D505" s="38">
        <f t="shared" si="22"/>
        <v>-1.2106603518869012E-2</v>
      </c>
      <c r="E505" s="38">
        <f t="shared" si="23"/>
        <v>9.2221890094151063E-3</v>
      </c>
    </row>
    <row r="506" spans="1:5">
      <c r="A506" s="41" t="s">
        <v>357</v>
      </c>
      <c r="B506" s="37">
        <v>1469.6</v>
      </c>
      <c r="C506" s="37">
        <v>80597.66</v>
      </c>
      <c r="D506" s="38">
        <f t="shared" si="22"/>
        <v>-1.7157788284169501E-2</v>
      </c>
      <c r="E506" s="38">
        <f t="shared" si="23"/>
        <v>8.7606520139253945E-3</v>
      </c>
    </row>
    <row r="507" spans="1:5">
      <c r="A507" s="41">
        <v>45786</v>
      </c>
      <c r="B507" s="37">
        <v>1444.6</v>
      </c>
      <c r="C507" s="37">
        <v>81306.850000000006</v>
      </c>
      <c r="D507" s="38">
        <f t="shared" si="22"/>
        <v>5.4555308669462843E-2</v>
      </c>
      <c r="E507" s="38">
        <f t="shared" si="23"/>
        <v>-1.8585844384059243E-2</v>
      </c>
    </row>
    <row r="508" spans="1:5">
      <c r="A508" s="41">
        <v>46000</v>
      </c>
      <c r="B508" s="37">
        <v>1525.6</v>
      </c>
      <c r="C508" s="37">
        <v>79809.649999999994</v>
      </c>
      <c r="D508" s="38">
        <f t="shared" si="22"/>
        <v>9.5245028189404786E-3</v>
      </c>
      <c r="E508" s="38">
        <f t="shared" si="23"/>
        <v>1.1227475258197497E-2</v>
      </c>
    </row>
    <row r="509" spans="1:5">
      <c r="A509" s="41" t="s">
        <v>360</v>
      </c>
      <c r="B509" s="37">
        <v>1540.2</v>
      </c>
      <c r="C509" s="37">
        <v>80710.759999999995</v>
      </c>
      <c r="D509" s="38">
        <f t="shared" si="22"/>
        <v>-6.110763027847306E-2</v>
      </c>
      <c r="E509" s="38">
        <f t="shared" si="23"/>
        <v>1.4684476548699003E-2</v>
      </c>
    </row>
    <row r="510" spans="1:5">
      <c r="A510" s="41" t="s">
        <v>362</v>
      </c>
      <c r="B510" s="37">
        <v>1448.9</v>
      </c>
      <c r="C510" s="37">
        <v>81904.7</v>
      </c>
      <c r="D510" s="38">
        <f t="shared" si="22"/>
        <v>-1.5886724114963331E-3</v>
      </c>
      <c r="E510" s="38">
        <f t="shared" si="23"/>
        <v>8.7708083267626601E-3</v>
      </c>
    </row>
    <row r="511" spans="1:5">
      <c r="A511" s="41">
        <v>45726</v>
      </c>
      <c r="B511" s="37">
        <v>1446.6</v>
      </c>
      <c r="C511" s="37">
        <v>82626.23</v>
      </c>
      <c r="D511" s="38">
        <f t="shared" si="22"/>
        <v>4.6133454749097733E-2</v>
      </c>
      <c r="E511" s="38">
        <f t="shared" si="23"/>
        <v>-2.6983958077066161E-2</v>
      </c>
    </row>
    <row r="512" spans="1:5">
      <c r="A512" s="41">
        <v>45940</v>
      </c>
      <c r="B512" s="37">
        <v>1514.9</v>
      </c>
      <c r="C512" s="37">
        <v>80426.460000000006</v>
      </c>
      <c r="D512" s="38">
        <f t="shared" si="22"/>
        <v>-4.9942719319962151E-2</v>
      </c>
      <c r="E512" s="38">
        <f t="shared" si="23"/>
        <v>9.6603172424511771E-3</v>
      </c>
    </row>
    <row r="513" spans="1:5">
      <c r="A513" s="41" t="s">
        <v>364</v>
      </c>
      <c r="B513" s="37">
        <v>1441.1</v>
      </c>
      <c r="C513" s="37">
        <v>81207.17</v>
      </c>
      <c r="D513" s="38">
        <f t="shared" si="22"/>
        <v>5.684995988582249E-2</v>
      </c>
      <c r="E513" s="38">
        <f t="shared" si="23"/>
        <v>1.580468892319533E-2</v>
      </c>
    </row>
    <row r="514" spans="1:5">
      <c r="A514" s="41" t="s">
        <v>366</v>
      </c>
      <c r="B514" s="37">
        <v>1525.4</v>
      </c>
      <c r="C514" s="37">
        <v>82500.820000000007</v>
      </c>
      <c r="D514" s="38">
        <f t="shared" si="22"/>
        <v>-2.8661735210324262E-2</v>
      </c>
      <c r="E514" s="38">
        <f t="shared" si="23"/>
        <v>1.7439237454633428E-2</v>
      </c>
    </row>
    <row r="515" spans="1:5">
      <c r="A515" s="41" t="s">
        <v>367</v>
      </c>
      <c r="B515" s="37">
        <v>1482.3</v>
      </c>
      <c r="C515" s="37">
        <v>83952.19</v>
      </c>
      <c r="D515" s="38">
        <f t="shared" si="22"/>
        <v>-3.7173507712262954E-3</v>
      </c>
      <c r="E515" s="38">
        <f t="shared" si="23"/>
        <v>3.0885337924179165E-3</v>
      </c>
    </row>
    <row r="516" spans="1:5">
      <c r="A516" s="41">
        <v>45849</v>
      </c>
      <c r="B516" s="37">
        <v>1476.8</v>
      </c>
      <c r="C516" s="37">
        <v>84211.88</v>
      </c>
      <c r="D516" s="38">
        <f t="shared" si="22"/>
        <v>1.7452449951226207E-2</v>
      </c>
      <c r="E516" s="38">
        <f t="shared" si="23"/>
        <v>-3.2491142649624127E-3</v>
      </c>
    </row>
    <row r="517" spans="1:5">
      <c r="A517" s="41" t="s">
        <v>369</v>
      </c>
      <c r="B517" s="37">
        <v>1502.8</v>
      </c>
      <c r="C517" s="37">
        <v>83938.71</v>
      </c>
      <c r="D517" s="38">
        <f t="shared" si="22"/>
        <v>2.7693875632031933E-2</v>
      </c>
      <c r="E517" s="38">
        <f t="shared" si="23"/>
        <v>-8.6438879046619264E-3</v>
      </c>
    </row>
    <row r="518" spans="1:5">
      <c r="A518" s="41" t="s">
        <v>371</v>
      </c>
      <c r="B518" s="37">
        <v>1545</v>
      </c>
      <c r="C518" s="37">
        <v>83216.28</v>
      </c>
      <c r="D518" s="36"/>
      <c r="E518" s="36"/>
    </row>
    <row r="519" spans="1:5">
      <c r="C519" s="1"/>
    </row>
    <row r="520" spans="1:5">
      <c r="C520" s="1"/>
    </row>
  </sheetData>
  <mergeCells count="2">
    <mergeCell ref="A1:E2"/>
    <mergeCell ref="H1:L2"/>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6"/>
  <sheetViews>
    <sheetView topLeftCell="L1" zoomScale="82" zoomScaleNormal="100" workbookViewId="0">
      <selection activeCell="G9" sqref="G9"/>
    </sheetView>
  </sheetViews>
  <sheetFormatPr defaultColWidth="19.5546875" defaultRowHeight="14.4"/>
  <cols>
    <col min="1" max="1" width="19.5546875" style="8"/>
    <col min="8" max="8" width="19.5546875" style="8"/>
    <col min="13" max="13" width="24.33203125" bestFit="1" customWidth="1"/>
    <col min="14" max="14" width="25.5546875" bestFit="1" customWidth="1"/>
  </cols>
  <sheetData>
    <row r="1" spans="1:20" ht="14.4" customHeight="1">
      <c r="A1" s="150" t="s">
        <v>54</v>
      </c>
      <c r="B1" s="150"/>
      <c r="C1" s="150"/>
      <c r="D1" s="150"/>
      <c r="E1" s="150"/>
      <c r="I1" s="136" t="s">
        <v>55</v>
      </c>
      <c r="J1" s="137"/>
      <c r="K1" s="137"/>
      <c r="L1" s="137"/>
      <c r="M1" s="138"/>
      <c r="R1" t="s">
        <v>374</v>
      </c>
    </row>
    <row r="2" spans="1:20" ht="14.4" customHeight="1">
      <c r="A2" s="150"/>
      <c r="B2" s="150"/>
      <c r="C2" s="150"/>
      <c r="D2" s="150"/>
      <c r="E2" s="150"/>
      <c r="I2" s="139"/>
      <c r="J2" s="140"/>
      <c r="K2" s="140"/>
      <c r="L2" s="140"/>
      <c r="M2" s="141"/>
    </row>
    <row r="3" spans="1:20">
      <c r="A3" s="39" t="s">
        <v>56</v>
      </c>
      <c r="B3" s="40" t="s">
        <v>57</v>
      </c>
      <c r="C3" s="40" t="s">
        <v>58</v>
      </c>
      <c r="D3" s="40" t="s">
        <v>59</v>
      </c>
      <c r="E3" s="40" t="s">
        <v>60</v>
      </c>
      <c r="F3" s="145"/>
      <c r="G3" s="145"/>
      <c r="H3" s="39" t="s">
        <v>56</v>
      </c>
      <c r="I3" s="40" t="s">
        <v>57</v>
      </c>
      <c r="J3" s="40" t="s">
        <v>58</v>
      </c>
      <c r="K3" s="40" t="s">
        <v>59</v>
      </c>
      <c r="L3" s="40" t="s">
        <v>60</v>
      </c>
      <c r="M3" s="145" t="s">
        <v>375</v>
      </c>
      <c r="N3" s="145" t="s">
        <v>376</v>
      </c>
      <c r="P3" s="145" t="s">
        <v>60</v>
      </c>
      <c r="Q3" s="145" t="s">
        <v>377</v>
      </c>
      <c r="R3" s="145" t="s">
        <v>378</v>
      </c>
      <c r="S3" s="145" t="s">
        <v>379</v>
      </c>
      <c r="T3" s="145" t="s">
        <v>380</v>
      </c>
    </row>
    <row r="4" spans="1:20">
      <c r="A4" s="35">
        <v>42309</v>
      </c>
      <c r="B4" s="37">
        <v>1088.45</v>
      </c>
      <c r="C4" s="37">
        <v>26145.67</v>
      </c>
      <c r="D4" s="38">
        <f>LN(B5/B4)</f>
        <v>1.4683346341248569E-2</v>
      </c>
      <c r="E4" s="38">
        <f>LN(C5/C4)</f>
        <v>-1.0764743580200897E-3</v>
      </c>
      <c r="F4" s="23"/>
      <c r="G4" s="23"/>
      <c r="H4" s="35">
        <v>44136</v>
      </c>
      <c r="I4" s="37">
        <v>1100.55</v>
      </c>
      <c r="J4" s="37">
        <v>44149.72</v>
      </c>
      <c r="K4" s="38">
        <f>LN(I5/I4)</f>
        <v>0.13200257931649628</v>
      </c>
      <c r="L4" s="144">
        <f>LN(J5/J4)</f>
        <v>7.8420334927978397E-2</v>
      </c>
      <c r="M4" s="143">
        <v>6.5299999999999997E-2</v>
      </c>
      <c r="N4" s="143">
        <f>L4-M4</f>
        <v>1.31203349279784E-2</v>
      </c>
      <c r="P4" s="147">
        <v>7.8420334927978397E-2</v>
      </c>
      <c r="Q4" s="146">
        <f>1+P4</f>
        <v>1.0784203349279784</v>
      </c>
      <c r="R4" s="148">
        <f>PRODUCT(Q4:Q63)</f>
        <v>1.839074734284784</v>
      </c>
      <c r="S4" s="67">
        <f>12/60</f>
        <v>0.2</v>
      </c>
      <c r="T4" s="143">
        <f>(R4)^S4-1</f>
        <v>0.12958749416766735</v>
      </c>
    </row>
    <row r="5" spans="1:20">
      <c r="A5" s="35">
        <v>42339</v>
      </c>
      <c r="B5" s="37">
        <v>1104.55</v>
      </c>
      <c r="C5" s="37">
        <v>26117.54</v>
      </c>
      <c r="D5" s="38">
        <f t="shared" ref="D5:D68" si="0">LN(B6/B5)</f>
        <v>5.3154311157116482E-2</v>
      </c>
      <c r="E5" s="38">
        <f t="shared" ref="E5:E68" si="1">LN(C6/C5)</f>
        <v>-4.8917117567855113E-2</v>
      </c>
      <c r="F5" s="23"/>
      <c r="G5" s="23"/>
      <c r="H5" s="35">
        <v>44166</v>
      </c>
      <c r="I5" s="37">
        <v>1255.8499999999999</v>
      </c>
      <c r="J5" s="37">
        <v>47751.33</v>
      </c>
      <c r="K5" s="38">
        <f t="shared" ref="K5:K63" si="2">LN(I6/I5)</f>
        <v>-1.2983552452347571E-2</v>
      </c>
      <c r="L5" s="144">
        <f t="shared" ref="L5:L63" si="3">LN(J6/J5)</f>
        <v>-3.1172349501986572E-2</v>
      </c>
      <c r="M5" s="143">
        <v>6.5299999999999997E-2</v>
      </c>
      <c r="N5" s="143">
        <f t="shared" ref="N5:N63" si="4">L5-M5</f>
        <v>-9.6472349501986576E-2</v>
      </c>
      <c r="P5" s="147">
        <v>-3.1172349501986572E-2</v>
      </c>
      <c r="Q5" s="146">
        <f t="shared" ref="Q5:Q63" si="5">1+P5</f>
        <v>0.96882765049801345</v>
      </c>
    </row>
    <row r="6" spans="1:20">
      <c r="A6" s="35">
        <v>42370</v>
      </c>
      <c r="B6" s="37">
        <v>1164.8499999999999</v>
      </c>
      <c r="C6" s="37">
        <v>24870.69</v>
      </c>
      <c r="D6" s="38">
        <f t="shared" si="0"/>
        <v>-7.2165074250558889E-2</v>
      </c>
      <c r="E6" s="38">
        <f t="shared" si="1"/>
        <v>-7.8108833030263558E-2</v>
      </c>
      <c r="F6" s="23"/>
      <c r="G6" s="23"/>
      <c r="H6" s="35">
        <v>44197</v>
      </c>
      <c r="I6" s="37">
        <v>1239.6500000000001</v>
      </c>
      <c r="J6" s="37">
        <v>46285.77</v>
      </c>
      <c r="K6" s="38">
        <f t="shared" si="2"/>
        <v>1.019270461585745E-2</v>
      </c>
      <c r="L6" s="144">
        <f t="shared" si="3"/>
        <v>5.9024260694471163E-2</v>
      </c>
      <c r="M6" s="143">
        <v>6.5299999999999997E-2</v>
      </c>
      <c r="N6" s="143">
        <f t="shared" si="4"/>
        <v>-6.2757393055288338E-3</v>
      </c>
      <c r="P6" s="147">
        <v>5.9024260694471163E-2</v>
      </c>
      <c r="Q6" s="146">
        <f t="shared" si="5"/>
        <v>1.0590242606944711</v>
      </c>
    </row>
    <row r="7" spans="1:20">
      <c r="A7" s="35">
        <v>42401</v>
      </c>
      <c r="B7" s="37">
        <v>1083.75</v>
      </c>
      <c r="C7" s="37">
        <v>23002</v>
      </c>
      <c r="D7" s="38">
        <f t="shared" si="0"/>
        <v>0.1167418684293596</v>
      </c>
      <c r="E7" s="38">
        <f t="shared" si="1"/>
        <v>9.6876405265212934E-2</v>
      </c>
      <c r="F7" s="23"/>
      <c r="G7" s="23"/>
      <c r="H7" s="35">
        <v>44228</v>
      </c>
      <c r="I7" s="37">
        <v>1252.3499999999999</v>
      </c>
      <c r="J7" s="37">
        <v>49099.99</v>
      </c>
      <c r="K7" s="38">
        <f t="shared" si="2"/>
        <v>8.8145267635816121E-2</v>
      </c>
      <c r="L7" s="144">
        <f t="shared" si="3"/>
        <v>8.2986698426506366E-3</v>
      </c>
      <c r="M7" s="143">
        <v>6.5299999999999997E-2</v>
      </c>
      <c r="N7" s="143">
        <f t="shared" si="4"/>
        <v>-5.7001330157349359E-2</v>
      </c>
      <c r="P7" s="147">
        <v>8.2986698426506366E-3</v>
      </c>
      <c r="Q7" s="146">
        <f t="shared" si="5"/>
        <v>1.0082986698426506</v>
      </c>
    </row>
    <row r="8" spans="1:20">
      <c r="A8" s="35">
        <v>42430</v>
      </c>
      <c r="B8" s="37">
        <v>1217.95</v>
      </c>
      <c r="C8" s="37">
        <v>25341.86</v>
      </c>
      <c r="D8" s="38">
        <f t="shared" si="0"/>
        <v>-5.8465252176005287E-3</v>
      </c>
      <c r="E8" s="38">
        <f t="shared" si="1"/>
        <v>1.0393337870313483E-2</v>
      </c>
      <c r="F8" s="23"/>
      <c r="G8" s="23"/>
      <c r="H8" s="35">
        <v>44256</v>
      </c>
      <c r="I8" s="37">
        <v>1367.75</v>
      </c>
      <c r="J8" s="37">
        <v>49509.15</v>
      </c>
      <c r="K8" s="38">
        <f t="shared" si="2"/>
        <v>-1.0177737442870068E-2</v>
      </c>
      <c r="L8" s="144">
        <f t="shared" si="3"/>
        <v>-1.4788728875835783E-2</v>
      </c>
      <c r="M8" s="143">
        <v>6.5299999999999997E-2</v>
      </c>
      <c r="N8" s="143">
        <f t="shared" si="4"/>
        <v>-8.0088728875835777E-2</v>
      </c>
      <c r="P8" s="147">
        <v>-1.4788728875835783E-2</v>
      </c>
      <c r="Q8" s="146">
        <f t="shared" si="5"/>
        <v>0.98521127112416418</v>
      </c>
    </row>
    <row r="9" spans="1:20">
      <c r="A9" s="35">
        <v>42461</v>
      </c>
      <c r="B9" s="37">
        <v>1210.8499999999999</v>
      </c>
      <c r="C9" s="37">
        <v>25606.62</v>
      </c>
      <c r="D9" s="38">
        <f t="shared" si="0"/>
        <v>3.1700951789260197E-2</v>
      </c>
      <c r="E9" s="38">
        <f t="shared" si="1"/>
        <v>4.0611933023768872E-2</v>
      </c>
      <c r="F9" s="23"/>
      <c r="G9" s="23"/>
      <c r="H9" s="35">
        <v>44287</v>
      </c>
      <c r="I9" s="37">
        <v>1353.9</v>
      </c>
      <c r="J9" s="37">
        <v>48782.36</v>
      </c>
      <c r="K9" s="38">
        <f t="shared" si="2"/>
        <v>2.8936888254366001E-2</v>
      </c>
      <c r="L9" s="144">
        <f t="shared" si="3"/>
        <v>6.2671145279061508E-2</v>
      </c>
      <c r="M9" s="143">
        <v>6.5299999999999997E-2</v>
      </c>
      <c r="N9" s="143">
        <f t="shared" si="4"/>
        <v>-2.6288547209384894E-3</v>
      </c>
      <c r="P9" s="147">
        <v>6.2671145279061508E-2</v>
      </c>
      <c r="Q9" s="146">
        <f t="shared" si="5"/>
        <v>1.0626711452790616</v>
      </c>
    </row>
    <row r="10" spans="1:20">
      <c r="A10" s="35">
        <v>42491</v>
      </c>
      <c r="B10" s="37">
        <v>1249.8499999999999</v>
      </c>
      <c r="C10" s="37">
        <v>26667.96</v>
      </c>
      <c r="D10" s="38">
        <f t="shared" si="0"/>
        <v>-6.5378975032119507E-2</v>
      </c>
      <c r="E10" s="38">
        <f t="shared" si="1"/>
        <v>1.2363650750501078E-2</v>
      </c>
      <c r="F10" s="23"/>
      <c r="G10" s="23"/>
      <c r="H10" s="35">
        <v>44317</v>
      </c>
      <c r="I10" s="37">
        <v>1393.65</v>
      </c>
      <c r="J10" s="37">
        <v>51937.440000000002</v>
      </c>
      <c r="K10" s="38">
        <f t="shared" si="2"/>
        <v>0.1262894687203992</v>
      </c>
      <c r="L10" s="144">
        <f t="shared" si="3"/>
        <v>1.044386464177028E-2</v>
      </c>
      <c r="M10" s="143">
        <v>6.5299999999999997E-2</v>
      </c>
      <c r="N10" s="143">
        <f t="shared" si="4"/>
        <v>-5.4856135358229717E-2</v>
      </c>
      <c r="P10" s="147">
        <v>1.044386464177028E-2</v>
      </c>
      <c r="Q10" s="146">
        <f t="shared" si="5"/>
        <v>1.0104438646417704</v>
      </c>
    </row>
    <row r="11" spans="1:20">
      <c r="A11" s="35">
        <v>42522</v>
      </c>
      <c r="B11" s="37">
        <v>1170.75</v>
      </c>
      <c r="C11" s="37">
        <v>26999.72</v>
      </c>
      <c r="D11" s="38">
        <f t="shared" si="0"/>
        <v>-8.6301129013378775E-2</v>
      </c>
      <c r="E11" s="38">
        <f t="shared" si="1"/>
        <v>3.8228444350525637E-2</v>
      </c>
      <c r="F11" s="23"/>
      <c r="G11" s="23"/>
      <c r="H11" s="35">
        <v>44348</v>
      </c>
      <c r="I11" s="37">
        <v>1581.25</v>
      </c>
      <c r="J11" s="37">
        <v>52482.71</v>
      </c>
      <c r="K11" s="38">
        <f t="shared" si="2"/>
        <v>1.8173772951169721E-2</v>
      </c>
      <c r="L11" s="144">
        <f t="shared" si="3"/>
        <v>1.9821163047147997E-3</v>
      </c>
      <c r="M11" s="143">
        <v>6.5299999999999997E-2</v>
      </c>
      <c r="N11" s="143">
        <f t="shared" si="4"/>
        <v>-6.3317883695285196E-2</v>
      </c>
      <c r="P11" s="147">
        <v>1.9821163047147997E-3</v>
      </c>
      <c r="Q11" s="146">
        <f t="shared" si="5"/>
        <v>1.0019821163047149</v>
      </c>
    </row>
    <row r="12" spans="1:20">
      <c r="A12" s="35">
        <v>42552</v>
      </c>
      <c r="B12" s="37">
        <v>1073.95</v>
      </c>
      <c r="C12" s="37">
        <v>28051.86</v>
      </c>
      <c r="D12" s="38">
        <f t="shared" si="0"/>
        <v>-3.5204393452262131E-2</v>
      </c>
      <c r="E12" s="38">
        <f t="shared" si="1"/>
        <v>1.4169491898104007E-2</v>
      </c>
      <c r="F12" s="23"/>
      <c r="G12" s="23"/>
      <c r="H12" s="35">
        <v>44378</v>
      </c>
      <c r="I12" s="37">
        <v>1610.25</v>
      </c>
      <c r="J12" s="37">
        <v>52586.84</v>
      </c>
      <c r="K12" s="38">
        <f t="shared" si="2"/>
        <v>5.6677006257023134E-2</v>
      </c>
      <c r="L12" s="144">
        <f t="shared" si="3"/>
        <v>9.0229765083880378E-2</v>
      </c>
      <c r="M12" s="143">
        <v>6.5299999999999997E-2</v>
      </c>
      <c r="N12" s="143">
        <f t="shared" si="4"/>
        <v>2.4929765083880381E-2</v>
      </c>
      <c r="P12" s="147">
        <v>9.0229765083880378E-2</v>
      </c>
      <c r="Q12" s="146">
        <f t="shared" si="5"/>
        <v>1.0902297650838804</v>
      </c>
    </row>
    <row r="13" spans="1:20">
      <c r="A13" s="35">
        <v>42583</v>
      </c>
      <c r="B13" s="37">
        <v>1036.8</v>
      </c>
      <c r="C13" s="37">
        <v>28452.17</v>
      </c>
      <c r="D13" s="38">
        <f t="shared" si="0"/>
        <v>1.2530726011893566E-3</v>
      </c>
      <c r="E13" s="38">
        <f t="shared" si="1"/>
        <v>-2.0818559579485228E-2</v>
      </c>
      <c r="F13" s="23"/>
      <c r="G13" s="23"/>
      <c r="H13" s="35">
        <v>44409</v>
      </c>
      <c r="I13" s="37">
        <v>1704.15</v>
      </c>
      <c r="J13" s="37">
        <v>57552.39</v>
      </c>
      <c r="K13" s="38">
        <f t="shared" si="2"/>
        <v>-1.7014509964314101E-2</v>
      </c>
      <c r="L13" s="144">
        <f t="shared" si="3"/>
        <v>2.6981185251009142E-2</v>
      </c>
      <c r="M13" s="143">
        <v>6.5299999999999997E-2</v>
      </c>
      <c r="N13" s="143">
        <f t="shared" si="4"/>
        <v>-3.8318814748990855E-2</v>
      </c>
      <c r="P13" s="147">
        <v>2.6981185251009142E-2</v>
      </c>
      <c r="Q13" s="146">
        <f t="shared" si="5"/>
        <v>1.0269811852510091</v>
      </c>
    </row>
    <row r="14" spans="1:20">
      <c r="A14" s="35">
        <v>42614</v>
      </c>
      <c r="B14" s="37">
        <v>1038.0999999999999</v>
      </c>
      <c r="C14" s="37">
        <v>27865.96</v>
      </c>
      <c r="D14" s="38">
        <f t="shared" si="0"/>
        <v>-3.4895239018475396E-2</v>
      </c>
      <c r="E14" s="38">
        <f t="shared" si="1"/>
        <v>2.3030264764814395E-3</v>
      </c>
      <c r="F14" s="23"/>
      <c r="G14" s="23"/>
      <c r="H14" s="35">
        <v>44440</v>
      </c>
      <c r="I14" s="37">
        <v>1675.4</v>
      </c>
      <c r="J14" s="37">
        <v>59126.36</v>
      </c>
      <c r="K14" s="38">
        <f t="shared" si="2"/>
        <v>-4.0669912517350641E-3</v>
      </c>
      <c r="L14" s="144">
        <f t="shared" si="3"/>
        <v>3.0493139203745284E-3</v>
      </c>
      <c r="M14" s="143">
        <v>6.5299999999999997E-2</v>
      </c>
      <c r="N14" s="143">
        <f t="shared" si="4"/>
        <v>-6.2250686079625465E-2</v>
      </c>
      <c r="P14" s="147">
        <v>3.0493139203745284E-3</v>
      </c>
      <c r="Q14" s="146">
        <f t="shared" si="5"/>
        <v>1.0030493139203744</v>
      </c>
    </row>
    <row r="15" spans="1:20">
      <c r="A15" s="35">
        <v>42644</v>
      </c>
      <c r="B15" s="37">
        <v>1002.5</v>
      </c>
      <c r="C15" s="37">
        <v>27930.21</v>
      </c>
      <c r="D15" s="38">
        <f t="shared" si="0"/>
        <v>-2.7353256197453667E-2</v>
      </c>
      <c r="E15" s="38">
        <f t="shared" si="1"/>
        <v>-4.6814312771896398E-2</v>
      </c>
      <c r="F15" s="23"/>
      <c r="G15" s="23"/>
      <c r="H15" s="35">
        <v>44470</v>
      </c>
      <c r="I15" s="37">
        <v>1668.6</v>
      </c>
      <c r="J15" s="37">
        <v>59306.93</v>
      </c>
      <c r="K15" s="38">
        <f t="shared" si="2"/>
        <v>2.7107377988462703E-2</v>
      </c>
      <c r="L15" s="144">
        <f t="shared" si="3"/>
        <v>-3.8537471683040066E-2</v>
      </c>
      <c r="M15" s="143">
        <v>6.5299999999999997E-2</v>
      </c>
      <c r="N15" s="143">
        <f t="shared" si="4"/>
        <v>-0.10383747168304006</v>
      </c>
      <c r="P15" s="147">
        <v>-3.8537471683040066E-2</v>
      </c>
      <c r="Q15" s="146">
        <f t="shared" si="5"/>
        <v>0.96146252831695989</v>
      </c>
    </row>
    <row r="16" spans="1:20">
      <c r="A16" s="35">
        <v>42675</v>
      </c>
      <c r="B16" s="37">
        <v>975.45</v>
      </c>
      <c r="C16" s="37">
        <v>26652.81</v>
      </c>
      <c r="D16" s="38">
        <f t="shared" si="0"/>
        <v>3.5499536097346275E-2</v>
      </c>
      <c r="E16" s="38">
        <f t="shared" si="1"/>
        <v>-9.8912774699603753E-4</v>
      </c>
      <c r="F16" s="23"/>
      <c r="G16" s="23"/>
      <c r="H16" s="35">
        <v>44501</v>
      </c>
      <c r="I16" s="37">
        <v>1714.45</v>
      </c>
      <c r="J16" s="37">
        <v>57064.87</v>
      </c>
      <c r="K16" s="38">
        <f t="shared" si="2"/>
        <v>9.729929726317238E-2</v>
      </c>
      <c r="L16" s="144">
        <f t="shared" si="3"/>
        <v>2.0620978795664852E-2</v>
      </c>
      <c r="M16" s="143">
        <v>6.5299999999999997E-2</v>
      </c>
      <c r="N16" s="143">
        <f t="shared" si="4"/>
        <v>-4.4679021204335145E-2</v>
      </c>
      <c r="P16" s="147">
        <v>2.0620978795664852E-2</v>
      </c>
      <c r="Q16" s="146">
        <f t="shared" si="5"/>
        <v>1.0206209787956648</v>
      </c>
    </row>
    <row r="17" spans="1:17">
      <c r="A17" s="35">
        <v>42705</v>
      </c>
      <c r="B17" s="37">
        <v>1010.7</v>
      </c>
      <c r="C17" s="37">
        <v>26626.46</v>
      </c>
      <c r="D17" s="38">
        <f t="shared" si="0"/>
        <v>-8.3966824517323346E-2</v>
      </c>
      <c r="E17" s="38">
        <f t="shared" si="1"/>
        <v>3.7935798070600144E-2</v>
      </c>
      <c r="F17" s="23"/>
      <c r="G17" s="23"/>
      <c r="H17" s="35">
        <v>44531</v>
      </c>
      <c r="I17" s="37">
        <v>1889.65</v>
      </c>
      <c r="J17" s="37">
        <v>58253.82</v>
      </c>
      <c r="K17" s="38">
        <f t="shared" si="2"/>
        <v>-8.4404865966540704E-2</v>
      </c>
      <c r="L17" s="144">
        <f t="shared" si="3"/>
        <v>-4.1223786423822866E-3</v>
      </c>
      <c r="M17" s="143">
        <v>6.5299999999999997E-2</v>
      </c>
      <c r="N17" s="143">
        <f t="shared" si="4"/>
        <v>-6.9422378642382279E-2</v>
      </c>
      <c r="P17" s="147">
        <v>-4.1223786423822866E-3</v>
      </c>
      <c r="Q17" s="146">
        <f t="shared" si="5"/>
        <v>0.9958776213576177</v>
      </c>
    </row>
    <row r="18" spans="1:17">
      <c r="A18" s="35">
        <v>42736</v>
      </c>
      <c r="B18" s="37">
        <v>929.3</v>
      </c>
      <c r="C18" s="37">
        <v>27655.96</v>
      </c>
      <c r="D18" s="38">
        <f t="shared" si="0"/>
        <v>8.5548634041412316E-2</v>
      </c>
      <c r="E18" s="38">
        <f t="shared" si="1"/>
        <v>3.8564136142814967E-2</v>
      </c>
      <c r="F18" s="23"/>
      <c r="G18" s="23"/>
      <c r="H18" s="35">
        <v>44562</v>
      </c>
      <c r="I18" s="37">
        <v>1736.7</v>
      </c>
      <c r="J18" s="37">
        <v>58014.17</v>
      </c>
      <c r="K18" s="38">
        <f t="shared" si="2"/>
        <v>-1.1233470763252325E-2</v>
      </c>
      <c r="L18" s="144">
        <f t="shared" si="3"/>
        <v>-3.092960669252813E-2</v>
      </c>
      <c r="M18" s="143">
        <v>6.5299999999999997E-2</v>
      </c>
      <c r="N18" s="143">
        <f t="shared" si="4"/>
        <v>-9.6229606692528127E-2</v>
      </c>
      <c r="P18" s="147">
        <v>-3.092960669252813E-2</v>
      </c>
      <c r="Q18" s="146">
        <f t="shared" si="5"/>
        <v>0.96907039330747191</v>
      </c>
    </row>
    <row r="19" spans="1:17">
      <c r="A19" s="35">
        <v>42767</v>
      </c>
      <c r="B19" s="37">
        <v>1012.3</v>
      </c>
      <c r="C19" s="37">
        <v>28743.32</v>
      </c>
      <c r="D19" s="38">
        <f t="shared" si="0"/>
        <v>8.361663985819506E-3</v>
      </c>
      <c r="E19" s="38">
        <f t="shared" si="1"/>
        <v>3.0061296763002458E-2</v>
      </c>
      <c r="F19" s="23"/>
      <c r="G19" s="23"/>
      <c r="H19" s="35">
        <v>44593</v>
      </c>
      <c r="I19" s="37">
        <v>1717.3</v>
      </c>
      <c r="J19" s="37">
        <v>56247.28</v>
      </c>
      <c r="K19" s="38">
        <f t="shared" si="2"/>
        <v>0.10488290788121435</v>
      </c>
      <c r="L19" s="144">
        <f t="shared" si="3"/>
        <v>4.0439495773421867E-2</v>
      </c>
      <c r="M19" s="143">
        <v>6.5299999999999997E-2</v>
      </c>
      <c r="N19" s="143">
        <f t="shared" si="4"/>
        <v>-2.486050422657813E-2</v>
      </c>
      <c r="P19" s="147">
        <v>4.0439495773421867E-2</v>
      </c>
      <c r="Q19" s="146">
        <f t="shared" si="5"/>
        <v>1.0404394957734218</v>
      </c>
    </row>
    <row r="20" spans="1:17">
      <c r="A20" s="35">
        <v>42795</v>
      </c>
      <c r="B20" s="37">
        <v>1020.8</v>
      </c>
      <c r="C20" s="37">
        <v>29620.5</v>
      </c>
      <c r="D20" s="38">
        <f t="shared" si="0"/>
        <v>-0.10462062921839782</v>
      </c>
      <c r="E20" s="38">
        <f t="shared" si="1"/>
        <v>1.0006986557222019E-2</v>
      </c>
      <c r="F20" s="23"/>
      <c r="G20" s="23"/>
      <c r="H20" s="35">
        <v>44621</v>
      </c>
      <c r="I20" s="37">
        <v>1907.2</v>
      </c>
      <c r="J20" s="37">
        <v>58568.51</v>
      </c>
      <c r="K20" s="38">
        <f t="shared" si="2"/>
        <v>-0.19589905350462578</v>
      </c>
      <c r="L20" s="144">
        <f t="shared" si="3"/>
        <v>-2.6078587355803259E-2</v>
      </c>
      <c r="M20" s="143">
        <v>6.5299999999999997E-2</v>
      </c>
      <c r="N20" s="143">
        <f t="shared" si="4"/>
        <v>-9.1378587355803259E-2</v>
      </c>
      <c r="P20" s="147">
        <v>-2.6078587355803259E-2</v>
      </c>
      <c r="Q20" s="146">
        <f t="shared" si="5"/>
        <v>0.97392141264419674</v>
      </c>
    </row>
    <row r="21" spans="1:17">
      <c r="A21" s="35">
        <v>42826</v>
      </c>
      <c r="B21" s="37">
        <v>919.4</v>
      </c>
      <c r="C21" s="37">
        <v>29918.400000000001</v>
      </c>
      <c r="D21" s="38">
        <f t="shared" si="0"/>
        <v>6.0714190288392658E-2</v>
      </c>
      <c r="E21" s="38">
        <f t="shared" si="1"/>
        <v>4.0205728941650587E-2</v>
      </c>
      <c r="F21" s="23"/>
      <c r="G21" s="23"/>
      <c r="H21" s="35">
        <v>44652</v>
      </c>
      <c r="I21" s="37">
        <v>1567.9</v>
      </c>
      <c r="J21" s="37">
        <v>57060.87</v>
      </c>
      <c r="K21" s="38">
        <f t="shared" si="2"/>
        <v>-4.1642164090087336E-2</v>
      </c>
      <c r="L21" s="144">
        <f t="shared" si="3"/>
        <v>-2.6539710775639064E-2</v>
      </c>
      <c r="M21" s="143">
        <v>6.5299999999999997E-2</v>
      </c>
      <c r="N21" s="143">
        <f t="shared" si="4"/>
        <v>-9.1839710775639058E-2</v>
      </c>
      <c r="P21" s="147">
        <v>-2.6539710775639064E-2</v>
      </c>
      <c r="Q21" s="146">
        <f t="shared" si="5"/>
        <v>0.9734602892243609</v>
      </c>
    </row>
    <row r="22" spans="1:17">
      <c r="A22" s="35">
        <v>42856</v>
      </c>
      <c r="B22" s="37">
        <v>976.95</v>
      </c>
      <c r="C22" s="37">
        <v>31145.8</v>
      </c>
      <c r="D22" s="38">
        <f t="shared" si="0"/>
        <v>-4.3193998736722715E-2</v>
      </c>
      <c r="E22" s="38">
        <f t="shared" si="1"/>
        <v>-7.2241124608789188E-3</v>
      </c>
      <c r="F22" s="23"/>
      <c r="G22" s="23"/>
      <c r="H22" s="35">
        <v>44682</v>
      </c>
      <c r="I22" s="37">
        <v>1503.95</v>
      </c>
      <c r="J22" s="37">
        <v>55566.41</v>
      </c>
      <c r="K22" s="38">
        <f t="shared" si="2"/>
        <v>-2.8836964355189971E-2</v>
      </c>
      <c r="L22" s="144">
        <f t="shared" si="3"/>
        <v>-4.6929673796435291E-2</v>
      </c>
      <c r="M22" s="143">
        <v>6.5299999999999997E-2</v>
      </c>
      <c r="N22" s="143">
        <f t="shared" si="4"/>
        <v>-0.11222967379643528</v>
      </c>
      <c r="P22" s="147">
        <v>-4.6929673796435291E-2</v>
      </c>
      <c r="Q22" s="146">
        <f t="shared" si="5"/>
        <v>0.95307032620356469</v>
      </c>
    </row>
    <row r="23" spans="1:17">
      <c r="A23" s="35">
        <v>42887</v>
      </c>
      <c r="B23" s="37">
        <v>935.65</v>
      </c>
      <c r="C23" s="37">
        <v>30921.61</v>
      </c>
      <c r="D23" s="38">
        <f t="shared" si="0"/>
        <v>7.7750435984327182E-2</v>
      </c>
      <c r="E23" s="38">
        <f t="shared" si="1"/>
        <v>5.0244383795913797E-2</v>
      </c>
      <c r="F23" s="23"/>
      <c r="G23" s="23"/>
      <c r="H23" s="35">
        <v>44713</v>
      </c>
      <c r="I23" s="37">
        <v>1461.2</v>
      </c>
      <c r="J23" s="37">
        <v>53018.94</v>
      </c>
      <c r="K23" s="38">
        <f t="shared" si="2"/>
        <v>5.873881717165861E-2</v>
      </c>
      <c r="L23" s="144">
        <f t="shared" si="3"/>
        <v>8.2356733012455843E-2</v>
      </c>
      <c r="M23" s="143">
        <v>6.5299999999999997E-2</v>
      </c>
      <c r="N23" s="143">
        <f t="shared" si="4"/>
        <v>1.7056733012455846E-2</v>
      </c>
      <c r="P23" s="147">
        <v>8.2356733012455843E-2</v>
      </c>
      <c r="Q23" s="146">
        <f t="shared" si="5"/>
        <v>1.0823567330124559</v>
      </c>
    </row>
    <row r="24" spans="1:17">
      <c r="A24" s="35">
        <v>42917</v>
      </c>
      <c r="B24" s="37">
        <v>1011.3</v>
      </c>
      <c r="C24" s="37">
        <v>32514.94</v>
      </c>
      <c r="D24" s="38">
        <f t="shared" si="0"/>
        <v>-9.9740030517391137E-2</v>
      </c>
      <c r="E24" s="38">
        <f t="shared" si="1"/>
        <v>-2.4421627742765583E-2</v>
      </c>
      <c r="F24" s="23"/>
      <c r="G24" s="23"/>
      <c r="H24" s="35">
        <v>44743</v>
      </c>
      <c r="I24" s="37">
        <v>1549.6</v>
      </c>
      <c r="J24" s="37">
        <v>57570.25</v>
      </c>
      <c r="K24" s="38">
        <f t="shared" si="2"/>
        <v>-3.7075365052357243E-2</v>
      </c>
      <c r="L24" s="144">
        <f t="shared" si="3"/>
        <v>3.3593202544228998E-2</v>
      </c>
      <c r="M24" s="143">
        <v>6.5299999999999997E-2</v>
      </c>
      <c r="N24" s="143">
        <f t="shared" si="4"/>
        <v>-3.1706797455770999E-2</v>
      </c>
      <c r="P24" s="147">
        <v>3.3593202544228998E-2</v>
      </c>
      <c r="Q24" s="146">
        <f t="shared" si="5"/>
        <v>1.0335932025442289</v>
      </c>
    </row>
    <row r="25" spans="1:17">
      <c r="A25" s="35">
        <v>42948</v>
      </c>
      <c r="B25" s="37">
        <v>915.3</v>
      </c>
      <c r="C25" s="37">
        <v>31730.49</v>
      </c>
      <c r="D25" s="38">
        <f t="shared" si="0"/>
        <v>-1.82469713554772E-2</v>
      </c>
      <c r="E25" s="38">
        <f t="shared" si="1"/>
        <v>-1.4180213837282392E-2</v>
      </c>
      <c r="F25" s="23"/>
      <c r="G25" s="23"/>
      <c r="H25" s="35">
        <v>44774</v>
      </c>
      <c r="I25" s="37">
        <v>1493.2</v>
      </c>
      <c r="J25" s="37">
        <v>59537.07</v>
      </c>
      <c r="K25" s="38">
        <f t="shared" si="2"/>
        <v>-5.5135595451728373E-2</v>
      </c>
      <c r="L25" s="144">
        <f t="shared" si="3"/>
        <v>-3.6085960830701286E-2</v>
      </c>
      <c r="M25" s="143">
        <v>6.5299999999999997E-2</v>
      </c>
      <c r="N25" s="143">
        <f t="shared" si="4"/>
        <v>-0.10138596083070128</v>
      </c>
      <c r="P25" s="147">
        <v>-3.6085960830701286E-2</v>
      </c>
      <c r="Q25" s="146">
        <f t="shared" si="5"/>
        <v>0.96391403916929874</v>
      </c>
    </row>
    <row r="26" spans="1:17">
      <c r="A26" s="35">
        <v>42979</v>
      </c>
      <c r="B26" s="37">
        <v>898.75</v>
      </c>
      <c r="C26" s="37">
        <v>31283.72</v>
      </c>
      <c r="D26" s="38">
        <f t="shared" si="0"/>
        <v>2.5160632906926068E-2</v>
      </c>
      <c r="E26" s="38">
        <f t="shared" si="1"/>
        <v>5.9847445230592086E-2</v>
      </c>
      <c r="F26" s="23"/>
      <c r="G26" s="23"/>
      <c r="H26" s="35">
        <v>44805</v>
      </c>
      <c r="I26" s="37">
        <v>1413.1</v>
      </c>
      <c r="J26" s="37">
        <v>57426.92</v>
      </c>
      <c r="K26" s="38">
        <f t="shared" si="2"/>
        <v>8.4631976857177368E-2</v>
      </c>
      <c r="L26" s="144">
        <f t="shared" si="3"/>
        <v>5.6197766026638681E-2</v>
      </c>
      <c r="M26" s="143">
        <v>6.5299999999999997E-2</v>
      </c>
      <c r="N26" s="143">
        <f t="shared" si="4"/>
        <v>-9.1022339733613164E-3</v>
      </c>
      <c r="P26" s="147">
        <v>5.6197766026638681E-2</v>
      </c>
      <c r="Q26" s="146">
        <f t="shared" si="5"/>
        <v>1.0561977660266386</v>
      </c>
    </row>
    <row r="27" spans="1:17">
      <c r="A27" s="35">
        <v>43009</v>
      </c>
      <c r="B27" s="37">
        <v>921.65</v>
      </c>
      <c r="C27" s="37">
        <v>33213.129999999997</v>
      </c>
      <c r="D27" s="38">
        <f t="shared" si="0"/>
        <v>5.6220645689413318E-2</v>
      </c>
      <c r="E27" s="38">
        <f t="shared" si="1"/>
        <v>-1.9221710712905155E-3</v>
      </c>
      <c r="F27" s="23"/>
      <c r="G27" s="23"/>
      <c r="H27" s="35">
        <v>44835</v>
      </c>
      <c r="I27" s="37">
        <v>1537.9</v>
      </c>
      <c r="J27" s="37">
        <v>60746.59</v>
      </c>
      <c r="K27" s="38">
        <f t="shared" si="2"/>
        <v>5.96334750857727E-2</v>
      </c>
      <c r="L27" s="144">
        <f t="shared" si="3"/>
        <v>3.8004273822622829E-2</v>
      </c>
      <c r="M27" s="143">
        <v>6.5299999999999997E-2</v>
      </c>
      <c r="N27" s="143">
        <f t="shared" si="4"/>
        <v>-2.7295726177377168E-2</v>
      </c>
      <c r="P27" s="147">
        <v>3.8004273822622829E-2</v>
      </c>
      <c r="Q27" s="146">
        <f t="shared" si="5"/>
        <v>1.0380042738226227</v>
      </c>
    </row>
    <row r="28" spans="1:17">
      <c r="A28" s="35">
        <v>43040</v>
      </c>
      <c r="B28" s="37">
        <v>974.95</v>
      </c>
      <c r="C28" s="37">
        <v>33149.35</v>
      </c>
      <c r="D28" s="38">
        <f t="shared" si="0"/>
        <v>6.3916500962780065E-2</v>
      </c>
      <c r="E28" s="38">
        <f t="shared" si="1"/>
        <v>2.7007491255578928E-2</v>
      </c>
      <c r="F28" s="23"/>
      <c r="G28" s="23"/>
      <c r="H28" s="35">
        <v>44866</v>
      </c>
      <c r="I28" s="37">
        <v>1632.4</v>
      </c>
      <c r="J28" s="37">
        <v>63099.65</v>
      </c>
      <c r="K28" s="38">
        <f t="shared" si="2"/>
        <v>-7.8802971685621934E-2</v>
      </c>
      <c r="L28" s="144">
        <f t="shared" si="3"/>
        <v>-3.6455592412848278E-2</v>
      </c>
      <c r="M28" s="143">
        <v>6.5299999999999997E-2</v>
      </c>
      <c r="N28" s="143">
        <f t="shared" si="4"/>
        <v>-0.10175559241284828</v>
      </c>
      <c r="P28" s="147">
        <v>-3.6455592412848278E-2</v>
      </c>
      <c r="Q28" s="146">
        <f t="shared" si="5"/>
        <v>0.96354440758715176</v>
      </c>
    </row>
    <row r="29" spans="1:17">
      <c r="A29" s="35">
        <v>43070</v>
      </c>
      <c r="B29" s="37">
        <v>1039.3</v>
      </c>
      <c r="C29" s="37">
        <v>34056.83</v>
      </c>
      <c r="D29" s="38">
        <f t="shared" si="0"/>
        <v>0.10177959047903923</v>
      </c>
      <c r="E29" s="38">
        <f t="shared" si="1"/>
        <v>5.4516199563292463E-2</v>
      </c>
      <c r="F29" s="23"/>
      <c r="G29" s="23"/>
      <c r="H29" s="35">
        <v>44896</v>
      </c>
      <c r="I29" s="37">
        <v>1508.7</v>
      </c>
      <c r="J29" s="37">
        <v>60840.74</v>
      </c>
      <c r="K29" s="38">
        <f t="shared" si="2"/>
        <v>1.6076089597166183E-2</v>
      </c>
      <c r="L29" s="144">
        <f t="shared" si="3"/>
        <v>-2.1445013828973288E-2</v>
      </c>
      <c r="M29" s="143">
        <v>6.5299999999999997E-2</v>
      </c>
      <c r="N29" s="143">
        <f t="shared" si="4"/>
        <v>-8.6745013828973289E-2</v>
      </c>
      <c r="P29" s="147">
        <v>-2.1445013828973288E-2</v>
      </c>
      <c r="Q29" s="146">
        <f t="shared" si="5"/>
        <v>0.97855498617102676</v>
      </c>
    </row>
    <row r="30" spans="1:17">
      <c r="A30" s="35">
        <v>43101</v>
      </c>
      <c r="B30" s="37">
        <v>1150.6500000000001</v>
      </c>
      <c r="C30" s="37">
        <v>35965.019999999997</v>
      </c>
      <c r="D30" s="38">
        <f t="shared" si="0"/>
        <v>2.0302645833689396E-2</v>
      </c>
      <c r="E30" s="38">
        <f t="shared" si="1"/>
        <v>-5.0787930936253896E-2</v>
      </c>
      <c r="F30" s="23"/>
      <c r="G30" s="23"/>
      <c r="H30" s="35">
        <v>44927</v>
      </c>
      <c r="I30" s="37">
        <v>1533.15</v>
      </c>
      <c r="J30" s="37">
        <v>59549.9</v>
      </c>
      <c r="K30" s="38">
        <f t="shared" si="2"/>
        <v>-3.0362046844642745E-2</v>
      </c>
      <c r="L30" s="144">
        <f t="shared" si="3"/>
        <v>-9.9194127233825542E-3</v>
      </c>
      <c r="M30" s="143">
        <v>6.5299999999999997E-2</v>
      </c>
      <c r="N30" s="143">
        <f t="shared" si="4"/>
        <v>-7.5219412723382548E-2</v>
      </c>
      <c r="P30" s="147">
        <v>-9.9194127233825542E-3</v>
      </c>
      <c r="Q30" s="146">
        <f t="shared" si="5"/>
        <v>0.99008058727661741</v>
      </c>
    </row>
    <row r="31" spans="1:17">
      <c r="A31" s="35">
        <v>43132</v>
      </c>
      <c r="B31" s="37">
        <v>1174.25</v>
      </c>
      <c r="C31" s="37">
        <v>34184.04</v>
      </c>
      <c r="D31" s="38">
        <f t="shared" si="0"/>
        <v>-3.45257691292414E-2</v>
      </c>
      <c r="E31" s="38">
        <f t="shared" si="1"/>
        <v>-3.6200848593678038E-2</v>
      </c>
      <c r="F31" s="23"/>
      <c r="G31" s="23"/>
      <c r="H31" s="35">
        <v>44958</v>
      </c>
      <c r="I31" s="37">
        <v>1487.3</v>
      </c>
      <c r="J31" s="37">
        <v>58962.12</v>
      </c>
      <c r="K31" s="38">
        <f t="shared" si="2"/>
        <v>-4.0897637803377761E-2</v>
      </c>
      <c r="L31" s="144">
        <f t="shared" si="3"/>
        <v>4.9850094679280998E-4</v>
      </c>
      <c r="M31" s="143">
        <v>6.5299999999999997E-2</v>
      </c>
      <c r="N31" s="143">
        <f t="shared" si="4"/>
        <v>-6.4801499053207187E-2</v>
      </c>
      <c r="P31" s="147">
        <v>4.9850094679280998E-4</v>
      </c>
      <c r="Q31" s="146">
        <f t="shared" si="5"/>
        <v>1.0004985009467928</v>
      </c>
    </row>
    <row r="32" spans="1:17">
      <c r="A32" s="35">
        <v>43160</v>
      </c>
      <c r="B32" s="37">
        <v>1134.4000000000001</v>
      </c>
      <c r="C32" s="37">
        <v>32968.68</v>
      </c>
      <c r="D32" s="38">
        <f t="shared" si="0"/>
        <v>5.5717554956546428E-2</v>
      </c>
      <c r="E32" s="38">
        <f t="shared" si="1"/>
        <v>6.4361291786971281E-2</v>
      </c>
      <c r="F32" s="23"/>
      <c r="G32" s="23"/>
      <c r="H32" s="35">
        <v>44986</v>
      </c>
      <c r="I32" s="37">
        <v>1427.7</v>
      </c>
      <c r="J32" s="37">
        <v>58991.519999999997</v>
      </c>
      <c r="K32" s="38">
        <f t="shared" si="2"/>
        <v>-0.13088328447326239</v>
      </c>
      <c r="L32" s="144">
        <f t="shared" si="3"/>
        <v>3.5321741346229396E-2</v>
      </c>
      <c r="M32" s="143">
        <v>6.5299999999999997E-2</v>
      </c>
      <c r="N32" s="143">
        <f t="shared" si="4"/>
        <v>-2.9978258653770601E-2</v>
      </c>
      <c r="P32" s="147">
        <v>3.5321741346229396E-2</v>
      </c>
      <c r="Q32" s="146">
        <f t="shared" si="5"/>
        <v>1.0353217413462295</v>
      </c>
    </row>
    <row r="33" spans="1:17">
      <c r="A33" s="35">
        <v>43191</v>
      </c>
      <c r="B33" s="37">
        <v>1199.4000000000001</v>
      </c>
      <c r="C33" s="37">
        <v>35160.36</v>
      </c>
      <c r="D33" s="38">
        <f t="shared" si="0"/>
        <v>2.6736261233519121E-2</v>
      </c>
      <c r="E33" s="38">
        <f t="shared" si="1"/>
        <v>4.5974457116159497E-3</v>
      </c>
      <c r="F33" s="23"/>
      <c r="G33" s="23"/>
      <c r="H33" s="35">
        <v>45017</v>
      </c>
      <c r="I33" s="37">
        <v>1252.55</v>
      </c>
      <c r="J33" s="37">
        <v>61112.44</v>
      </c>
      <c r="K33" s="38">
        <f t="shared" si="2"/>
        <v>5.4039908194138807E-2</v>
      </c>
      <c r="L33" s="144">
        <f t="shared" si="3"/>
        <v>2.4405040469134852E-2</v>
      </c>
      <c r="M33" s="143">
        <v>6.5299999999999997E-2</v>
      </c>
      <c r="N33" s="143">
        <f t="shared" si="4"/>
        <v>-4.0894959530865145E-2</v>
      </c>
      <c r="P33" s="147">
        <v>2.4405040469134852E-2</v>
      </c>
      <c r="Q33" s="146">
        <f t="shared" si="5"/>
        <v>1.0244050404691349</v>
      </c>
    </row>
    <row r="34" spans="1:17">
      <c r="A34" s="35">
        <v>43221</v>
      </c>
      <c r="B34" s="37">
        <v>1231.9000000000001</v>
      </c>
      <c r="C34" s="37">
        <v>35322.379999999997</v>
      </c>
      <c r="D34" s="38">
        <f t="shared" si="0"/>
        <v>5.8985445625102655E-2</v>
      </c>
      <c r="E34" s="38">
        <f t="shared" si="1"/>
        <v>2.8581197209997847E-3</v>
      </c>
      <c r="F34" s="23"/>
      <c r="G34" s="23"/>
      <c r="H34" s="35">
        <v>45047</v>
      </c>
      <c r="I34" s="37">
        <v>1322.1</v>
      </c>
      <c r="J34" s="37">
        <v>62622.239999999998</v>
      </c>
      <c r="K34" s="38">
        <f t="shared" si="2"/>
        <v>9.8597118315743738E-3</v>
      </c>
      <c r="L34" s="144">
        <f t="shared" si="3"/>
        <v>3.2927536234183027E-2</v>
      </c>
      <c r="M34" s="143">
        <v>6.5299999999999997E-2</v>
      </c>
      <c r="N34" s="143">
        <f t="shared" si="4"/>
        <v>-3.2372463765816969E-2</v>
      </c>
      <c r="P34" s="147">
        <v>3.2927536234183027E-2</v>
      </c>
      <c r="Q34" s="146">
        <f t="shared" si="5"/>
        <v>1.032927536234183</v>
      </c>
    </row>
    <row r="35" spans="1:17">
      <c r="A35" s="35">
        <v>43252</v>
      </c>
      <c r="B35" s="37">
        <v>1306.75</v>
      </c>
      <c r="C35" s="37">
        <v>35423.480000000003</v>
      </c>
      <c r="D35" s="38">
        <f t="shared" si="0"/>
        <v>4.3611290026028794E-2</v>
      </c>
      <c r="E35" s="38">
        <f t="shared" si="1"/>
        <v>5.9804157980110524E-2</v>
      </c>
      <c r="F35" s="23"/>
      <c r="G35" s="23"/>
      <c r="H35" s="35">
        <v>45078</v>
      </c>
      <c r="I35" s="37">
        <v>1335.2</v>
      </c>
      <c r="J35" s="37">
        <v>64718.559999999998</v>
      </c>
      <c r="K35" s="38">
        <f t="shared" si="2"/>
        <v>1.4794158981042808E-2</v>
      </c>
      <c r="L35" s="144">
        <f t="shared" si="3"/>
        <v>2.7569928534107949E-2</v>
      </c>
      <c r="M35" s="143">
        <v>6.5299999999999997E-2</v>
      </c>
      <c r="N35" s="143">
        <f t="shared" si="4"/>
        <v>-3.7730071465892051E-2</v>
      </c>
      <c r="P35" s="147">
        <v>2.7569928534107949E-2</v>
      </c>
      <c r="Q35" s="146">
        <f t="shared" si="5"/>
        <v>1.027569928534108</v>
      </c>
    </row>
    <row r="36" spans="1:17">
      <c r="A36" s="35">
        <v>43282</v>
      </c>
      <c r="B36" s="37">
        <v>1365</v>
      </c>
      <c r="C36" s="37">
        <v>37606.58</v>
      </c>
      <c r="D36" s="38">
        <f t="shared" si="0"/>
        <v>5.3488684950986222E-2</v>
      </c>
      <c r="E36" s="38">
        <f t="shared" si="1"/>
        <v>2.7240176831872326E-2</v>
      </c>
      <c r="F36" s="23"/>
      <c r="G36" s="23"/>
      <c r="H36" s="35">
        <v>45108</v>
      </c>
      <c r="I36" s="37">
        <v>1355.1</v>
      </c>
      <c r="J36" s="37">
        <v>66527.67</v>
      </c>
      <c r="K36" s="38">
        <f t="shared" si="2"/>
        <v>5.6662222406498437E-2</v>
      </c>
      <c r="L36" s="144">
        <f t="shared" si="3"/>
        <v>-2.5827743205255813E-2</v>
      </c>
      <c r="M36" s="143">
        <v>6.5299999999999997E-2</v>
      </c>
      <c r="N36" s="143">
        <f t="shared" si="4"/>
        <v>-9.112774320525581E-2</v>
      </c>
      <c r="P36" s="147">
        <v>-2.5827743205255813E-2</v>
      </c>
      <c r="Q36" s="146">
        <f t="shared" si="5"/>
        <v>0.97417225679474417</v>
      </c>
    </row>
    <row r="37" spans="1:17">
      <c r="A37" s="35">
        <v>43313</v>
      </c>
      <c r="B37" s="37">
        <v>1440</v>
      </c>
      <c r="C37" s="37">
        <v>38645.07</v>
      </c>
      <c r="D37" s="38">
        <f t="shared" si="0"/>
        <v>-0.68230340955937652</v>
      </c>
      <c r="E37" s="38">
        <f t="shared" si="1"/>
        <v>-6.4610650230841213E-2</v>
      </c>
      <c r="F37" s="23"/>
      <c r="G37" s="23"/>
      <c r="H37" s="35">
        <v>45139</v>
      </c>
      <c r="I37" s="37">
        <v>1434.1</v>
      </c>
      <c r="J37" s="37">
        <v>64831.41</v>
      </c>
      <c r="K37" s="38">
        <f t="shared" si="2"/>
        <v>6.6221705711941954E-4</v>
      </c>
      <c r="L37" s="144">
        <f t="shared" si="3"/>
        <v>1.5261299925833091E-2</v>
      </c>
      <c r="M37" s="143">
        <v>6.5299999999999997E-2</v>
      </c>
      <c r="N37" s="143">
        <f t="shared" si="4"/>
        <v>-5.0038700074166907E-2</v>
      </c>
      <c r="P37" s="147">
        <v>1.5261299925833091E-2</v>
      </c>
      <c r="Q37" s="146">
        <f t="shared" si="5"/>
        <v>1.015261299925833</v>
      </c>
    </row>
    <row r="38" spans="1:17">
      <c r="A38" s="35">
        <v>43344</v>
      </c>
      <c r="B38" s="37">
        <v>727.85</v>
      </c>
      <c r="C38" s="37">
        <v>36227.14</v>
      </c>
      <c r="D38" s="38">
        <f t="shared" si="0"/>
        <v>-5.8852990186929528E-2</v>
      </c>
      <c r="E38" s="38">
        <f t="shared" si="1"/>
        <v>-5.0530360088583998E-2</v>
      </c>
      <c r="F38" s="23"/>
      <c r="G38" s="23"/>
      <c r="H38" s="35">
        <v>45170</v>
      </c>
      <c r="I38" s="37">
        <v>1435.05</v>
      </c>
      <c r="J38" s="37">
        <v>65828.41</v>
      </c>
      <c r="K38" s="38">
        <f t="shared" si="2"/>
        <v>-4.7374839257170648E-2</v>
      </c>
      <c r="L38" s="144">
        <f t="shared" si="3"/>
        <v>-3.0124555433559918E-2</v>
      </c>
      <c r="M38" s="143">
        <v>6.5299999999999997E-2</v>
      </c>
      <c r="N38" s="143">
        <f t="shared" si="4"/>
        <v>-9.5424555433559918E-2</v>
      </c>
      <c r="P38" s="147">
        <v>-3.0124555433559918E-2</v>
      </c>
      <c r="Q38" s="146">
        <f t="shared" si="5"/>
        <v>0.96987544456644004</v>
      </c>
    </row>
    <row r="39" spans="1:17">
      <c r="A39" s="35">
        <v>43374</v>
      </c>
      <c r="B39" s="37">
        <v>686.25</v>
      </c>
      <c r="C39" s="37">
        <v>34442.050000000003</v>
      </c>
      <c r="D39" s="38">
        <f t="shared" si="0"/>
        <v>-2.9201853204976976E-2</v>
      </c>
      <c r="E39" s="38">
        <f t="shared" si="1"/>
        <v>4.9623446272706151E-2</v>
      </c>
      <c r="F39" s="23"/>
      <c r="G39" s="23"/>
      <c r="H39" s="35">
        <v>45200</v>
      </c>
      <c r="I39" s="37">
        <v>1368.65</v>
      </c>
      <c r="J39" s="37">
        <v>63874.93</v>
      </c>
      <c r="K39" s="38">
        <f t="shared" si="2"/>
        <v>6.138721238416512E-2</v>
      </c>
      <c r="L39" s="144">
        <f t="shared" si="3"/>
        <v>4.7593114558401692E-2</v>
      </c>
      <c r="M39" s="143">
        <v>6.5299999999999997E-2</v>
      </c>
      <c r="N39" s="143">
        <f t="shared" si="4"/>
        <v>-1.7706885441598305E-2</v>
      </c>
      <c r="P39" s="147">
        <v>4.7593114558401692E-2</v>
      </c>
      <c r="Q39" s="146">
        <f t="shared" si="5"/>
        <v>1.0475931145584017</v>
      </c>
    </row>
    <row r="40" spans="1:17">
      <c r="A40" s="35">
        <v>43405</v>
      </c>
      <c r="B40" s="37">
        <v>666.5</v>
      </c>
      <c r="C40" s="37">
        <v>36194.300000000003</v>
      </c>
      <c r="D40" s="38">
        <f t="shared" si="0"/>
        <v>-1.0027603155924917E-2</v>
      </c>
      <c r="E40" s="38">
        <f t="shared" si="1"/>
        <v>-3.4864528899875556E-3</v>
      </c>
      <c r="F40" s="23"/>
      <c r="G40" s="23"/>
      <c r="H40" s="35">
        <v>45231</v>
      </c>
      <c r="I40" s="37">
        <v>1455.3</v>
      </c>
      <c r="J40" s="37">
        <v>66988.44</v>
      </c>
      <c r="K40" s="38">
        <f t="shared" si="2"/>
        <v>5.8419290497370741E-2</v>
      </c>
      <c r="L40" s="144">
        <f t="shared" si="3"/>
        <v>7.5477441025058684E-2</v>
      </c>
      <c r="M40" s="143">
        <v>6.5299999999999997E-2</v>
      </c>
      <c r="N40" s="143">
        <f t="shared" si="4"/>
        <v>1.0177441025058687E-2</v>
      </c>
      <c r="P40" s="147">
        <v>7.5477441025058684E-2</v>
      </c>
      <c r="Q40" s="146">
        <f t="shared" si="5"/>
        <v>1.0754774410250587</v>
      </c>
    </row>
    <row r="41" spans="1:17">
      <c r="A41" s="35">
        <v>43435</v>
      </c>
      <c r="B41" s="37">
        <v>659.85</v>
      </c>
      <c r="C41" s="37">
        <v>36068.33</v>
      </c>
      <c r="D41" s="38">
        <f t="shared" si="0"/>
        <v>0.12752719446137403</v>
      </c>
      <c r="E41" s="38">
        <f t="shared" si="1"/>
        <v>5.2087210169462998E-3</v>
      </c>
      <c r="F41" s="23"/>
      <c r="G41" s="23"/>
      <c r="H41" s="35">
        <v>45261</v>
      </c>
      <c r="I41" s="37">
        <v>1542.85</v>
      </c>
      <c r="J41" s="37">
        <v>72240.259999999995</v>
      </c>
      <c r="K41" s="38">
        <f t="shared" si="2"/>
        <v>7.4450507660413057E-2</v>
      </c>
      <c r="L41" s="144">
        <f t="shared" si="3"/>
        <v>-6.7802463434785704E-3</v>
      </c>
      <c r="M41" s="143">
        <v>6.5299999999999997E-2</v>
      </c>
      <c r="N41" s="143">
        <f t="shared" si="4"/>
        <v>-7.2080246343478566E-2</v>
      </c>
      <c r="P41" s="147">
        <v>-6.7802463434785704E-3</v>
      </c>
      <c r="Q41" s="146">
        <f t="shared" si="5"/>
        <v>0.99321975365652138</v>
      </c>
    </row>
    <row r="42" spans="1:17">
      <c r="A42" s="35">
        <v>43466</v>
      </c>
      <c r="B42" s="37">
        <v>749.6</v>
      </c>
      <c r="C42" s="37">
        <v>36256.69</v>
      </c>
      <c r="D42" s="38">
        <f t="shared" si="0"/>
        <v>-2.1098824520970179E-2</v>
      </c>
      <c r="E42" s="38">
        <f t="shared" si="1"/>
        <v>-1.079399583182517E-2</v>
      </c>
      <c r="F42" s="23"/>
      <c r="G42" s="23"/>
      <c r="H42" s="35">
        <v>45292</v>
      </c>
      <c r="I42" s="37">
        <v>1662.1</v>
      </c>
      <c r="J42" s="37">
        <v>71752.11</v>
      </c>
      <c r="K42" s="38">
        <f t="shared" si="2"/>
        <v>7.7611524828462945E-3</v>
      </c>
      <c r="L42" s="144">
        <f t="shared" si="3"/>
        <v>1.0373437910263655E-2</v>
      </c>
      <c r="M42" s="143">
        <v>6.5299999999999997E-2</v>
      </c>
      <c r="N42" s="143">
        <f t="shared" si="4"/>
        <v>-5.4926562089736342E-2</v>
      </c>
      <c r="P42" s="147">
        <v>1.0373437910263655E-2</v>
      </c>
      <c r="Q42" s="146">
        <f t="shared" si="5"/>
        <v>1.0103734379102636</v>
      </c>
    </row>
    <row r="43" spans="1:17">
      <c r="A43" s="35">
        <v>43497</v>
      </c>
      <c r="B43" s="37">
        <v>733.95</v>
      </c>
      <c r="C43" s="37">
        <v>35867.440000000002</v>
      </c>
      <c r="D43" s="38">
        <f t="shared" si="0"/>
        <v>1.1312567720258874E-2</v>
      </c>
      <c r="E43" s="38">
        <f t="shared" si="1"/>
        <v>7.5309434755920723E-2</v>
      </c>
      <c r="F43" s="23"/>
      <c r="G43" s="23"/>
      <c r="H43" s="35">
        <v>45323</v>
      </c>
      <c r="I43" s="37">
        <v>1675.05</v>
      </c>
      <c r="J43" s="37">
        <v>72500.3</v>
      </c>
      <c r="K43" s="38">
        <f t="shared" si="2"/>
        <v>-0.11117822764037855</v>
      </c>
      <c r="L43" s="144">
        <f t="shared" si="3"/>
        <v>1.5751772896445967E-2</v>
      </c>
      <c r="M43" s="143">
        <v>6.5299999999999997E-2</v>
      </c>
      <c r="N43" s="143">
        <f t="shared" si="4"/>
        <v>-4.9548227103554027E-2</v>
      </c>
      <c r="P43" s="147">
        <v>1.5751772896445967E-2</v>
      </c>
      <c r="Q43" s="146">
        <f t="shared" si="5"/>
        <v>1.015751772896446</v>
      </c>
    </row>
    <row r="44" spans="1:17">
      <c r="A44" s="35">
        <v>43525</v>
      </c>
      <c r="B44" s="37">
        <v>742.3</v>
      </c>
      <c r="C44" s="37">
        <v>38672.910000000003</v>
      </c>
      <c r="D44" s="38">
        <f t="shared" si="0"/>
        <v>1.0253063517867367E-2</v>
      </c>
      <c r="E44" s="38">
        <f t="shared" si="1"/>
        <v>9.2309385238892299E-3</v>
      </c>
      <c r="F44" s="23"/>
      <c r="G44" s="23"/>
      <c r="H44" s="35">
        <v>45352</v>
      </c>
      <c r="I44" s="37">
        <v>1498.8</v>
      </c>
      <c r="J44" s="37">
        <v>73651.350000000006</v>
      </c>
      <c r="K44" s="38">
        <f t="shared" si="2"/>
        <v>-5.3233568321716496E-2</v>
      </c>
      <c r="L44" s="144">
        <f t="shared" si="3"/>
        <v>1.1225485049184242E-2</v>
      </c>
      <c r="M44" s="143">
        <v>6.5299999999999997E-2</v>
      </c>
      <c r="N44" s="143">
        <f t="shared" si="4"/>
        <v>-5.4074514950815757E-2</v>
      </c>
      <c r="P44" s="147">
        <v>1.1225485049184242E-2</v>
      </c>
      <c r="Q44" s="146">
        <f t="shared" si="5"/>
        <v>1.0112254850491842</v>
      </c>
    </row>
    <row r="45" spans="1:17">
      <c r="A45" s="35">
        <v>43556</v>
      </c>
      <c r="B45" s="37">
        <v>749.95</v>
      </c>
      <c r="C45" s="37">
        <v>39031.550000000003</v>
      </c>
      <c r="D45" s="38">
        <f t="shared" si="0"/>
        <v>-1.7622193982096558E-2</v>
      </c>
      <c r="E45" s="38">
        <f t="shared" si="1"/>
        <v>1.733851291438137E-2</v>
      </c>
      <c r="F45" s="23"/>
      <c r="G45" s="23"/>
      <c r="H45" s="35">
        <v>45383</v>
      </c>
      <c r="I45" s="37">
        <v>1421.1</v>
      </c>
      <c r="J45" s="37">
        <v>74482.78</v>
      </c>
      <c r="K45" s="38">
        <f t="shared" si="2"/>
        <v>-1.0504632645085407E-2</v>
      </c>
      <c r="L45" s="144">
        <f t="shared" si="3"/>
        <v>-7.0258390897624638E-3</v>
      </c>
      <c r="M45" s="143">
        <v>6.5299999999999997E-2</v>
      </c>
      <c r="N45" s="143">
        <f t="shared" si="4"/>
        <v>-7.2325839089762464E-2</v>
      </c>
      <c r="P45" s="147">
        <v>-7.0258390897624638E-3</v>
      </c>
      <c r="Q45" s="146">
        <f t="shared" si="5"/>
        <v>0.99297416091023749</v>
      </c>
    </row>
    <row r="46" spans="1:17">
      <c r="A46" s="35">
        <v>43586</v>
      </c>
      <c r="B46" s="37">
        <v>736.85</v>
      </c>
      <c r="C46" s="37">
        <v>39714.199999999997</v>
      </c>
      <c r="D46" s="38">
        <f t="shared" si="0"/>
        <v>-6.6721380418510749E-3</v>
      </c>
      <c r="E46" s="38">
        <f t="shared" si="1"/>
        <v>-8.0790399192252685E-3</v>
      </c>
      <c r="F46" s="23"/>
      <c r="G46" s="23"/>
      <c r="H46" s="35">
        <v>45413</v>
      </c>
      <c r="I46" s="37">
        <v>1406.25</v>
      </c>
      <c r="J46" s="37">
        <v>73961.31</v>
      </c>
      <c r="K46" s="38">
        <f t="shared" si="2"/>
        <v>0.1082044677895577</v>
      </c>
      <c r="L46" s="144">
        <f t="shared" si="3"/>
        <v>6.6319951825398904E-2</v>
      </c>
      <c r="M46" s="143">
        <v>6.5299999999999997E-2</v>
      </c>
      <c r="N46" s="143">
        <f t="shared" si="4"/>
        <v>1.0199518253989071E-3</v>
      </c>
      <c r="P46" s="147">
        <v>6.6319951825398904E-2</v>
      </c>
      <c r="Q46" s="146">
        <f t="shared" si="5"/>
        <v>1.066319951825399</v>
      </c>
    </row>
    <row r="47" spans="1:17">
      <c r="A47" s="35">
        <v>43617</v>
      </c>
      <c r="B47" s="37">
        <v>731.95</v>
      </c>
      <c r="C47" s="37">
        <v>39394.639999999999</v>
      </c>
      <c r="D47" s="38">
        <f t="shared" si="0"/>
        <v>8.1371255629714881E-2</v>
      </c>
      <c r="E47" s="38">
        <f t="shared" si="1"/>
        <v>-4.9792426912587145E-2</v>
      </c>
      <c r="F47" s="23"/>
      <c r="G47" s="23"/>
      <c r="H47" s="35">
        <v>45444</v>
      </c>
      <c r="I47" s="37">
        <v>1566.95</v>
      </c>
      <c r="J47" s="37">
        <v>79032.73</v>
      </c>
      <c r="K47" s="38">
        <f t="shared" si="2"/>
        <v>0.17576405128357014</v>
      </c>
      <c r="L47" s="144">
        <f t="shared" si="3"/>
        <v>3.3697800980014361E-2</v>
      </c>
      <c r="M47" s="143">
        <v>6.5299999999999997E-2</v>
      </c>
      <c r="N47" s="143">
        <f t="shared" si="4"/>
        <v>-3.1602199019985636E-2</v>
      </c>
      <c r="P47" s="147">
        <v>3.3697800980014361E-2</v>
      </c>
      <c r="Q47" s="146">
        <f t="shared" si="5"/>
        <v>1.0336978009800144</v>
      </c>
    </row>
    <row r="48" spans="1:17">
      <c r="A48" s="35">
        <v>43647</v>
      </c>
      <c r="B48" s="37">
        <v>794</v>
      </c>
      <c r="C48" s="37">
        <v>37481.120000000003</v>
      </c>
      <c r="D48" s="38">
        <f t="shared" si="0"/>
        <v>2.5613733967176561E-2</v>
      </c>
      <c r="E48" s="38">
        <f t="shared" si="1"/>
        <v>-3.9653105781488167E-3</v>
      </c>
      <c r="F48" s="23"/>
      <c r="G48" s="23"/>
      <c r="H48" s="35">
        <v>45474</v>
      </c>
      <c r="I48" s="37">
        <v>1868.05</v>
      </c>
      <c r="J48" s="37">
        <v>81741.34</v>
      </c>
      <c r="K48" s="38">
        <f t="shared" si="2"/>
        <v>3.9492452844799589E-2</v>
      </c>
      <c r="L48" s="144">
        <f t="shared" si="3"/>
        <v>7.6100665419577039E-3</v>
      </c>
      <c r="M48" s="143">
        <v>6.5299999999999997E-2</v>
      </c>
      <c r="N48" s="143">
        <f t="shared" si="4"/>
        <v>-5.768993345804229E-2</v>
      </c>
      <c r="P48" s="147">
        <v>7.6100665419577039E-3</v>
      </c>
      <c r="Q48" s="146">
        <f t="shared" si="5"/>
        <v>1.0076100665419576</v>
      </c>
    </row>
    <row r="49" spans="1:17">
      <c r="A49" s="35">
        <v>43678</v>
      </c>
      <c r="B49" s="37">
        <v>814.6</v>
      </c>
      <c r="C49" s="37">
        <v>37332.79</v>
      </c>
      <c r="D49" s="38">
        <f t="shared" si="0"/>
        <v>-1.1482316412813096E-2</v>
      </c>
      <c r="E49" s="38">
        <f t="shared" si="1"/>
        <v>3.5123028513868525E-2</v>
      </c>
      <c r="F49" s="23"/>
      <c r="G49" s="23"/>
      <c r="H49" s="35">
        <v>45505</v>
      </c>
      <c r="I49" s="37">
        <v>1943.3</v>
      </c>
      <c r="J49" s="37">
        <v>82365.77</v>
      </c>
      <c r="K49" s="38">
        <f t="shared" si="2"/>
        <v>-3.5245708304487686E-2</v>
      </c>
      <c r="L49" s="144">
        <f t="shared" si="3"/>
        <v>2.3209317290898722E-2</v>
      </c>
      <c r="M49" s="143">
        <v>6.5299999999999997E-2</v>
      </c>
      <c r="N49" s="143">
        <f t="shared" si="4"/>
        <v>-4.2090682709101275E-2</v>
      </c>
      <c r="P49" s="147">
        <v>2.3209317290898722E-2</v>
      </c>
      <c r="Q49" s="146">
        <f t="shared" si="5"/>
        <v>1.0232093172908987</v>
      </c>
    </row>
    <row r="50" spans="1:17">
      <c r="A50" s="35">
        <v>43709</v>
      </c>
      <c r="B50" s="37">
        <v>805.3</v>
      </c>
      <c r="C50" s="37">
        <v>38667.33</v>
      </c>
      <c r="D50" s="38">
        <f t="shared" si="0"/>
        <v>-0.16106637979913008</v>
      </c>
      <c r="E50" s="38">
        <f t="shared" si="1"/>
        <v>3.7105453472546832E-2</v>
      </c>
      <c r="F50" s="23"/>
      <c r="G50" s="23"/>
      <c r="H50" s="35">
        <v>45536</v>
      </c>
      <c r="I50" s="37">
        <v>1876</v>
      </c>
      <c r="J50" s="37">
        <v>84299.78</v>
      </c>
      <c r="K50" s="38">
        <f t="shared" si="2"/>
        <v>-6.5448672228586247E-2</v>
      </c>
      <c r="L50" s="144">
        <f t="shared" si="3"/>
        <v>-6.0018679892465641E-2</v>
      </c>
      <c r="M50" s="143">
        <v>6.5299999999999997E-2</v>
      </c>
      <c r="N50" s="143">
        <f t="shared" si="4"/>
        <v>-0.12531867989246565</v>
      </c>
      <c r="P50" s="147">
        <v>-6.0018679892465641E-2</v>
      </c>
      <c r="Q50" s="146">
        <f t="shared" si="5"/>
        <v>0.93998132010753432</v>
      </c>
    </row>
    <row r="51" spans="1:17">
      <c r="A51" s="35">
        <v>43739</v>
      </c>
      <c r="B51" s="37">
        <v>685.5</v>
      </c>
      <c r="C51" s="37">
        <v>40129.050000000003</v>
      </c>
      <c r="D51" s="38">
        <f t="shared" si="0"/>
        <v>1.5129319671040559E-2</v>
      </c>
      <c r="E51" s="38">
        <f t="shared" si="1"/>
        <v>1.6429843277785287E-2</v>
      </c>
      <c r="F51" s="23"/>
      <c r="G51" s="23"/>
      <c r="H51" s="35">
        <v>45566</v>
      </c>
      <c r="I51" s="37">
        <v>1757.15</v>
      </c>
      <c r="J51" s="37">
        <v>79389.06</v>
      </c>
      <c r="K51" s="38">
        <f t="shared" si="2"/>
        <v>5.6049628621085722E-2</v>
      </c>
      <c r="L51" s="144">
        <f t="shared" si="3"/>
        <v>5.1978908658334511E-3</v>
      </c>
      <c r="M51" s="143">
        <v>6.5299999999999997E-2</v>
      </c>
      <c r="N51" s="143">
        <f t="shared" si="4"/>
        <v>-6.0102109134166547E-2</v>
      </c>
      <c r="P51" s="147">
        <v>5.1978908658334511E-3</v>
      </c>
      <c r="Q51" s="146">
        <f t="shared" si="5"/>
        <v>1.0051978908658334</v>
      </c>
    </row>
    <row r="52" spans="1:17">
      <c r="A52" s="35">
        <v>43770</v>
      </c>
      <c r="B52" s="37">
        <v>695.95</v>
      </c>
      <c r="C52" s="37">
        <v>40793.81</v>
      </c>
      <c r="D52" s="38">
        <f t="shared" si="0"/>
        <v>5.0161106898585724E-2</v>
      </c>
      <c r="E52" s="38">
        <f t="shared" si="1"/>
        <v>1.1211421123530239E-2</v>
      </c>
      <c r="F52" s="23"/>
      <c r="G52" s="23"/>
      <c r="H52" s="35">
        <v>45597</v>
      </c>
      <c r="I52" s="37">
        <v>1858.45</v>
      </c>
      <c r="J52" s="37">
        <v>79802.789999999994</v>
      </c>
      <c r="K52" s="38">
        <f t="shared" si="2"/>
        <v>1.1901240989363005E-2</v>
      </c>
      <c r="L52" s="144">
        <f t="shared" si="3"/>
        <v>-2.1069046271385661E-2</v>
      </c>
      <c r="M52" s="143">
        <v>6.5299999999999997E-2</v>
      </c>
      <c r="N52" s="143">
        <f t="shared" si="4"/>
        <v>-8.6369046271385655E-2</v>
      </c>
      <c r="P52" s="147">
        <v>-2.1069046271385661E-2</v>
      </c>
      <c r="Q52" s="146">
        <f t="shared" si="5"/>
        <v>0.97893095372861438</v>
      </c>
    </row>
    <row r="53" spans="1:17">
      <c r="A53" s="35">
        <v>43800</v>
      </c>
      <c r="B53" s="37">
        <v>731.75</v>
      </c>
      <c r="C53" s="37">
        <v>41253.74</v>
      </c>
      <c r="D53" s="38">
        <f t="shared" si="0"/>
        <v>5.9164523855183622E-2</v>
      </c>
      <c r="E53" s="38">
        <f t="shared" si="1"/>
        <v>-1.2936699498618543E-2</v>
      </c>
      <c r="F53" s="23"/>
      <c r="G53" s="23"/>
      <c r="H53" s="35">
        <v>45627</v>
      </c>
      <c r="I53" s="37">
        <v>1880.7</v>
      </c>
      <c r="J53" s="37">
        <v>78139.009999999995</v>
      </c>
      <c r="K53" s="38">
        <f t="shared" si="2"/>
        <v>-3.4567573301737481E-4</v>
      </c>
      <c r="L53" s="144">
        <f t="shared" si="3"/>
        <v>-8.2041288082573289E-3</v>
      </c>
      <c r="M53" s="143">
        <v>6.5299999999999997E-2</v>
      </c>
      <c r="N53" s="143">
        <f t="shared" si="4"/>
        <v>-7.3504128808257324E-2</v>
      </c>
      <c r="P53" s="147">
        <v>-8.2041288082573289E-3</v>
      </c>
      <c r="Q53" s="146">
        <f t="shared" si="5"/>
        <v>0.99179587119174262</v>
      </c>
    </row>
    <row r="54" spans="1:17">
      <c r="A54" s="35">
        <v>43831</v>
      </c>
      <c r="B54" s="37">
        <v>776.35</v>
      </c>
      <c r="C54" s="37">
        <v>40723.49</v>
      </c>
      <c r="D54" s="38">
        <f t="shared" si="0"/>
        <v>-5.9711308094081497E-2</v>
      </c>
      <c r="E54" s="38">
        <f t="shared" si="1"/>
        <v>-6.1425939335728E-2</v>
      </c>
      <c r="F54" s="23"/>
      <c r="G54" s="23"/>
      <c r="H54" s="35">
        <v>45658</v>
      </c>
      <c r="I54" s="37">
        <v>1880.05</v>
      </c>
      <c r="J54" s="37">
        <v>77500.570000000007</v>
      </c>
      <c r="K54" s="38">
        <f t="shared" si="2"/>
        <v>-0.10772435564472098</v>
      </c>
      <c r="L54" s="144">
        <f t="shared" si="3"/>
        <v>-5.7115826824721654E-2</v>
      </c>
      <c r="M54" s="143">
        <v>6.5299999999999997E-2</v>
      </c>
      <c r="N54" s="143">
        <f t="shared" si="4"/>
        <v>-0.12241582682472166</v>
      </c>
      <c r="P54" s="147">
        <v>-5.7115826824721654E-2</v>
      </c>
      <c r="Q54" s="146">
        <f t="shared" si="5"/>
        <v>0.9428841731752784</v>
      </c>
    </row>
    <row r="55" spans="1:17">
      <c r="A55" s="35">
        <v>43862</v>
      </c>
      <c r="B55" s="37">
        <v>731.35</v>
      </c>
      <c r="C55" s="37">
        <v>38297.29</v>
      </c>
      <c r="D55" s="38">
        <f t="shared" si="0"/>
        <v>-0.13295532480834091</v>
      </c>
      <c r="E55" s="38">
        <f t="shared" si="1"/>
        <v>-0.26205757961384779</v>
      </c>
      <c r="F55" s="23"/>
      <c r="G55" s="23"/>
      <c r="H55" s="35">
        <v>45689</v>
      </c>
      <c r="I55" s="37">
        <v>1688.05</v>
      </c>
      <c r="J55" s="37">
        <v>73198.100000000006</v>
      </c>
      <c r="K55" s="38">
        <f t="shared" si="2"/>
        <v>-7.2243652608042747E-2</v>
      </c>
      <c r="L55" s="144">
        <f t="shared" si="3"/>
        <v>5.6010062530561719E-2</v>
      </c>
      <c r="M55" s="143">
        <v>6.5299999999999997E-2</v>
      </c>
      <c r="N55" s="143">
        <f t="shared" si="4"/>
        <v>-9.289937469438278E-3</v>
      </c>
      <c r="P55" s="147">
        <v>5.6010062530561719E-2</v>
      </c>
      <c r="Q55" s="146">
        <f t="shared" si="5"/>
        <v>1.0560100625305617</v>
      </c>
    </row>
    <row r="56" spans="1:17">
      <c r="A56" s="35">
        <v>43891</v>
      </c>
      <c r="B56" s="37">
        <v>640.29999999999995</v>
      </c>
      <c r="C56" s="37">
        <v>29468.49</v>
      </c>
      <c r="D56" s="38">
        <f t="shared" si="0"/>
        <v>0.11202264103957606</v>
      </c>
      <c r="E56" s="38">
        <f t="shared" si="1"/>
        <v>0.13469899249607814</v>
      </c>
      <c r="F56" s="23"/>
      <c r="G56" s="23"/>
      <c r="H56" s="35">
        <v>45717</v>
      </c>
      <c r="I56" s="37">
        <v>1570.4</v>
      </c>
      <c r="J56" s="37">
        <v>77414.92</v>
      </c>
      <c r="K56" s="38">
        <f t="shared" si="2"/>
        <v>-4.659885822570127E-2</v>
      </c>
      <c r="L56" s="144">
        <f t="shared" si="3"/>
        <v>3.5870532638470627E-2</v>
      </c>
      <c r="M56" s="143">
        <v>6.5299999999999997E-2</v>
      </c>
      <c r="N56" s="143">
        <f t="shared" si="4"/>
        <v>-2.942946736152937E-2</v>
      </c>
      <c r="P56" s="147">
        <v>3.5870532638470627E-2</v>
      </c>
      <c r="Q56" s="146">
        <f t="shared" si="5"/>
        <v>1.0358705326384707</v>
      </c>
    </row>
    <row r="57" spans="1:17">
      <c r="A57" s="35">
        <v>43922</v>
      </c>
      <c r="B57" s="37">
        <v>716.2</v>
      </c>
      <c r="C57" s="37">
        <v>33717.620000000003</v>
      </c>
      <c r="D57" s="38">
        <f t="shared" si="0"/>
        <v>-3.5313249729705357E-2</v>
      </c>
      <c r="E57" s="38">
        <f t="shared" si="1"/>
        <v>-3.9118575928806673E-2</v>
      </c>
      <c r="F57" s="23"/>
      <c r="G57" s="23"/>
      <c r="H57" s="35">
        <v>45748</v>
      </c>
      <c r="I57" s="37">
        <v>1498.9</v>
      </c>
      <c r="J57" s="37">
        <v>80242.240000000005</v>
      </c>
      <c r="K57" s="38">
        <f t="shared" si="2"/>
        <v>4.1747578444365434E-2</v>
      </c>
      <c r="L57" s="144">
        <f t="shared" si="3"/>
        <v>1.4951675701445904E-2</v>
      </c>
      <c r="M57" s="143">
        <v>6.5299999999999997E-2</v>
      </c>
      <c r="N57" s="143">
        <f t="shared" si="4"/>
        <v>-5.0348324298554091E-2</v>
      </c>
      <c r="P57" s="147">
        <v>1.4951675701445904E-2</v>
      </c>
      <c r="Q57" s="146">
        <f t="shared" si="5"/>
        <v>1.0149516757014458</v>
      </c>
    </row>
    <row r="58" spans="1:17">
      <c r="A58" s="35">
        <v>43952</v>
      </c>
      <c r="B58" s="37">
        <v>691.35</v>
      </c>
      <c r="C58" s="37">
        <v>32424.1</v>
      </c>
      <c r="D58" s="38">
        <f t="shared" si="0"/>
        <v>6.2448032097926237E-2</v>
      </c>
      <c r="E58" s="38">
        <f t="shared" si="1"/>
        <v>7.4037475367244768E-2</v>
      </c>
      <c r="F58" s="23"/>
      <c r="G58" s="23"/>
      <c r="H58" s="35">
        <v>45778</v>
      </c>
      <c r="I58" s="37">
        <v>1562.8</v>
      </c>
      <c r="J58" s="37">
        <v>81451.009999999995</v>
      </c>
      <c r="K58" s="38">
        <f t="shared" si="2"/>
        <v>2.4336715147515613E-2</v>
      </c>
      <c r="L58" s="144">
        <f t="shared" si="3"/>
        <v>2.6119054615824297E-2</v>
      </c>
      <c r="M58" s="143">
        <v>6.5299999999999997E-2</v>
      </c>
      <c r="N58" s="143">
        <f t="shared" si="4"/>
        <v>-3.91809453841757E-2</v>
      </c>
      <c r="P58" s="147">
        <v>2.6119054615824297E-2</v>
      </c>
      <c r="Q58" s="146">
        <f t="shared" si="5"/>
        <v>1.0261190546158243</v>
      </c>
    </row>
    <row r="59" spans="1:17">
      <c r="A59" s="35">
        <v>43983</v>
      </c>
      <c r="B59" s="37">
        <v>735.9</v>
      </c>
      <c r="C59" s="37">
        <v>34915.800000000003</v>
      </c>
      <c r="D59" s="38">
        <f t="shared" si="0"/>
        <v>0.27232835996907839</v>
      </c>
      <c r="E59" s="38">
        <f t="shared" si="1"/>
        <v>7.4247829465739421E-2</v>
      </c>
      <c r="F59" s="23"/>
      <c r="G59" s="23"/>
      <c r="H59" s="35">
        <v>45809</v>
      </c>
      <c r="I59" s="37">
        <v>1601.3</v>
      </c>
      <c r="J59" s="37">
        <v>83606.460000000006</v>
      </c>
      <c r="K59" s="38">
        <f t="shared" si="2"/>
        <v>-5.963373090890061E-2</v>
      </c>
      <c r="L59" s="144">
        <f t="shared" si="3"/>
        <v>-2.9383144642107083E-2</v>
      </c>
      <c r="M59" s="143">
        <v>6.5299999999999997E-2</v>
      </c>
      <c r="N59" s="143">
        <f t="shared" si="4"/>
        <v>-9.4683144642107087E-2</v>
      </c>
      <c r="P59" s="147">
        <v>-2.9383144642107083E-2</v>
      </c>
      <c r="Q59" s="146">
        <f t="shared" si="5"/>
        <v>0.97061685535789288</v>
      </c>
    </row>
    <row r="60" spans="1:17">
      <c r="A60" s="35">
        <v>44013</v>
      </c>
      <c r="B60" s="37">
        <v>966.25</v>
      </c>
      <c r="C60" s="37">
        <v>37606.89</v>
      </c>
      <c r="D60" s="38">
        <f t="shared" si="0"/>
        <v>-3.9852219108871219E-2</v>
      </c>
      <c r="E60" s="38">
        <f t="shared" si="1"/>
        <v>2.6797631294553651E-2</v>
      </c>
      <c r="F60" s="23"/>
      <c r="G60" s="23"/>
      <c r="H60" s="35">
        <v>45839</v>
      </c>
      <c r="I60" s="37">
        <v>1508.6</v>
      </c>
      <c r="J60" s="37">
        <v>81185.58</v>
      </c>
      <c r="K60" s="38">
        <f t="shared" si="2"/>
        <v>-2.6293887318060108E-2</v>
      </c>
      <c r="L60" s="144">
        <f t="shared" si="3"/>
        <v>-1.7093220727498189E-2</v>
      </c>
      <c r="M60" s="143">
        <v>6.5299999999999997E-2</v>
      </c>
      <c r="N60" s="143">
        <f t="shared" si="4"/>
        <v>-8.239322072749819E-2</v>
      </c>
      <c r="P60" s="147">
        <v>-1.7093220727498189E-2</v>
      </c>
      <c r="Q60" s="146">
        <f t="shared" si="5"/>
        <v>0.98290677927250181</v>
      </c>
    </row>
    <row r="61" spans="1:17">
      <c r="A61" s="35">
        <v>44044</v>
      </c>
      <c r="B61" s="37">
        <v>928.5</v>
      </c>
      <c r="C61" s="37">
        <v>38628.29</v>
      </c>
      <c r="D61" s="38">
        <f t="shared" si="0"/>
        <v>8.2153067838553487E-2</v>
      </c>
      <c r="E61" s="38">
        <f t="shared" si="1"/>
        <v>-1.4612714190343983E-2</v>
      </c>
      <c r="F61" s="23"/>
      <c r="G61" s="23"/>
      <c r="H61" s="35">
        <v>45870</v>
      </c>
      <c r="I61" s="37">
        <v>1469.45</v>
      </c>
      <c r="J61" s="37">
        <v>79809.649999999994</v>
      </c>
      <c r="K61" s="38">
        <f t="shared" si="2"/>
        <v>-1.8822468793907199E-2</v>
      </c>
      <c r="L61" s="144">
        <f t="shared" si="3"/>
        <v>5.7218773094962309E-3</v>
      </c>
      <c r="M61" s="143">
        <v>6.5299999999999997E-2</v>
      </c>
      <c r="N61" s="143">
        <f t="shared" si="4"/>
        <v>-5.9578122690503763E-2</v>
      </c>
      <c r="P61" s="147">
        <v>5.7218773094962309E-3</v>
      </c>
      <c r="Q61" s="146">
        <f t="shared" si="5"/>
        <v>1.0057218773094962</v>
      </c>
    </row>
    <row r="62" spans="1:17">
      <c r="A62" s="35">
        <v>44075</v>
      </c>
      <c r="B62" s="37">
        <v>1008</v>
      </c>
      <c r="C62" s="37">
        <v>38067.93</v>
      </c>
      <c r="D62" s="38">
        <f t="shared" si="0"/>
        <v>5.0866616071715519E-2</v>
      </c>
      <c r="E62" s="38">
        <f t="shared" si="1"/>
        <v>3.9812162791909703E-2</v>
      </c>
      <c r="F62" s="23"/>
      <c r="G62" s="23"/>
      <c r="H62" s="35">
        <v>45901</v>
      </c>
      <c r="I62" s="37">
        <v>1442.05</v>
      </c>
      <c r="J62" s="37">
        <v>80267.62</v>
      </c>
      <c r="K62" s="38">
        <f t="shared" si="2"/>
        <v>2.7664139564317371E-2</v>
      </c>
      <c r="L62" s="144">
        <f t="shared" si="3"/>
        <v>4.4720587894832166E-2</v>
      </c>
      <c r="M62" s="143">
        <v>6.5299999999999997E-2</v>
      </c>
      <c r="N62" s="143">
        <f t="shared" si="4"/>
        <v>-2.0579412105167831E-2</v>
      </c>
      <c r="P62" s="147">
        <v>4.4720587894832166E-2</v>
      </c>
      <c r="Q62" s="146">
        <f t="shared" si="5"/>
        <v>1.0447205878948322</v>
      </c>
    </row>
    <row r="63" spans="1:17">
      <c r="A63" s="35">
        <v>44105</v>
      </c>
      <c r="B63" s="37">
        <v>1060.5999999999999</v>
      </c>
      <c r="C63" s="37">
        <v>39614.07</v>
      </c>
      <c r="D63" s="38">
        <f t="shared" si="0"/>
        <v>3.6975269125083289E-2</v>
      </c>
      <c r="E63" s="38">
        <f t="shared" si="1"/>
        <v>0.10840222682843985</v>
      </c>
      <c r="F63" s="23"/>
      <c r="G63" s="23"/>
      <c r="H63" s="35">
        <v>45931</v>
      </c>
      <c r="I63" s="37">
        <v>1482.5</v>
      </c>
      <c r="J63" s="37">
        <v>83938.71</v>
      </c>
      <c r="K63" s="38">
        <f t="shared" si="2"/>
        <v>3.1537883514600733E-2</v>
      </c>
      <c r="L63" s="144">
        <f t="shared" si="3"/>
        <v>7.6938190562092432E-3</v>
      </c>
      <c r="M63" s="143">
        <v>6.5299999999999997E-2</v>
      </c>
      <c r="N63" s="143">
        <f t="shared" si="4"/>
        <v>-5.7606180943790754E-2</v>
      </c>
      <c r="P63" s="147">
        <v>7.6938190562092432E-3</v>
      </c>
      <c r="Q63" s="146">
        <f t="shared" si="5"/>
        <v>1.0076938190562093</v>
      </c>
    </row>
    <row r="64" spans="1:17">
      <c r="A64" s="35">
        <v>44136</v>
      </c>
      <c r="B64" s="37">
        <v>1100.55</v>
      </c>
      <c r="C64" s="37">
        <v>44149.72</v>
      </c>
      <c r="D64" s="38">
        <f t="shared" si="0"/>
        <v>0.13200257931649628</v>
      </c>
      <c r="E64" s="38">
        <f t="shared" si="1"/>
        <v>7.8420334927978397E-2</v>
      </c>
      <c r="F64" s="23"/>
      <c r="G64" s="23"/>
      <c r="H64" s="35">
        <v>45962</v>
      </c>
      <c r="I64" s="37">
        <v>1530</v>
      </c>
      <c r="J64" s="37">
        <v>84587.01</v>
      </c>
      <c r="K64" s="38"/>
      <c r="L64" s="38"/>
      <c r="N64" s="23"/>
    </row>
    <row r="65" spans="1:17">
      <c r="A65" s="35">
        <v>44166</v>
      </c>
      <c r="B65" s="37">
        <v>1255.8499999999999</v>
      </c>
      <c r="C65" s="37">
        <v>47751.33</v>
      </c>
      <c r="D65" s="38">
        <f t="shared" si="0"/>
        <v>-1.2983552452347571E-2</v>
      </c>
      <c r="E65" s="38">
        <f t="shared" si="1"/>
        <v>-3.1172349501986572E-2</v>
      </c>
      <c r="F65" s="23"/>
      <c r="G65" s="23"/>
      <c r="M65" s="40" t="s">
        <v>381</v>
      </c>
      <c r="N65" s="23">
        <f>AVERAGE(N4:N63)</f>
        <v>-5.4463431271508767E-2</v>
      </c>
    </row>
    <row r="66" spans="1:17">
      <c r="A66" s="35">
        <v>44197</v>
      </c>
      <c r="B66" s="37">
        <v>1239.6500000000001</v>
      </c>
      <c r="C66" s="37">
        <v>46285.77</v>
      </c>
      <c r="D66" s="38">
        <f t="shared" si="0"/>
        <v>1.019270461585745E-2</v>
      </c>
      <c r="E66" s="38">
        <f t="shared" si="1"/>
        <v>5.9024260694471163E-2</v>
      </c>
      <c r="F66" s="23"/>
      <c r="G66" s="23"/>
    </row>
    <row r="67" spans="1:17">
      <c r="A67" s="35">
        <v>44228</v>
      </c>
      <c r="B67" s="37">
        <v>1252.3499999999999</v>
      </c>
      <c r="C67" s="37">
        <v>49099.99</v>
      </c>
      <c r="D67" s="38">
        <f t="shared" si="0"/>
        <v>8.8145267635816121E-2</v>
      </c>
      <c r="E67" s="38">
        <f t="shared" si="1"/>
        <v>8.2986698426506366E-3</v>
      </c>
      <c r="F67" s="23"/>
      <c r="G67" s="23"/>
    </row>
    <row r="68" spans="1:17">
      <c r="A68" s="35">
        <v>44256</v>
      </c>
      <c r="B68" s="37">
        <v>1367.75</v>
      </c>
      <c r="C68" s="37">
        <v>49509.15</v>
      </c>
      <c r="D68" s="38">
        <f t="shared" si="0"/>
        <v>-1.0177737442870068E-2</v>
      </c>
      <c r="E68" s="38">
        <f t="shared" si="1"/>
        <v>-1.4788728875835783E-2</v>
      </c>
      <c r="F68" s="23"/>
      <c r="G68" s="23"/>
      <c r="M68" s="40" t="s">
        <v>382</v>
      </c>
      <c r="N68" s="142"/>
      <c r="O68" s="142"/>
      <c r="P68" s="142"/>
      <c r="Q68" s="142"/>
    </row>
    <row r="69" spans="1:17">
      <c r="A69" s="35">
        <v>44287</v>
      </c>
      <c r="B69" s="37">
        <v>1353.9</v>
      </c>
      <c r="C69" s="37">
        <v>48782.36</v>
      </c>
      <c r="D69" s="38">
        <f t="shared" ref="D69:D123" si="6">LN(B70/B69)</f>
        <v>2.8936888254366001E-2</v>
      </c>
      <c r="E69" s="38">
        <f t="shared" ref="E69:E123" si="7">LN(C70/C69)</f>
        <v>6.2671145279061508E-2</v>
      </c>
      <c r="F69" s="23"/>
      <c r="G69" s="23"/>
      <c r="M69" s="40" t="s">
        <v>383</v>
      </c>
      <c r="N69" s="40"/>
      <c r="O69" s="40"/>
    </row>
    <row r="70" spans="1:17">
      <c r="A70" s="35">
        <v>44317</v>
      </c>
      <c r="B70" s="37">
        <v>1393.65</v>
      </c>
      <c r="C70" s="37">
        <v>51937.440000000002</v>
      </c>
      <c r="D70" s="38">
        <f t="shared" si="6"/>
        <v>0.1262894687203992</v>
      </c>
      <c r="E70" s="38">
        <f t="shared" si="7"/>
        <v>1.044386464177028E-2</v>
      </c>
      <c r="F70" s="23"/>
      <c r="G70" s="23"/>
    </row>
    <row r="71" spans="1:17">
      <c r="A71" s="35">
        <v>44348</v>
      </c>
      <c r="B71" s="37">
        <v>1581.25</v>
      </c>
      <c r="C71" s="37">
        <v>52482.71</v>
      </c>
      <c r="D71" s="38">
        <f t="shared" si="6"/>
        <v>1.8173772951169721E-2</v>
      </c>
      <c r="E71" s="38">
        <f t="shared" si="7"/>
        <v>1.9821163047147997E-3</v>
      </c>
      <c r="F71" s="23"/>
      <c r="G71" s="23"/>
    </row>
    <row r="72" spans="1:17">
      <c r="A72" s="35">
        <v>44378</v>
      </c>
      <c r="B72" s="37">
        <v>1610.25</v>
      </c>
      <c r="C72" s="37">
        <v>52586.84</v>
      </c>
      <c r="D72" s="38">
        <f t="shared" si="6"/>
        <v>5.6677006257023134E-2</v>
      </c>
      <c r="E72" s="38">
        <f t="shared" si="7"/>
        <v>9.0229765083880378E-2</v>
      </c>
      <c r="F72" s="23"/>
      <c r="G72" s="23"/>
    </row>
    <row r="73" spans="1:17">
      <c r="A73" s="35">
        <v>44409</v>
      </c>
      <c r="B73" s="37">
        <v>1704.15</v>
      </c>
      <c r="C73" s="37">
        <v>57552.39</v>
      </c>
      <c r="D73" s="38">
        <f t="shared" si="6"/>
        <v>-1.7014509964314101E-2</v>
      </c>
      <c r="E73" s="38">
        <f t="shared" si="7"/>
        <v>2.6981185251009142E-2</v>
      </c>
      <c r="F73" s="23"/>
      <c r="G73" s="23"/>
    </row>
    <row r="74" spans="1:17">
      <c r="A74" s="35">
        <v>44440</v>
      </c>
      <c r="B74" s="37">
        <v>1675.4</v>
      </c>
      <c r="C74" s="37">
        <v>59126.36</v>
      </c>
      <c r="D74" s="38">
        <f t="shared" si="6"/>
        <v>-4.0669912517350641E-3</v>
      </c>
      <c r="E74" s="38">
        <f t="shared" si="7"/>
        <v>3.0493139203745284E-3</v>
      </c>
      <c r="F74" s="23"/>
      <c r="G74" s="23"/>
    </row>
    <row r="75" spans="1:17">
      <c r="A75" s="35">
        <v>44470</v>
      </c>
      <c r="B75" s="37">
        <v>1668.6</v>
      </c>
      <c r="C75" s="37">
        <v>59306.93</v>
      </c>
      <c r="D75" s="38">
        <f t="shared" si="6"/>
        <v>2.7107377988462703E-2</v>
      </c>
      <c r="E75" s="38">
        <f t="shared" si="7"/>
        <v>-3.8537471683040066E-2</v>
      </c>
      <c r="F75" s="23"/>
      <c r="G75" s="23"/>
    </row>
    <row r="76" spans="1:17">
      <c r="A76" s="35">
        <v>44501</v>
      </c>
      <c r="B76" s="37">
        <v>1714.45</v>
      </c>
      <c r="C76" s="37">
        <v>57064.87</v>
      </c>
      <c r="D76" s="38">
        <f t="shared" si="6"/>
        <v>9.729929726317238E-2</v>
      </c>
      <c r="E76" s="38">
        <f t="shared" si="7"/>
        <v>2.0620978795664852E-2</v>
      </c>
      <c r="F76" s="23"/>
      <c r="G76" s="23"/>
    </row>
    <row r="77" spans="1:17">
      <c r="A77" s="35">
        <v>44531</v>
      </c>
      <c r="B77" s="37">
        <v>1889.65</v>
      </c>
      <c r="C77" s="37">
        <v>58253.82</v>
      </c>
      <c r="D77" s="38">
        <f t="shared" si="6"/>
        <v>-8.4404865966540704E-2</v>
      </c>
      <c r="E77" s="38">
        <f t="shared" si="7"/>
        <v>-4.1223786423822866E-3</v>
      </c>
      <c r="F77" s="23"/>
      <c r="G77" s="23"/>
    </row>
    <row r="78" spans="1:17">
      <c r="A78" s="35">
        <v>44562</v>
      </c>
      <c r="B78" s="37">
        <v>1736.7</v>
      </c>
      <c r="C78" s="37">
        <v>58014.17</v>
      </c>
      <c r="D78" s="38">
        <f t="shared" si="6"/>
        <v>-1.1233470763252325E-2</v>
      </c>
      <c r="E78" s="38">
        <f t="shared" si="7"/>
        <v>-3.092960669252813E-2</v>
      </c>
      <c r="F78" s="23"/>
      <c r="G78" s="23"/>
    </row>
    <row r="79" spans="1:17">
      <c r="A79" s="35">
        <v>44593</v>
      </c>
      <c r="B79" s="37">
        <v>1717.3</v>
      </c>
      <c r="C79" s="37">
        <v>56247.28</v>
      </c>
      <c r="D79" s="38">
        <f t="shared" si="6"/>
        <v>0.10488290788121435</v>
      </c>
      <c r="E79" s="38">
        <f t="shared" si="7"/>
        <v>4.0439495773421867E-2</v>
      </c>
      <c r="F79" s="23"/>
      <c r="G79" s="23"/>
    </row>
    <row r="80" spans="1:17">
      <c r="A80" s="35">
        <v>44621</v>
      </c>
      <c r="B80" s="37">
        <v>1907.2</v>
      </c>
      <c r="C80" s="37">
        <v>58568.51</v>
      </c>
      <c r="D80" s="38">
        <f t="shared" si="6"/>
        <v>-0.19589905350462578</v>
      </c>
      <c r="E80" s="38">
        <f t="shared" si="7"/>
        <v>-2.6078587355803259E-2</v>
      </c>
      <c r="F80" s="23"/>
      <c r="G80" s="23"/>
    </row>
    <row r="81" spans="1:7">
      <c r="A81" s="35">
        <v>44652</v>
      </c>
      <c r="B81" s="37">
        <v>1567.9</v>
      </c>
      <c r="C81" s="37">
        <v>57060.87</v>
      </c>
      <c r="D81" s="38">
        <f t="shared" si="6"/>
        <v>-4.1642164090087336E-2</v>
      </c>
      <c r="E81" s="38">
        <f t="shared" si="7"/>
        <v>-2.6539710775639064E-2</v>
      </c>
      <c r="F81" s="23"/>
      <c r="G81" s="23"/>
    </row>
    <row r="82" spans="1:7">
      <c r="A82" s="35">
        <v>44682</v>
      </c>
      <c r="B82" s="37">
        <v>1503.95</v>
      </c>
      <c r="C82" s="37">
        <v>55566.41</v>
      </c>
      <c r="D82" s="38">
        <f t="shared" si="6"/>
        <v>-2.8836964355189971E-2</v>
      </c>
      <c r="E82" s="38">
        <f t="shared" si="7"/>
        <v>-4.6929673796435291E-2</v>
      </c>
      <c r="F82" s="23"/>
      <c r="G82" s="23"/>
    </row>
    <row r="83" spans="1:7">
      <c r="A83" s="35">
        <v>44713</v>
      </c>
      <c r="B83" s="37">
        <v>1461.2</v>
      </c>
      <c r="C83" s="37">
        <v>53018.94</v>
      </c>
      <c r="D83" s="38">
        <f t="shared" si="6"/>
        <v>5.873881717165861E-2</v>
      </c>
      <c r="E83" s="38">
        <f t="shared" si="7"/>
        <v>8.2356733012455843E-2</v>
      </c>
      <c r="F83" s="23"/>
      <c r="G83" s="23"/>
    </row>
    <row r="84" spans="1:7">
      <c r="A84" s="35">
        <v>44743</v>
      </c>
      <c r="B84" s="37">
        <v>1549.6</v>
      </c>
      <c r="C84" s="37">
        <v>57570.25</v>
      </c>
      <c r="D84" s="38">
        <f t="shared" si="6"/>
        <v>-3.7075365052357243E-2</v>
      </c>
      <c r="E84" s="38">
        <f t="shared" si="7"/>
        <v>3.3593202544228998E-2</v>
      </c>
      <c r="F84" s="23"/>
      <c r="G84" s="23"/>
    </row>
    <row r="85" spans="1:7">
      <c r="A85" s="35">
        <v>44774</v>
      </c>
      <c r="B85" s="37">
        <v>1493.2</v>
      </c>
      <c r="C85" s="37">
        <v>59537.07</v>
      </c>
      <c r="D85" s="38">
        <f t="shared" si="6"/>
        <v>-5.5135595451728373E-2</v>
      </c>
      <c r="E85" s="38">
        <f t="shared" si="7"/>
        <v>-3.6085960830701286E-2</v>
      </c>
      <c r="F85" s="23"/>
      <c r="G85" s="23"/>
    </row>
    <row r="86" spans="1:7">
      <c r="A86" s="35">
        <v>44805</v>
      </c>
      <c r="B86" s="37">
        <v>1413.1</v>
      </c>
      <c r="C86" s="37">
        <v>57426.92</v>
      </c>
      <c r="D86" s="38">
        <f t="shared" si="6"/>
        <v>8.4631976857177368E-2</v>
      </c>
      <c r="E86" s="38">
        <f t="shared" si="7"/>
        <v>5.6197766026638681E-2</v>
      </c>
      <c r="F86" s="23"/>
      <c r="G86" s="23"/>
    </row>
    <row r="87" spans="1:7">
      <c r="A87" s="35">
        <v>44835</v>
      </c>
      <c r="B87" s="37">
        <v>1537.9</v>
      </c>
      <c r="C87" s="37">
        <v>60746.59</v>
      </c>
      <c r="D87" s="38">
        <f t="shared" si="6"/>
        <v>5.96334750857727E-2</v>
      </c>
      <c r="E87" s="38">
        <f t="shared" si="7"/>
        <v>3.8004273822622829E-2</v>
      </c>
      <c r="F87" s="23"/>
      <c r="G87" s="23"/>
    </row>
    <row r="88" spans="1:7">
      <c r="A88" s="35">
        <v>44866</v>
      </c>
      <c r="B88" s="37">
        <v>1632.4</v>
      </c>
      <c r="C88" s="37">
        <v>63099.65</v>
      </c>
      <c r="D88" s="38">
        <f t="shared" si="6"/>
        <v>-7.8802971685621934E-2</v>
      </c>
      <c r="E88" s="38">
        <f t="shared" si="7"/>
        <v>-3.6455592412848278E-2</v>
      </c>
      <c r="F88" s="23"/>
      <c r="G88" s="23"/>
    </row>
    <row r="89" spans="1:7">
      <c r="A89" s="35">
        <v>44896</v>
      </c>
      <c r="B89" s="37">
        <v>1508.7</v>
      </c>
      <c r="C89" s="37">
        <v>60840.74</v>
      </c>
      <c r="D89" s="38">
        <f t="shared" si="6"/>
        <v>1.6076089597166183E-2</v>
      </c>
      <c r="E89" s="38">
        <f t="shared" si="7"/>
        <v>-2.1445013828973288E-2</v>
      </c>
      <c r="F89" s="23"/>
      <c r="G89" s="23"/>
    </row>
    <row r="90" spans="1:7">
      <c r="A90" s="35">
        <v>44927</v>
      </c>
      <c r="B90" s="37">
        <v>1533.15</v>
      </c>
      <c r="C90" s="37">
        <v>59549.9</v>
      </c>
      <c r="D90" s="38">
        <f t="shared" si="6"/>
        <v>-3.0362046844642745E-2</v>
      </c>
      <c r="E90" s="38">
        <f t="shared" si="7"/>
        <v>-9.9194127233825542E-3</v>
      </c>
      <c r="F90" s="23"/>
      <c r="G90" s="23"/>
    </row>
    <row r="91" spans="1:7">
      <c r="A91" s="35">
        <v>44958</v>
      </c>
      <c r="B91" s="37">
        <v>1487.3</v>
      </c>
      <c r="C91" s="37">
        <v>58962.12</v>
      </c>
      <c r="D91" s="38">
        <f t="shared" si="6"/>
        <v>-4.0897637803377761E-2</v>
      </c>
      <c r="E91" s="38">
        <f t="shared" si="7"/>
        <v>4.9850094679280998E-4</v>
      </c>
      <c r="F91" s="23"/>
      <c r="G91" s="23"/>
    </row>
    <row r="92" spans="1:7">
      <c r="A92" s="35">
        <v>44986</v>
      </c>
      <c r="B92" s="37">
        <v>1427.7</v>
      </c>
      <c r="C92" s="37">
        <v>58991.519999999997</v>
      </c>
      <c r="D92" s="38">
        <f t="shared" si="6"/>
        <v>-0.13088328447326239</v>
      </c>
      <c r="E92" s="38">
        <f t="shared" si="7"/>
        <v>3.5321741346229396E-2</v>
      </c>
      <c r="F92" s="23"/>
      <c r="G92" s="23"/>
    </row>
    <row r="93" spans="1:7">
      <c r="A93" s="35">
        <v>45017</v>
      </c>
      <c r="B93" s="37">
        <v>1252.55</v>
      </c>
      <c r="C93" s="37">
        <v>61112.44</v>
      </c>
      <c r="D93" s="38">
        <f t="shared" si="6"/>
        <v>5.4039908194138807E-2</v>
      </c>
      <c r="E93" s="38">
        <f t="shared" si="7"/>
        <v>2.4405040469134852E-2</v>
      </c>
      <c r="F93" s="23"/>
      <c r="G93" s="23"/>
    </row>
    <row r="94" spans="1:7">
      <c r="A94" s="35">
        <v>45047</v>
      </c>
      <c r="B94" s="37">
        <v>1322.1</v>
      </c>
      <c r="C94" s="37">
        <v>62622.239999999998</v>
      </c>
      <c r="D94" s="38">
        <f t="shared" si="6"/>
        <v>9.8597118315743738E-3</v>
      </c>
      <c r="E94" s="38">
        <f t="shared" si="7"/>
        <v>3.2927536234183027E-2</v>
      </c>
      <c r="F94" s="23"/>
      <c r="G94" s="23"/>
    </row>
    <row r="95" spans="1:7">
      <c r="A95" s="35">
        <v>45078</v>
      </c>
      <c r="B95" s="37">
        <v>1335.2</v>
      </c>
      <c r="C95" s="37">
        <v>64718.559999999998</v>
      </c>
      <c r="D95" s="38">
        <f t="shared" si="6"/>
        <v>1.4794158981042808E-2</v>
      </c>
      <c r="E95" s="38">
        <f t="shared" si="7"/>
        <v>2.7569928534107949E-2</v>
      </c>
      <c r="F95" s="23"/>
      <c r="G95" s="23"/>
    </row>
    <row r="96" spans="1:7">
      <c r="A96" s="35">
        <v>45108</v>
      </c>
      <c r="B96" s="37">
        <v>1355.1</v>
      </c>
      <c r="C96" s="37">
        <v>66527.67</v>
      </c>
      <c r="D96" s="38">
        <f t="shared" si="6"/>
        <v>5.6662222406498437E-2</v>
      </c>
      <c r="E96" s="38">
        <f t="shared" si="7"/>
        <v>-2.5827743205255813E-2</v>
      </c>
      <c r="F96" s="23"/>
      <c r="G96" s="23"/>
    </row>
    <row r="97" spans="1:7">
      <c r="A97" s="35">
        <v>45139</v>
      </c>
      <c r="B97" s="37">
        <v>1434.1</v>
      </c>
      <c r="C97" s="37">
        <v>64831.41</v>
      </c>
      <c r="D97" s="38">
        <f t="shared" si="6"/>
        <v>6.6221705711941954E-4</v>
      </c>
      <c r="E97" s="38">
        <f t="shared" si="7"/>
        <v>1.5261299925833091E-2</v>
      </c>
      <c r="F97" s="23"/>
      <c r="G97" s="23"/>
    </row>
    <row r="98" spans="1:7">
      <c r="A98" s="35">
        <v>45170</v>
      </c>
      <c r="B98" s="37">
        <v>1435.05</v>
      </c>
      <c r="C98" s="37">
        <v>65828.41</v>
      </c>
      <c r="D98" s="38">
        <f t="shared" si="6"/>
        <v>-4.7374839257170648E-2</v>
      </c>
      <c r="E98" s="38">
        <f t="shared" si="7"/>
        <v>-3.0124555433559918E-2</v>
      </c>
      <c r="F98" s="23"/>
      <c r="G98" s="23"/>
    </row>
    <row r="99" spans="1:7">
      <c r="A99" s="35">
        <v>45200</v>
      </c>
      <c r="B99" s="37">
        <v>1368.65</v>
      </c>
      <c r="C99" s="37">
        <v>63874.93</v>
      </c>
      <c r="D99" s="38">
        <f t="shared" si="6"/>
        <v>6.138721238416512E-2</v>
      </c>
      <c r="E99" s="38">
        <f t="shared" si="7"/>
        <v>4.7593114558401692E-2</v>
      </c>
      <c r="F99" s="23"/>
      <c r="G99" s="23"/>
    </row>
    <row r="100" spans="1:7">
      <c r="A100" s="35">
        <v>45231</v>
      </c>
      <c r="B100" s="37">
        <v>1455.3</v>
      </c>
      <c r="C100" s="37">
        <v>66988.44</v>
      </c>
      <c r="D100" s="38">
        <f t="shared" si="6"/>
        <v>5.8419290497370741E-2</v>
      </c>
      <c r="E100" s="38">
        <f t="shared" si="7"/>
        <v>7.5477441025058684E-2</v>
      </c>
      <c r="F100" s="23"/>
      <c r="G100" s="23"/>
    </row>
    <row r="101" spans="1:7">
      <c r="A101" s="35">
        <v>45261</v>
      </c>
      <c r="B101" s="37">
        <v>1542.85</v>
      </c>
      <c r="C101" s="37">
        <v>72240.259999999995</v>
      </c>
      <c r="D101" s="38">
        <f t="shared" si="6"/>
        <v>7.4450507660413057E-2</v>
      </c>
      <c r="E101" s="38">
        <f t="shared" si="7"/>
        <v>-6.7802463434785704E-3</v>
      </c>
      <c r="F101" s="23"/>
      <c r="G101" s="23"/>
    </row>
    <row r="102" spans="1:7">
      <c r="A102" s="35">
        <v>45292</v>
      </c>
      <c r="B102" s="37">
        <v>1662.1</v>
      </c>
      <c r="C102" s="37">
        <v>71752.11</v>
      </c>
      <c r="D102" s="38">
        <f t="shared" si="6"/>
        <v>7.7611524828462945E-3</v>
      </c>
      <c r="E102" s="38">
        <f t="shared" si="7"/>
        <v>1.0373437910263655E-2</v>
      </c>
      <c r="F102" s="23"/>
      <c r="G102" s="23"/>
    </row>
    <row r="103" spans="1:7">
      <c r="A103" s="35">
        <v>45323</v>
      </c>
      <c r="B103" s="37">
        <v>1675.05</v>
      </c>
      <c r="C103" s="37">
        <v>72500.3</v>
      </c>
      <c r="D103" s="38">
        <f t="shared" si="6"/>
        <v>-0.11117822764037855</v>
      </c>
      <c r="E103" s="38">
        <f t="shared" si="7"/>
        <v>1.5751772896445967E-2</v>
      </c>
      <c r="F103" s="23"/>
      <c r="G103" s="23"/>
    </row>
    <row r="104" spans="1:7">
      <c r="A104" s="35">
        <v>45352</v>
      </c>
      <c r="B104" s="37">
        <v>1498.8</v>
      </c>
      <c r="C104" s="37">
        <v>73651.350000000006</v>
      </c>
      <c r="D104" s="38">
        <f t="shared" si="6"/>
        <v>-5.3233568321716496E-2</v>
      </c>
      <c r="E104" s="38">
        <f t="shared" si="7"/>
        <v>1.1225485049184242E-2</v>
      </c>
      <c r="F104" s="23"/>
      <c r="G104" s="23"/>
    </row>
    <row r="105" spans="1:7">
      <c r="A105" s="35">
        <v>45383</v>
      </c>
      <c r="B105" s="37">
        <v>1421.1</v>
      </c>
      <c r="C105" s="37">
        <v>74482.78</v>
      </c>
      <c r="D105" s="38">
        <f t="shared" si="6"/>
        <v>-1.0504632645085407E-2</v>
      </c>
      <c r="E105" s="38">
        <f t="shared" si="7"/>
        <v>-7.0258390897624638E-3</v>
      </c>
      <c r="F105" s="23"/>
      <c r="G105" s="23"/>
    </row>
    <row r="106" spans="1:7">
      <c r="A106" s="35">
        <v>45413</v>
      </c>
      <c r="B106" s="37">
        <v>1406.25</v>
      </c>
      <c r="C106" s="37">
        <v>73961.31</v>
      </c>
      <c r="D106" s="38">
        <f t="shared" si="6"/>
        <v>0.1082044677895577</v>
      </c>
      <c r="E106" s="38">
        <f t="shared" si="7"/>
        <v>6.6319951825398904E-2</v>
      </c>
      <c r="F106" s="23"/>
      <c r="G106" s="23"/>
    </row>
    <row r="107" spans="1:7">
      <c r="A107" s="35">
        <v>45444</v>
      </c>
      <c r="B107" s="37">
        <v>1566.95</v>
      </c>
      <c r="C107" s="37">
        <v>79032.73</v>
      </c>
      <c r="D107" s="38">
        <f t="shared" si="6"/>
        <v>0.17576405128357014</v>
      </c>
      <c r="E107" s="38">
        <f t="shared" si="7"/>
        <v>3.3697800980014361E-2</v>
      </c>
      <c r="F107" s="23"/>
      <c r="G107" s="23"/>
    </row>
    <row r="108" spans="1:7">
      <c r="A108" s="35">
        <v>45474</v>
      </c>
      <c r="B108" s="37">
        <v>1868.05</v>
      </c>
      <c r="C108" s="37">
        <v>81741.34</v>
      </c>
      <c r="D108" s="38">
        <f t="shared" si="6"/>
        <v>3.9492452844799589E-2</v>
      </c>
      <c r="E108" s="38">
        <f t="shared" si="7"/>
        <v>7.6100665419577039E-3</v>
      </c>
      <c r="F108" s="23"/>
      <c r="G108" s="23"/>
    </row>
    <row r="109" spans="1:7">
      <c r="A109" s="35">
        <v>45505</v>
      </c>
      <c r="B109" s="37">
        <v>1943.3</v>
      </c>
      <c r="C109" s="37">
        <v>82365.77</v>
      </c>
      <c r="D109" s="38">
        <f t="shared" si="6"/>
        <v>-3.5245708304487686E-2</v>
      </c>
      <c r="E109" s="38">
        <f t="shared" si="7"/>
        <v>2.3209317290898722E-2</v>
      </c>
      <c r="F109" s="23"/>
      <c r="G109" s="23"/>
    </row>
    <row r="110" spans="1:7">
      <c r="A110" s="35">
        <v>45536</v>
      </c>
      <c r="B110" s="37">
        <v>1876</v>
      </c>
      <c r="C110" s="37">
        <v>84299.78</v>
      </c>
      <c r="D110" s="38">
        <f t="shared" si="6"/>
        <v>-6.5448672228586247E-2</v>
      </c>
      <c r="E110" s="38">
        <f t="shared" si="7"/>
        <v>-6.0018679892465641E-2</v>
      </c>
      <c r="F110" s="23"/>
      <c r="G110" s="23"/>
    </row>
    <row r="111" spans="1:7">
      <c r="A111" s="35">
        <v>45566</v>
      </c>
      <c r="B111" s="37">
        <v>1757.15</v>
      </c>
      <c r="C111" s="37">
        <v>79389.06</v>
      </c>
      <c r="D111" s="38">
        <f t="shared" si="6"/>
        <v>5.6049628621085722E-2</v>
      </c>
      <c r="E111" s="38">
        <f t="shared" si="7"/>
        <v>5.1978908658334511E-3</v>
      </c>
      <c r="F111" s="23"/>
      <c r="G111" s="23"/>
    </row>
    <row r="112" spans="1:7">
      <c r="A112" s="35">
        <v>45597</v>
      </c>
      <c r="B112" s="37">
        <v>1858.45</v>
      </c>
      <c r="C112" s="37">
        <v>79802.789999999994</v>
      </c>
      <c r="D112" s="38">
        <f t="shared" si="6"/>
        <v>1.1901240989363005E-2</v>
      </c>
      <c r="E112" s="38">
        <f t="shared" si="7"/>
        <v>-2.1069046271385661E-2</v>
      </c>
      <c r="F112" s="23"/>
      <c r="G112" s="23"/>
    </row>
    <row r="113" spans="1:7">
      <c r="A113" s="35">
        <v>45627</v>
      </c>
      <c r="B113" s="37">
        <v>1880.7</v>
      </c>
      <c r="C113" s="37">
        <v>78139.009999999995</v>
      </c>
      <c r="D113" s="38">
        <f t="shared" si="6"/>
        <v>-3.4567573301737481E-4</v>
      </c>
      <c r="E113" s="38">
        <f t="shared" si="7"/>
        <v>-8.2041288082573289E-3</v>
      </c>
      <c r="F113" s="23"/>
      <c r="G113" s="23"/>
    </row>
    <row r="114" spans="1:7">
      <c r="A114" s="35">
        <v>45658</v>
      </c>
      <c r="B114" s="37">
        <v>1880.05</v>
      </c>
      <c r="C114" s="37">
        <v>77500.570000000007</v>
      </c>
      <c r="D114" s="38">
        <f t="shared" si="6"/>
        <v>-0.10772435564472098</v>
      </c>
      <c r="E114" s="38">
        <f t="shared" si="7"/>
        <v>-5.7115826824721654E-2</v>
      </c>
      <c r="F114" s="23"/>
      <c r="G114" s="23"/>
    </row>
    <row r="115" spans="1:7">
      <c r="A115" s="35">
        <v>45689</v>
      </c>
      <c r="B115" s="37">
        <v>1688.05</v>
      </c>
      <c r="C115" s="37">
        <v>73198.100000000006</v>
      </c>
      <c r="D115" s="38">
        <f t="shared" si="6"/>
        <v>-7.2243652608042747E-2</v>
      </c>
      <c r="E115" s="38">
        <f t="shared" si="7"/>
        <v>5.6010062530561719E-2</v>
      </c>
      <c r="F115" s="23"/>
      <c r="G115" s="23"/>
    </row>
    <row r="116" spans="1:7">
      <c r="A116" s="35">
        <v>45717</v>
      </c>
      <c r="B116" s="37">
        <v>1570.4</v>
      </c>
      <c r="C116" s="37">
        <v>77414.92</v>
      </c>
      <c r="D116" s="38">
        <f t="shared" si="6"/>
        <v>-4.659885822570127E-2</v>
      </c>
      <c r="E116" s="38">
        <f t="shared" si="7"/>
        <v>3.5870532638470627E-2</v>
      </c>
      <c r="F116" s="23"/>
      <c r="G116" s="23"/>
    </row>
    <row r="117" spans="1:7">
      <c r="A117" s="35">
        <v>45748</v>
      </c>
      <c r="B117" s="37">
        <v>1498.9</v>
      </c>
      <c r="C117" s="37">
        <v>80242.240000000005</v>
      </c>
      <c r="D117" s="38">
        <f t="shared" si="6"/>
        <v>4.1747578444365434E-2</v>
      </c>
      <c r="E117" s="38">
        <f t="shared" si="7"/>
        <v>1.4951675701445904E-2</v>
      </c>
      <c r="F117" s="23"/>
      <c r="G117" s="23"/>
    </row>
    <row r="118" spans="1:7">
      <c r="A118" s="35">
        <v>45778</v>
      </c>
      <c r="B118" s="37">
        <v>1562.8</v>
      </c>
      <c r="C118" s="37">
        <v>81451.009999999995</v>
      </c>
      <c r="D118" s="38">
        <f t="shared" si="6"/>
        <v>2.4336715147515613E-2</v>
      </c>
      <c r="E118" s="38">
        <f t="shared" si="7"/>
        <v>2.6119054615824297E-2</v>
      </c>
      <c r="F118" s="23"/>
      <c r="G118" s="23"/>
    </row>
    <row r="119" spans="1:7">
      <c r="A119" s="35">
        <v>45809</v>
      </c>
      <c r="B119" s="37">
        <v>1601.3</v>
      </c>
      <c r="C119" s="37">
        <v>83606.460000000006</v>
      </c>
      <c r="D119" s="38">
        <f t="shared" si="6"/>
        <v>-5.963373090890061E-2</v>
      </c>
      <c r="E119" s="38">
        <f t="shared" si="7"/>
        <v>-2.9383144642107083E-2</v>
      </c>
      <c r="F119" s="23"/>
      <c r="G119" s="23"/>
    </row>
    <row r="120" spans="1:7">
      <c r="A120" s="35">
        <v>45839</v>
      </c>
      <c r="B120" s="37">
        <v>1508.6</v>
      </c>
      <c r="C120" s="37">
        <v>81185.58</v>
      </c>
      <c r="D120" s="38">
        <f t="shared" si="6"/>
        <v>-2.6293887318060108E-2</v>
      </c>
      <c r="E120" s="38">
        <f t="shared" si="7"/>
        <v>-1.7093220727498189E-2</v>
      </c>
      <c r="F120" s="23"/>
      <c r="G120" s="23"/>
    </row>
    <row r="121" spans="1:7">
      <c r="A121" s="35">
        <v>45870</v>
      </c>
      <c r="B121" s="37">
        <v>1469.45</v>
      </c>
      <c r="C121" s="37">
        <v>79809.649999999994</v>
      </c>
      <c r="D121" s="38">
        <f t="shared" si="6"/>
        <v>-1.8822468793907199E-2</v>
      </c>
      <c r="E121" s="38">
        <f t="shared" si="7"/>
        <v>5.7218773094962309E-3</v>
      </c>
      <c r="F121" s="23"/>
      <c r="G121" s="23"/>
    </row>
    <row r="122" spans="1:7">
      <c r="A122" s="35">
        <v>45901</v>
      </c>
      <c r="B122" s="37">
        <v>1442.05</v>
      </c>
      <c r="C122" s="37">
        <v>80267.62</v>
      </c>
      <c r="D122" s="38">
        <f t="shared" si="6"/>
        <v>2.7664139564317371E-2</v>
      </c>
      <c r="E122" s="38">
        <f t="shared" si="7"/>
        <v>4.4720587894832166E-2</v>
      </c>
      <c r="F122" s="23"/>
      <c r="G122" s="23"/>
    </row>
    <row r="123" spans="1:7">
      <c r="A123" s="35">
        <v>45931</v>
      </c>
      <c r="B123" s="37">
        <v>1482.5</v>
      </c>
      <c r="C123" s="37">
        <v>83938.71</v>
      </c>
      <c r="D123" s="38">
        <f t="shared" si="6"/>
        <v>3.1537883514600733E-2</v>
      </c>
      <c r="E123" s="38">
        <f t="shared" si="7"/>
        <v>7.6938190562092432E-3</v>
      </c>
      <c r="F123" s="23"/>
      <c r="G123" s="23"/>
    </row>
    <row r="124" spans="1:7">
      <c r="A124" s="35">
        <v>45962</v>
      </c>
      <c r="B124" s="37">
        <v>1530</v>
      </c>
      <c r="C124" s="37">
        <v>84587.01</v>
      </c>
      <c r="D124" s="38"/>
      <c r="E124" s="38"/>
      <c r="F124" s="23"/>
      <c r="G124" s="23"/>
    </row>
    <row r="126" spans="1:7">
      <c r="G126" s="23" t="e">
        <f>AVERAGE(G4:G124)</f>
        <v>#DIV/0!</v>
      </c>
    </row>
  </sheetData>
  <mergeCells count="1">
    <mergeCell ref="A1:E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9"/>
  <sheetViews>
    <sheetView topLeftCell="A6" zoomScaleNormal="100" workbookViewId="0">
      <selection activeCell="C32" sqref="C32"/>
    </sheetView>
  </sheetViews>
  <sheetFormatPr defaultColWidth="14.5546875" defaultRowHeight="14.4"/>
  <cols>
    <col min="1" max="1" width="17.33203125" bestFit="1" customWidth="1"/>
    <col min="8" max="8" width="16.6640625" customWidth="1"/>
  </cols>
  <sheetData>
    <row r="1" spans="1:13" ht="15" thickBot="1">
      <c r="A1" s="33" t="s">
        <v>384</v>
      </c>
    </row>
    <row r="2" spans="1:13" ht="14.4" customHeight="1">
      <c r="A2" s="29" t="s">
        <v>385</v>
      </c>
      <c r="B2" s="29" t="s">
        <v>386</v>
      </c>
      <c r="C2" s="29" t="s">
        <v>387</v>
      </c>
      <c r="D2" s="29" t="s">
        <v>388</v>
      </c>
      <c r="G2" s="151" t="s">
        <v>389</v>
      </c>
      <c r="H2" s="152"/>
      <c r="I2" s="152"/>
      <c r="J2" s="152"/>
      <c r="K2" s="152"/>
      <c r="L2" s="153"/>
      <c r="M2" s="3"/>
    </row>
    <row r="3" spans="1:13">
      <c r="A3" s="34" t="s">
        <v>390</v>
      </c>
      <c r="B3" s="30">
        <f>SLOPE(RawPrice_Daily!K4:K1243,RawPrice_Daily!L4:L1243)</f>
        <v>0.96900415318599242</v>
      </c>
      <c r="C3" s="30">
        <f>SLOPE(RawPrice_Weekly!K4:K258,RawPrice_Weekly!L4:L258)</f>
        <v>-4.2086233061497509E-2</v>
      </c>
      <c r="D3" s="31">
        <f>SLOPE(RawPrice_Monthly!K4:K64,RawPrice_Monthly!L4:L64)</f>
        <v>0.90217394691295139</v>
      </c>
      <c r="G3" s="154"/>
      <c r="H3" s="155"/>
      <c r="I3" s="155"/>
      <c r="J3" s="155"/>
      <c r="K3" s="155"/>
      <c r="L3" s="156"/>
      <c r="M3" s="3"/>
    </row>
    <row r="4" spans="1:13">
      <c r="A4" s="34" t="s">
        <v>391</v>
      </c>
      <c r="B4" s="30">
        <f>SLOPE(RawPrice_Daily!D4:D2478,RawPrice_Daily!E4:E2478)</f>
        <v>-4.3684183821273087E-3</v>
      </c>
      <c r="C4" s="30">
        <f>SLOPE(RawPrice_Weekly!D4:D517,RawPrice_Weekly!E4:E517)</f>
        <v>1.7434808525026123E-2</v>
      </c>
      <c r="D4" s="30">
        <f>SLOPE(RawPrice_Monthly!D4:D124,RawPrice_Monthly!E4:E124)</f>
        <v>0.86302424657033872</v>
      </c>
      <c r="G4" s="154"/>
      <c r="H4" s="155"/>
      <c r="I4" s="155"/>
      <c r="J4" s="155"/>
      <c r="K4" s="155"/>
      <c r="L4" s="156"/>
      <c r="M4" s="3"/>
    </row>
    <row r="5" spans="1:13">
      <c r="G5" s="154"/>
      <c r="H5" s="155"/>
      <c r="I5" s="155"/>
      <c r="J5" s="155"/>
      <c r="K5" s="155"/>
      <c r="L5" s="156"/>
      <c r="M5" s="3"/>
    </row>
    <row r="6" spans="1:13">
      <c r="A6" s="33" t="s">
        <v>57</v>
      </c>
      <c r="G6" s="154"/>
      <c r="H6" s="155"/>
      <c r="I6" s="155"/>
      <c r="J6" s="155"/>
      <c r="K6" s="155"/>
      <c r="L6" s="156"/>
      <c r="M6" s="3"/>
    </row>
    <row r="7" spans="1:13" ht="15" thickBot="1">
      <c r="A7" s="29" t="s">
        <v>392</v>
      </c>
      <c r="B7" s="29" t="s">
        <v>386</v>
      </c>
      <c r="C7" s="29" t="s">
        <v>387</v>
      </c>
      <c r="D7" s="29" t="s">
        <v>388</v>
      </c>
      <c r="F7" s="2" t="s">
        <v>393</v>
      </c>
      <c r="G7" s="157"/>
      <c r="H7" s="158"/>
      <c r="I7" s="158"/>
      <c r="J7" s="158"/>
      <c r="K7" s="158"/>
      <c r="L7" s="159"/>
      <c r="M7" s="3"/>
    </row>
    <row r="8" spans="1:13">
      <c r="A8" s="34" t="s">
        <v>394</v>
      </c>
      <c r="B8" s="32">
        <f>AVERAGE(RawPrice_Daily!I4:I1243)</f>
        <v>1561.023790322582</v>
      </c>
      <c r="C8" s="32">
        <f>AVERAGE(RawPrice_Weekly!I4:I259)</f>
        <v>1556.1138671875005</v>
      </c>
      <c r="D8" s="32">
        <f>AVERAGE(RawPrice_Monthly!I4:I64)</f>
        <v>1548.0926229508198</v>
      </c>
      <c r="E8" s="169" t="s">
        <v>395</v>
      </c>
      <c r="G8" s="3"/>
      <c r="H8" s="3"/>
      <c r="I8" s="3"/>
      <c r="J8" s="3"/>
      <c r="K8" s="3"/>
      <c r="L8" s="3"/>
      <c r="M8" s="3"/>
    </row>
    <row r="9" spans="1:13">
      <c r="A9" s="34" t="s">
        <v>396</v>
      </c>
      <c r="B9" s="32">
        <f>_xlfn.STDEV.S(RawPrice_Daily!I5:I1244)</f>
        <v>189.20134428267605</v>
      </c>
      <c r="C9" s="32">
        <f>_xlfn.STDEV.S(RawPrice_Weekly!I5:I260)</f>
        <v>188.7940060381051</v>
      </c>
      <c r="D9" s="32">
        <f>_xlfn.STDEV.S(RawPrice_Monthly!I5:I65)</f>
        <v>181.6337488628931</v>
      </c>
      <c r="E9" s="169"/>
      <c r="G9" s="3"/>
      <c r="H9" s="3"/>
      <c r="I9" s="3"/>
      <c r="J9" s="3"/>
      <c r="K9" s="3"/>
      <c r="L9" s="3"/>
      <c r="M9" s="3"/>
    </row>
    <row r="10" spans="1:13">
      <c r="G10" s="3"/>
      <c r="H10" s="3"/>
      <c r="I10" s="3"/>
      <c r="J10" s="3"/>
      <c r="K10" s="3"/>
      <c r="L10" s="3"/>
      <c r="M10" s="3"/>
    </row>
    <row r="11" spans="1:13">
      <c r="A11" s="29" t="s">
        <v>392</v>
      </c>
      <c r="B11" s="29" t="s">
        <v>386</v>
      </c>
      <c r="C11" s="29" t="s">
        <v>387</v>
      </c>
      <c r="D11" s="29" t="s">
        <v>388</v>
      </c>
      <c r="G11" s="3"/>
      <c r="H11" s="68" t="s">
        <v>397</v>
      </c>
      <c r="I11" s="68" t="s">
        <v>398</v>
      </c>
      <c r="J11" s="3"/>
      <c r="K11" s="3"/>
      <c r="L11" s="3"/>
      <c r="M11" s="3"/>
    </row>
    <row r="12" spans="1:13">
      <c r="A12" s="34" t="s">
        <v>394</v>
      </c>
      <c r="B12" s="32">
        <f>AVERAGE(RawPrice_Daily!B4:B2479)</f>
        <v>1251.6148021001638</v>
      </c>
      <c r="C12" s="32">
        <f>AVERAGE(RawPrice_Weekly!B4:B518)</f>
        <v>1095.5638252427184</v>
      </c>
      <c r="D12" s="32">
        <f>AVERAGE(RawPrice_Monthly!B4:B124)</f>
        <v>1251.1330578512393</v>
      </c>
      <c r="E12" s="169" t="s">
        <v>391</v>
      </c>
      <c r="G12" s="3"/>
      <c r="H12" s="67" t="s">
        <v>399</v>
      </c>
      <c r="I12" s="67">
        <f>B3</f>
        <v>0.96900415318599242</v>
      </c>
      <c r="J12" s="3"/>
      <c r="K12" s="3"/>
      <c r="L12" s="3"/>
      <c r="M12" s="3"/>
    </row>
    <row r="13" spans="1:13">
      <c r="A13" s="34" t="s">
        <v>396</v>
      </c>
      <c r="B13" s="32">
        <f>_xlfn.STDEV.S(RawPrice_Daily!B5:B2480)</f>
        <v>364.86796225724657</v>
      </c>
      <c r="C13" s="32">
        <f>_xlfn.STDEV.S(RawPrice_Weekly!B5:B519)</f>
        <v>488.44432256720893</v>
      </c>
      <c r="D13" s="32">
        <f>_xlfn.STDEV.S(RawPrice_Monthly!B5:B125)</f>
        <v>359.48972259257414</v>
      </c>
      <c r="E13" s="169"/>
      <c r="G13" s="3"/>
      <c r="H13" s="67" t="s">
        <v>400</v>
      </c>
      <c r="I13" s="67">
        <f>B4</f>
        <v>-4.3684183821273087E-3</v>
      </c>
      <c r="J13" s="3"/>
      <c r="K13" s="3"/>
      <c r="L13" s="3"/>
      <c r="M13" s="3"/>
    </row>
    <row r="14" spans="1:13">
      <c r="G14" s="3"/>
      <c r="H14" s="67" t="s">
        <v>401</v>
      </c>
      <c r="I14" s="117">
        <f>C3</f>
        <v>-4.2086233061497509E-2</v>
      </c>
      <c r="J14" s="3"/>
      <c r="K14" s="3"/>
      <c r="L14" s="3"/>
      <c r="M14" s="3"/>
    </row>
    <row r="15" spans="1:13">
      <c r="A15" s="33" t="s">
        <v>58</v>
      </c>
      <c r="G15" s="3"/>
      <c r="H15" s="67" t="s">
        <v>402</v>
      </c>
      <c r="I15" s="67">
        <f>C4</f>
        <v>1.7434808525026123E-2</v>
      </c>
      <c r="J15" s="3"/>
      <c r="K15" s="3"/>
      <c r="L15" s="3"/>
      <c r="M15" s="3"/>
    </row>
    <row r="16" spans="1:13">
      <c r="A16" s="29" t="s">
        <v>392</v>
      </c>
      <c r="B16" s="29" t="s">
        <v>386</v>
      </c>
      <c r="C16" s="29" t="s">
        <v>387</v>
      </c>
      <c r="D16" s="29" t="s">
        <v>388</v>
      </c>
      <c r="G16" s="3"/>
      <c r="H16" s="67" t="s">
        <v>403</v>
      </c>
      <c r="I16" s="116">
        <f>D3</f>
        <v>0.90217394691295139</v>
      </c>
      <c r="J16" s="3"/>
      <c r="K16" s="3"/>
      <c r="L16" s="3"/>
      <c r="M16" s="3"/>
    </row>
    <row r="17" spans="1:17">
      <c r="A17" s="34" t="s">
        <v>394</v>
      </c>
      <c r="B17" s="32">
        <f>AVERAGE(RawPrice_Daily!J13:J1252)</f>
        <v>66022.196116978041</v>
      </c>
      <c r="C17" s="32">
        <f>AVERAGE(RawPrice_Weekly!J13:IJ268)</f>
        <v>19534.484224003787</v>
      </c>
      <c r="D17" s="32">
        <f>AVERAGE(RawPrice_Monthly!J13:J73)</f>
        <v>68645.574423076905</v>
      </c>
      <c r="E17" s="169" t="s">
        <v>395</v>
      </c>
      <c r="H17" s="67" t="s">
        <v>404</v>
      </c>
      <c r="I17" s="67">
        <f>D4</f>
        <v>0.86302424657033872</v>
      </c>
    </row>
    <row r="18" spans="1:17">
      <c r="A18" s="34" t="s">
        <v>396</v>
      </c>
      <c r="B18" s="32">
        <f>_xlfn.STDEV.S(RawPrice_Daily!J14:J1253)</f>
        <v>11125.747172464953</v>
      </c>
      <c r="C18" s="32">
        <f>_xlfn.STDEV.S(RawPrice_Weekly!J4:IJ269)</f>
        <v>28363.797987244954</v>
      </c>
      <c r="D18" s="32">
        <f>_xlfn.STDEV.S(RawPrice_Monthly!J14:J74)</f>
        <v>10022.259271655179</v>
      </c>
      <c r="E18" s="169"/>
    </row>
    <row r="20" spans="1:17">
      <c r="A20" s="29" t="s">
        <v>392</v>
      </c>
      <c r="B20" s="29" t="s">
        <v>386</v>
      </c>
      <c r="C20" s="29" t="s">
        <v>387</v>
      </c>
      <c r="D20" s="29" t="s">
        <v>388</v>
      </c>
    </row>
    <row r="21" spans="1:17">
      <c r="A21" s="34" t="s">
        <v>394</v>
      </c>
      <c r="B21" s="32">
        <f>AVERAGE(RawPrice_Daily!C13:C2488)</f>
        <v>49716.298925820811</v>
      </c>
      <c r="C21" s="32">
        <f>AVERAGE(RawPrice_Weekly!C13:C527)</f>
        <v>49687.52079051383</v>
      </c>
      <c r="D21" s="32">
        <f>AVERAGE(RawPrice_Monthly!C13:C133)</f>
        <v>51606.281339285706</v>
      </c>
      <c r="E21" s="169" t="s">
        <v>405</v>
      </c>
    </row>
    <row r="22" spans="1:17">
      <c r="A22" s="34" t="s">
        <v>396</v>
      </c>
      <c r="B22" s="32">
        <f>_xlfn.STDEV.S(RawPrice_Daily!C14:C2489)</f>
        <v>18400.484730850167</v>
      </c>
      <c r="C22" s="32">
        <f>_xlfn.STDEV.S(RawPrice_Weekly!C14:C528)</f>
        <v>18119.466882058754</v>
      </c>
      <c r="D22" s="32">
        <f>_xlfn.STDEV.S(RawPrice_Monthly!C14:C134)</f>
        <v>17919.813938280102</v>
      </c>
      <c r="E22" s="169"/>
    </row>
    <row r="25" spans="1:17" ht="14.4" customHeight="1">
      <c r="K25" s="160" t="s">
        <v>406</v>
      </c>
      <c r="L25" s="161"/>
      <c r="M25" s="161"/>
      <c r="N25" s="161"/>
      <c r="O25" s="161"/>
      <c r="P25" s="161"/>
      <c r="Q25" s="162"/>
    </row>
    <row r="26" spans="1:17" ht="14.4" customHeight="1">
      <c r="K26" s="163"/>
      <c r="L26" s="164"/>
      <c r="M26" s="164"/>
      <c r="N26" s="164"/>
      <c r="O26" s="164"/>
      <c r="P26" s="164"/>
      <c r="Q26" s="165"/>
    </row>
    <row r="27" spans="1:17">
      <c r="K27" s="163"/>
      <c r="L27" s="164"/>
      <c r="M27" s="164"/>
      <c r="N27" s="164"/>
      <c r="O27" s="164"/>
      <c r="P27" s="164"/>
      <c r="Q27" s="165"/>
    </row>
    <row r="28" spans="1:17" ht="14.4" customHeight="1">
      <c r="K28" s="163"/>
      <c r="L28" s="164"/>
      <c r="M28" s="164"/>
      <c r="N28" s="164"/>
      <c r="O28" s="164"/>
      <c r="P28" s="164"/>
      <c r="Q28" s="165"/>
    </row>
    <row r="29" spans="1:17" ht="14.4" customHeight="1">
      <c r="K29" s="166"/>
      <c r="L29" s="167"/>
      <c r="M29" s="167"/>
      <c r="N29" s="167"/>
      <c r="O29" s="167"/>
      <c r="P29" s="167"/>
      <c r="Q29" s="168"/>
    </row>
  </sheetData>
  <mergeCells count="6">
    <mergeCell ref="G2:L7"/>
    <mergeCell ref="K25:Q29"/>
    <mergeCell ref="E12:E13"/>
    <mergeCell ref="E8:E9"/>
    <mergeCell ref="E17:E18"/>
    <mergeCell ref="E21:E22"/>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9263-A03E-4F2B-A115-C51D0C98B5BC}">
  <dimension ref="A1:L32"/>
  <sheetViews>
    <sheetView topLeftCell="D1" workbookViewId="0">
      <selection activeCell="H24" sqref="H24"/>
    </sheetView>
  </sheetViews>
  <sheetFormatPr defaultColWidth="19.88671875" defaultRowHeight="14.4"/>
  <cols>
    <col min="8" max="9" width="19.88671875" style="4"/>
  </cols>
  <sheetData>
    <row r="1" spans="1:12" ht="22.8">
      <c r="A1" s="170" t="s">
        <v>407</v>
      </c>
      <c r="B1" s="171"/>
      <c r="C1" s="171"/>
      <c r="D1" s="171"/>
      <c r="E1" s="171"/>
      <c r="F1" s="171"/>
      <c r="G1" s="171"/>
      <c r="H1" s="171"/>
      <c r="I1" s="171"/>
      <c r="J1" s="171"/>
      <c r="K1" s="171"/>
      <c r="L1" s="171"/>
    </row>
    <row r="2" spans="1:12">
      <c r="A2" s="40" t="s">
        <v>408</v>
      </c>
      <c r="B2" s="40" t="s">
        <v>409</v>
      </c>
      <c r="C2" s="40" t="s">
        <v>410</v>
      </c>
      <c r="D2" s="40" t="s">
        <v>411</v>
      </c>
      <c r="E2" s="40" t="s">
        <v>412</v>
      </c>
      <c r="F2" s="40" t="s">
        <v>413</v>
      </c>
      <c r="G2" s="40" t="s">
        <v>414</v>
      </c>
      <c r="H2" s="45" t="s">
        <v>415</v>
      </c>
      <c r="I2" s="45" t="s">
        <v>416</v>
      </c>
      <c r="J2" s="40" t="s">
        <v>417</v>
      </c>
      <c r="K2" s="40" t="s">
        <v>418</v>
      </c>
      <c r="L2" s="40" t="s">
        <v>419</v>
      </c>
    </row>
    <row r="3" spans="1:12">
      <c r="A3" s="40">
        <v>2015</v>
      </c>
      <c r="B3" s="37">
        <v>56749</v>
      </c>
      <c r="C3" s="37">
        <v>0</v>
      </c>
      <c r="D3" s="37">
        <v>56749</v>
      </c>
      <c r="E3" s="37">
        <v>39465</v>
      </c>
      <c r="F3" s="37">
        <f>B3-E3</f>
        <v>17284</v>
      </c>
      <c r="G3" s="37">
        <v>0</v>
      </c>
      <c r="H3" s="37">
        <v>17284</v>
      </c>
      <c r="I3" s="37">
        <v>4911</v>
      </c>
      <c r="J3" s="37">
        <f>H3-I3</f>
        <v>12373</v>
      </c>
      <c r="K3" s="44">
        <f>I3/H3</f>
        <v>0.28413561675538068</v>
      </c>
    </row>
    <row r="4" spans="1:12">
      <c r="A4" s="40">
        <v>2016</v>
      </c>
      <c r="B4" s="37">
        <v>65569</v>
      </c>
      <c r="C4" s="37">
        <v>0</v>
      </c>
      <c r="D4" s="37">
        <v>65569</v>
      </c>
      <c r="E4" s="37">
        <v>46587</v>
      </c>
      <c r="F4" s="37">
        <v>18982</v>
      </c>
      <c r="G4" s="37">
        <v>0</v>
      </c>
      <c r="H4" s="37">
        <v>18982</v>
      </c>
      <c r="I4" s="37">
        <v>5329</v>
      </c>
      <c r="J4" s="37">
        <v>13681</v>
      </c>
      <c r="K4" s="44">
        <f t="shared" ref="K4:K12" si="0">I4/H4</f>
        <v>0.280739648087662</v>
      </c>
    </row>
    <row r="5" spans="1:12">
      <c r="A5" s="40">
        <v>2017</v>
      </c>
      <c r="B5" s="37">
        <v>71564</v>
      </c>
      <c r="C5" s="37">
        <v>0</v>
      </c>
      <c r="D5" s="37">
        <v>71564</v>
      </c>
      <c r="E5" s="37">
        <v>51583</v>
      </c>
      <c r="F5" s="37">
        <f>B5-E5</f>
        <v>19981</v>
      </c>
      <c r="G5" s="37">
        <v>0</v>
      </c>
      <c r="H5" s="37">
        <v>19951</v>
      </c>
      <c r="I5" s="37">
        <v>5598</v>
      </c>
      <c r="J5" s="37">
        <f>H5-I5</f>
        <v>14353</v>
      </c>
      <c r="K5" s="44">
        <f t="shared" si="0"/>
        <v>0.28058743922610396</v>
      </c>
    </row>
    <row r="6" spans="1:12">
      <c r="A6" s="40">
        <v>2018</v>
      </c>
      <c r="B6" s="37">
        <v>73715</v>
      </c>
      <c r="C6" s="37">
        <v>0</v>
      </c>
      <c r="D6" s="37">
        <v>73715</v>
      </c>
      <c r="E6" s="37">
        <v>53374</v>
      </c>
      <c r="F6" s="37">
        <v>20341</v>
      </c>
      <c r="G6" s="37">
        <v>0</v>
      </c>
      <c r="H6" s="37">
        <v>20270</v>
      </c>
      <c r="I6" s="37">
        <v>4241</v>
      </c>
      <c r="J6" s="37">
        <v>16029</v>
      </c>
      <c r="K6" s="44">
        <f t="shared" si="0"/>
        <v>0.20922545633941786</v>
      </c>
    </row>
    <row r="7" spans="1:12">
      <c r="A7" s="40">
        <v>2019</v>
      </c>
      <c r="B7" s="37">
        <v>85557</v>
      </c>
      <c r="C7" s="37">
        <v>0</v>
      </c>
      <c r="D7" s="37">
        <v>85557</v>
      </c>
      <c r="E7" s="37">
        <v>64516</v>
      </c>
      <c r="F7" s="37">
        <v>21041</v>
      </c>
      <c r="G7" s="37">
        <v>0</v>
      </c>
      <c r="H7" s="37">
        <v>21041</v>
      </c>
      <c r="I7" s="37">
        <v>5631</v>
      </c>
      <c r="J7" s="37">
        <v>15410</v>
      </c>
      <c r="K7" s="44">
        <f t="shared" si="0"/>
        <v>0.26762036024903757</v>
      </c>
    </row>
    <row r="8" spans="1:12">
      <c r="A8" s="40">
        <v>2020</v>
      </c>
      <c r="B8" s="37">
        <v>93594</v>
      </c>
      <c r="C8" s="37">
        <v>0</v>
      </c>
      <c r="D8" s="37">
        <v>93594</v>
      </c>
      <c r="E8" s="37">
        <v>71587</v>
      </c>
      <c r="F8" s="37">
        <v>22007</v>
      </c>
      <c r="G8" s="37">
        <v>0</v>
      </c>
      <c r="H8" s="37">
        <v>22007</v>
      </c>
      <c r="I8" s="37">
        <v>5368</v>
      </c>
      <c r="J8" s="37">
        <v>16639</v>
      </c>
      <c r="K8" s="44">
        <f t="shared" si="0"/>
        <v>0.24392238833098559</v>
      </c>
    </row>
    <row r="9" spans="1:12">
      <c r="A9" s="40">
        <v>2021</v>
      </c>
      <c r="B9" s="37">
        <v>102673</v>
      </c>
      <c r="C9" s="37">
        <v>0</v>
      </c>
      <c r="D9" s="37">
        <v>102673</v>
      </c>
      <c r="E9" s="37">
        <v>76045</v>
      </c>
      <c r="F9" s="37">
        <v>26628</v>
      </c>
      <c r="G9" s="37">
        <v>0</v>
      </c>
      <c r="H9" s="37">
        <v>26628</v>
      </c>
      <c r="I9" s="37">
        <v>7205</v>
      </c>
      <c r="J9" s="37">
        <v>19423</v>
      </c>
      <c r="K9" s="44">
        <f t="shared" si="0"/>
        <v>0.27057984076911523</v>
      </c>
    </row>
    <row r="10" spans="1:12">
      <c r="A10" s="40">
        <v>2022</v>
      </c>
      <c r="B10" s="37">
        <v>123936</v>
      </c>
      <c r="C10" s="37">
        <v>0</v>
      </c>
      <c r="D10" s="37">
        <v>123936</v>
      </c>
      <c r="E10" s="37">
        <v>93826</v>
      </c>
      <c r="F10" s="37">
        <v>30110</v>
      </c>
      <c r="G10" s="37">
        <v>0</v>
      </c>
      <c r="H10" s="37">
        <v>30110</v>
      </c>
      <c r="I10" s="37">
        <v>7964</v>
      </c>
      <c r="J10" s="37">
        <v>22146</v>
      </c>
      <c r="K10" s="44">
        <f t="shared" si="0"/>
        <v>0.26449684490202591</v>
      </c>
    </row>
    <row r="11" spans="1:12">
      <c r="A11" s="40">
        <v>2023</v>
      </c>
      <c r="B11" s="37">
        <v>149468</v>
      </c>
      <c r="C11" s="37">
        <v>0</v>
      </c>
      <c r="D11" s="37">
        <v>149468</v>
      </c>
      <c r="E11" s="37">
        <v>116146</v>
      </c>
      <c r="F11" s="37">
        <v>33322</v>
      </c>
      <c r="G11" s="37">
        <v>0</v>
      </c>
      <c r="H11" s="37">
        <v>33322</v>
      </c>
      <c r="I11" s="37">
        <v>9214</v>
      </c>
      <c r="J11" s="37">
        <v>24108</v>
      </c>
      <c r="K11" s="44">
        <f t="shared" si="0"/>
        <v>0.27651401476502013</v>
      </c>
    </row>
    <row r="12" spans="1:12">
      <c r="A12" s="40">
        <v>2024</v>
      </c>
      <c r="B12" s="37">
        <v>158381</v>
      </c>
      <c r="C12" s="37">
        <v>0</v>
      </c>
      <c r="D12" s="37">
        <v>158381</v>
      </c>
      <c r="E12" s="37">
        <v>122393</v>
      </c>
      <c r="F12" s="37">
        <v>35988</v>
      </c>
      <c r="G12" s="37">
        <v>0</v>
      </c>
      <c r="H12" s="37">
        <v>35988</v>
      </c>
      <c r="I12" s="37">
        <v>9740</v>
      </c>
      <c r="J12" s="37">
        <v>26248</v>
      </c>
      <c r="K12" s="44">
        <f t="shared" si="0"/>
        <v>0.27064577081249308</v>
      </c>
    </row>
    <row r="13" spans="1:12">
      <c r="A13" s="40">
        <v>2025</v>
      </c>
      <c r="B13" s="37">
        <v>166590</v>
      </c>
      <c r="C13" s="37">
        <v>0</v>
      </c>
      <c r="D13" s="37">
        <v>166590</v>
      </c>
      <c r="E13" s="37">
        <v>128982</v>
      </c>
      <c r="F13" s="37">
        <v>37608</v>
      </c>
      <c r="G13" s="37">
        <v>0</v>
      </c>
      <c r="H13" s="37">
        <v>37608</v>
      </c>
      <c r="I13" s="37">
        <v>10858</v>
      </c>
      <c r="J13" s="37">
        <v>26750</v>
      </c>
      <c r="K13" s="44">
        <f>I13/H13</f>
        <v>0.28871516698574773</v>
      </c>
    </row>
    <row r="32" spans="3:3">
      <c r="C32" s="7"/>
    </row>
  </sheetData>
  <mergeCells count="1">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212B-F84A-4419-A4A9-83E214B8EC09}">
  <dimension ref="A1:L13"/>
  <sheetViews>
    <sheetView workbookViewId="0">
      <selection activeCell="H13" sqref="H13"/>
    </sheetView>
  </sheetViews>
  <sheetFormatPr defaultColWidth="16.109375" defaultRowHeight="14.4"/>
  <cols>
    <col min="11" max="11" width="20.6640625" style="21" customWidth="1"/>
  </cols>
  <sheetData>
    <row r="1" spans="1:12" ht="22.8">
      <c r="A1" s="170" t="s">
        <v>420</v>
      </c>
      <c r="B1" s="171"/>
      <c r="C1" s="171"/>
      <c r="D1" s="171"/>
      <c r="E1" s="171"/>
      <c r="F1" s="171"/>
      <c r="G1" s="171"/>
      <c r="H1" s="171"/>
      <c r="I1" s="171"/>
      <c r="J1" s="171"/>
      <c r="K1" s="171"/>
      <c r="L1" s="171"/>
    </row>
    <row r="2" spans="1:12">
      <c r="A2" s="40" t="s">
        <v>408</v>
      </c>
      <c r="B2" s="40" t="s">
        <v>421</v>
      </c>
      <c r="C2" s="40" t="s">
        <v>422</v>
      </c>
      <c r="D2" s="40" t="s">
        <v>423</v>
      </c>
      <c r="E2" s="40" t="s">
        <v>424</v>
      </c>
      <c r="F2" s="40" t="s">
        <v>425</v>
      </c>
      <c r="G2" s="40" t="s">
        <v>426</v>
      </c>
      <c r="H2" s="40" t="s">
        <v>427</v>
      </c>
      <c r="I2" s="40" t="s">
        <v>428</v>
      </c>
      <c r="J2" s="40" t="s">
        <v>429</v>
      </c>
      <c r="K2" s="48" t="s">
        <v>430</v>
      </c>
      <c r="L2" s="40" t="s">
        <v>419</v>
      </c>
    </row>
    <row r="3" spans="1:12">
      <c r="A3" s="40">
        <v>2015</v>
      </c>
      <c r="B3" s="37">
        <v>66289</v>
      </c>
      <c r="C3" s="37">
        <v>47242</v>
      </c>
      <c r="D3" s="37">
        <v>19047</v>
      </c>
      <c r="E3" s="37">
        <v>15553</v>
      </c>
      <c r="F3" s="37">
        <v>15503</v>
      </c>
      <c r="G3" s="37">
        <v>50</v>
      </c>
      <c r="H3" s="37">
        <v>50736</v>
      </c>
      <c r="I3" s="37">
        <v>30367</v>
      </c>
      <c r="J3" s="37">
        <v>0</v>
      </c>
      <c r="K3" s="46">
        <v>0</v>
      </c>
    </row>
    <row r="4" spans="1:12">
      <c r="A4" s="40">
        <v>2016</v>
      </c>
      <c r="B4" s="37">
        <v>75141</v>
      </c>
      <c r="C4" s="37">
        <v>51753</v>
      </c>
      <c r="D4" s="37">
        <v>23388</v>
      </c>
      <c r="E4" s="37">
        <v>17315</v>
      </c>
      <c r="F4" s="37">
        <v>17189</v>
      </c>
      <c r="G4" s="37">
        <v>126</v>
      </c>
      <c r="H4" s="37">
        <v>57826</v>
      </c>
      <c r="I4" s="37">
        <v>32697</v>
      </c>
      <c r="J4" s="37">
        <v>0</v>
      </c>
      <c r="K4" s="46">
        <v>0</v>
      </c>
    </row>
    <row r="5" spans="1:12">
      <c r="A5" s="40">
        <v>2017</v>
      </c>
      <c r="B5" s="37">
        <v>83355</v>
      </c>
      <c r="C5" s="37">
        <v>53705</v>
      </c>
      <c r="D5" s="37">
        <v>29650</v>
      </c>
      <c r="E5" s="37">
        <v>14373</v>
      </c>
      <c r="F5" s="37">
        <v>14013</v>
      </c>
      <c r="G5" s="37">
        <v>360</v>
      </c>
      <c r="H5" s="37">
        <v>68982</v>
      </c>
      <c r="I5" s="37">
        <v>22625</v>
      </c>
      <c r="J5" s="37">
        <v>0</v>
      </c>
      <c r="K5" s="46">
        <v>0</v>
      </c>
    </row>
    <row r="6" spans="1:12">
      <c r="A6" s="40">
        <v>2018</v>
      </c>
      <c r="B6" s="37">
        <v>79890</v>
      </c>
      <c r="C6" s="37">
        <v>50017</v>
      </c>
      <c r="D6" s="37">
        <v>29873</v>
      </c>
      <c r="E6" s="37">
        <f>SUM(F6:G6)</f>
        <v>14966</v>
      </c>
      <c r="F6" s="37">
        <v>14105</v>
      </c>
      <c r="G6" s="37">
        <v>861</v>
      </c>
      <c r="H6" s="37">
        <v>64924</v>
      </c>
      <c r="I6" s="37">
        <v>19818</v>
      </c>
      <c r="J6" s="37">
        <v>0</v>
      </c>
      <c r="K6" s="46">
        <v>0</v>
      </c>
    </row>
    <row r="7" spans="1:12">
      <c r="A7" s="40">
        <v>2019</v>
      </c>
      <c r="B7" s="37">
        <v>84738</v>
      </c>
      <c r="C7" s="37">
        <v>52878</v>
      </c>
      <c r="D7" s="37">
        <v>31860</v>
      </c>
      <c r="E7" s="37">
        <f>SUM(F7:G7)</f>
        <v>19732</v>
      </c>
      <c r="F7" s="37">
        <v>18638</v>
      </c>
      <c r="G7" s="37">
        <v>1094</v>
      </c>
      <c r="H7" s="37">
        <v>65006</v>
      </c>
      <c r="I7" s="37">
        <v>19568</v>
      </c>
      <c r="J7" s="37">
        <v>0</v>
      </c>
      <c r="K7" s="46">
        <v>0</v>
      </c>
    </row>
    <row r="8" spans="1:12">
      <c r="A8" s="40">
        <v>2020</v>
      </c>
      <c r="B8" s="47">
        <v>92768</v>
      </c>
      <c r="C8" s="37">
        <v>54576</v>
      </c>
      <c r="D8" s="37">
        <v>38192</v>
      </c>
      <c r="E8" s="37">
        <f>SUM(F8:G8)</f>
        <v>26924</v>
      </c>
      <c r="F8" s="37">
        <v>20856</v>
      </c>
      <c r="G8" s="37">
        <v>6068</v>
      </c>
      <c r="H8" s="37">
        <v>65844</v>
      </c>
      <c r="I8" s="37">
        <v>18649</v>
      </c>
      <c r="J8" s="37">
        <v>0</v>
      </c>
      <c r="K8" s="46">
        <v>18487</v>
      </c>
    </row>
    <row r="9" spans="1:12">
      <c r="A9" s="40">
        <v>2021</v>
      </c>
      <c r="B9" s="37">
        <v>108386</v>
      </c>
      <c r="C9" s="37">
        <v>60733</v>
      </c>
      <c r="D9" s="37">
        <v>47653</v>
      </c>
      <c r="E9" s="37">
        <v>31604</v>
      </c>
      <c r="F9" s="37">
        <v>23865</v>
      </c>
      <c r="G9" s="37">
        <v>7739</v>
      </c>
      <c r="H9" s="37">
        <v>76782</v>
      </c>
      <c r="I9" s="37">
        <v>24714</v>
      </c>
      <c r="J9" s="37">
        <v>0</v>
      </c>
      <c r="K9" s="46">
        <v>19294</v>
      </c>
    </row>
    <row r="10" spans="1:12">
      <c r="A10" s="40">
        <v>2022</v>
      </c>
      <c r="B10" s="37">
        <v>117885</v>
      </c>
      <c r="C10" s="37">
        <v>67185</v>
      </c>
      <c r="D10" s="37">
        <v>50700</v>
      </c>
      <c r="E10" s="37">
        <f>SUM(F10:G10)</f>
        <v>42149</v>
      </c>
      <c r="F10" s="37">
        <v>33603</v>
      </c>
      <c r="G10" s="37">
        <v>8546</v>
      </c>
      <c r="H10" s="37">
        <v>75736</v>
      </c>
      <c r="I10" s="37">
        <v>17472</v>
      </c>
      <c r="J10" s="37">
        <v>0</v>
      </c>
      <c r="K10" s="46">
        <v>22698</v>
      </c>
    </row>
    <row r="11" spans="1:12">
      <c r="A11" s="40">
        <v>2023</v>
      </c>
      <c r="B11" s="37">
        <f>SUM(C11:D11)</f>
        <v>125816</v>
      </c>
      <c r="C11" s="37">
        <v>70881</v>
      </c>
      <c r="D11" s="37">
        <v>54935</v>
      </c>
      <c r="E11" s="37">
        <f>SUM(F11:G11)</f>
        <v>50021</v>
      </c>
      <c r="F11" s="37">
        <v>39186</v>
      </c>
      <c r="G11" s="37">
        <v>10835</v>
      </c>
      <c r="H11" s="37">
        <v>75795</v>
      </c>
      <c r="I11" s="37">
        <v>12173</v>
      </c>
      <c r="J11" s="37">
        <v>0</v>
      </c>
      <c r="K11" s="46">
        <v>25424</v>
      </c>
    </row>
    <row r="12" spans="1:12">
      <c r="A12" s="40">
        <v>2024</v>
      </c>
      <c r="B12" s="37">
        <v>137814</v>
      </c>
      <c r="C12" s="37">
        <v>89432</v>
      </c>
      <c r="D12" s="37">
        <v>48382</v>
      </c>
      <c r="E12" s="37">
        <f>10559+38794</f>
        <v>49353</v>
      </c>
      <c r="F12" s="37">
        <v>38794</v>
      </c>
      <c r="G12" s="37">
        <v>10559</v>
      </c>
      <c r="H12" s="37">
        <v>88461</v>
      </c>
      <c r="I12" s="37">
        <v>14786</v>
      </c>
      <c r="J12" s="37">
        <v>0</v>
      </c>
      <c r="K12" s="46">
        <v>30193</v>
      </c>
    </row>
    <row r="13" spans="1:12">
      <c r="A13" s="40">
        <v>2025</v>
      </c>
      <c r="B13" s="37">
        <v>148903</v>
      </c>
      <c r="C13" s="37">
        <v>97099</v>
      </c>
      <c r="D13" s="37">
        <v>51804</v>
      </c>
      <c r="E13" s="37">
        <f>SUM(F13:G13)</f>
        <v>52700</v>
      </c>
      <c r="F13" s="37">
        <v>42850</v>
      </c>
      <c r="G13" s="37">
        <v>9850</v>
      </c>
      <c r="H13" s="37">
        <v>96203</v>
      </c>
      <c r="I13" s="37">
        <v>24455</v>
      </c>
      <c r="J13" s="37">
        <v>0</v>
      </c>
      <c r="K13" s="46">
        <v>31158</v>
      </c>
    </row>
  </sheetData>
  <mergeCells count="1">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D9E9-A6F5-4AE5-A882-1290C00EBA57}">
  <dimension ref="A1:K13"/>
  <sheetViews>
    <sheetView workbookViewId="0">
      <selection activeCell="F18" sqref="F18"/>
    </sheetView>
  </sheetViews>
  <sheetFormatPr defaultColWidth="18.109375" defaultRowHeight="15" customHeight="1"/>
  <sheetData>
    <row r="1" spans="1:11" ht="22.8">
      <c r="A1" s="170" t="s">
        <v>431</v>
      </c>
      <c r="B1" s="171"/>
      <c r="C1" s="171"/>
      <c r="D1" s="171"/>
      <c r="E1" s="171"/>
      <c r="F1" s="171"/>
      <c r="G1" s="171"/>
      <c r="H1" s="171"/>
      <c r="I1" s="171"/>
      <c r="J1" s="171"/>
      <c r="K1" s="172"/>
    </row>
    <row r="2" spans="1:11" ht="14.4">
      <c r="A2" s="40" t="s">
        <v>408</v>
      </c>
      <c r="B2" s="40" t="s">
        <v>417</v>
      </c>
      <c r="C2" s="40" t="s">
        <v>432</v>
      </c>
      <c r="D2" s="40" t="s">
        <v>433</v>
      </c>
      <c r="E2" s="40" t="s">
        <v>434</v>
      </c>
      <c r="F2" s="40" t="s">
        <v>435</v>
      </c>
      <c r="G2" s="40" t="s">
        <v>436</v>
      </c>
      <c r="H2" s="40" t="s">
        <v>437</v>
      </c>
      <c r="I2" s="40" t="s">
        <v>438</v>
      </c>
      <c r="J2" s="40" t="s">
        <v>439</v>
      </c>
      <c r="K2" s="40" t="s">
        <v>419</v>
      </c>
    </row>
    <row r="3" spans="1:11" ht="14.4">
      <c r="A3" s="40">
        <v>2015</v>
      </c>
      <c r="B3" s="37">
        <v>17283</v>
      </c>
      <c r="C3" s="37">
        <v>1017</v>
      </c>
      <c r="D3" s="37">
        <v>-842</v>
      </c>
      <c r="E3" s="37">
        <v>15104</v>
      </c>
      <c r="F3" s="37">
        <v>-2255</v>
      </c>
      <c r="G3" s="37">
        <v>1088</v>
      </c>
      <c r="H3" s="37">
        <v>-4935</v>
      </c>
      <c r="I3" s="37">
        <v>-4935</v>
      </c>
      <c r="J3" s="37">
        <v>30367</v>
      </c>
    </row>
    <row r="4" spans="1:11" ht="14.4">
      <c r="A4" s="40">
        <v>2016</v>
      </c>
      <c r="B4" s="37">
        <v>18979</v>
      </c>
      <c r="C4" s="37">
        <v>1266</v>
      </c>
      <c r="D4" s="37">
        <v>-1946</v>
      </c>
      <c r="E4" s="37">
        <v>10028</v>
      </c>
      <c r="F4" s="37">
        <v>-2723</v>
      </c>
      <c r="G4" s="37">
        <v>-901</v>
      </c>
      <c r="H4" s="37">
        <v>-6813</v>
      </c>
      <c r="I4" s="37">
        <v>-6813</v>
      </c>
      <c r="J4" s="37">
        <v>32697</v>
      </c>
    </row>
    <row r="5" spans="1:11" ht="14.4">
      <c r="A5" s="40">
        <v>2017</v>
      </c>
      <c r="B5" s="37">
        <v>14353</v>
      </c>
      <c r="C5" s="37">
        <v>1703</v>
      </c>
      <c r="D5" s="37">
        <v>-2156</v>
      </c>
      <c r="E5" s="37">
        <v>11531</v>
      </c>
      <c r="F5" s="37">
        <v>-2760</v>
      </c>
      <c r="G5" s="37">
        <v>-14542</v>
      </c>
      <c r="H5" s="37">
        <v>-6939</v>
      </c>
      <c r="I5" s="37">
        <v>-6939</v>
      </c>
      <c r="J5" s="37">
        <v>22625</v>
      </c>
    </row>
    <row r="6" spans="1:11" ht="14.4">
      <c r="A6" s="40">
        <v>2018</v>
      </c>
      <c r="B6" s="37">
        <v>16029</v>
      </c>
      <c r="C6" s="37">
        <v>1863</v>
      </c>
      <c r="D6" s="37">
        <v>84</v>
      </c>
      <c r="E6" s="37">
        <v>20047</v>
      </c>
      <c r="F6" s="37">
        <v>-1998</v>
      </c>
      <c r="G6" s="37">
        <v>4452</v>
      </c>
      <c r="H6" s="37">
        <v>-7464</v>
      </c>
      <c r="I6" s="37">
        <v>-20505</v>
      </c>
      <c r="J6" s="37">
        <v>19871</v>
      </c>
    </row>
    <row r="7" spans="1:11" ht="14.4">
      <c r="A7" s="40">
        <v>2019</v>
      </c>
      <c r="B7" s="37">
        <v>15410</v>
      </c>
      <c r="C7" s="37">
        <v>2011</v>
      </c>
      <c r="D7" s="37">
        <v>-453</v>
      </c>
      <c r="E7" s="37">
        <v>21673</v>
      </c>
      <c r="F7" s="37">
        <v>-2445</v>
      </c>
      <c r="G7" s="37">
        <v>-575</v>
      </c>
      <c r="H7" s="37">
        <v>-13705</v>
      </c>
      <c r="I7" s="37">
        <v>-14512</v>
      </c>
      <c r="J7" s="37">
        <v>19568</v>
      </c>
    </row>
    <row r="8" spans="1:11" ht="14.4">
      <c r="A8" s="40">
        <v>2020</v>
      </c>
      <c r="B8" s="37">
        <v>16639</v>
      </c>
      <c r="C8" s="37">
        <v>2893</v>
      </c>
      <c r="D8" s="37">
        <v>-2367</v>
      </c>
      <c r="E8" s="37">
        <v>17003</v>
      </c>
      <c r="F8" s="37">
        <v>-3307</v>
      </c>
      <c r="G8" s="37">
        <v>-239</v>
      </c>
      <c r="H8" s="37">
        <v>-9515</v>
      </c>
      <c r="I8" s="37">
        <v>-17591</v>
      </c>
      <c r="J8" s="37">
        <v>18649</v>
      </c>
    </row>
    <row r="9" spans="1:11" ht="14.4">
      <c r="A9" s="40">
        <v>2021</v>
      </c>
      <c r="B9" s="37">
        <v>19423</v>
      </c>
      <c r="C9" s="37">
        <v>3267</v>
      </c>
      <c r="D9" s="37">
        <v>768</v>
      </c>
      <c r="E9" s="37">
        <v>23224</v>
      </c>
      <c r="F9" s="37">
        <v>-2107</v>
      </c>
      <c r="G9" s="37">
        <v>-7456</v>
      </c>
      <c r="H9" s="37">
        <v>-9117</v>
      </c>
      <c r="I9" s="37">
        <v>-9786</v>
      </c>
      <c r="J9" s="37">
        <v>24714</v>
      </c>
    </row>
    <row r="10" spans="1:11" ht="14.4">
      <c r="A10" s="40">
        <v>2022</v>
      </c>
      <c r="B10" s="37">
        <v>22146</v>
      </c>
      <c r="C10" s="37">
        <v>3476</v>
      </c>
      <c r="D10" s="37">
        <v>-1424</v>
      </c>
      <c r="E10" s="37">
        <v>23885</v>
      </c>
      <c r="F10" s="37">
        <v>2161</v>
      </c>
      <c r="G10" s="37">
        <v>6416</v>
      </c>
      <c r="H10" s="37">
        <v>12652</v>
      </c>
      <c r="I10" s="37">
        <v>24642</v>
      </c>
      <c r="J10" s="37">
        <v>17472</v>
      </c>
    </row>
    <row r="11" spans="1:11" ht="14.4">
      <c r="A11" s="40">
        <v>2023</v>
      </c>
      <c r="B11" s="37">
        <v>24108</v>
      </c>
      <c r="C11" s="37">
        <v>4225</v>
      </c>
      <c r="D11" s="37">
        <v>-6344</v>
      </c>
      <c r="E11" s="49">
        <v>22467</v>
      </c>
      <c r="F11" s="37">
        <v>-2579</v>
      </c>
      <c r="G11" s="37">
        <v>-1209</v>
      </c>
      <c r="H11" s="37">
        <v>-13631</v>
      </c>
      <c r="I11" s="37">
        <v>-26695</v>
      </c>
      <c r="J11" s="37">
        <v>-12173</v>
      </c>
    </row>
    <row r="12" spans="1:11" ht="14.4">
      <c r="A12" s="40">
        <v>2024</v>
      </c>
      <c r="B12" s="37">
        <v>26248</v>
      </c>
      <c r="C12" s="37">
        <v>4678</v>
      </c>
      <c r="D12" s="37">
        <v>-5092</v>
      </c>
      <c r="E12" s="37">
        <v>25210</v>
      </c>
      <c r="F12" s="37">
        <v>-2201</v>
      </c>
      <c r="G12" s="37">
        <v>-5009</v>
      </c>
      <c r="H12" s="37">
        <v>-14692</v>
      </c>
      <c r="I12" s="37">
        <v>-17504</v>
      </c>
      <c r="J12" s="37">
        <v>14786</v>
      </c>
    </row>
    <row r="13" spans="1:11" ht="14.4">
      <c r="A13" s="40">
        <v>2025</v>
      </c>
      <c r="B13" s="37">
        <v>26750</v>
      </c>
      <c r="C13" s="37">
        <v>4812</v>
      </c>
      <c r="D13" s="37">
        <v>-647</v>
      </c>
      <c r="E13" s="37">
        <v>35694</v>
      </c>
      <c r="F13" s="37">
        <v>-2237</v>
      </c>
      <c r="G13" s="37">
        <v>-1946</v>
      </c>
      <c r="H13" s="37">
        <v>-20287</v>
      </c>
      <c r="I13" s="37">
        <v>-24161</v>
      </c>
      <c r="J13" s="37">
        <v>24455</v>
      </c>
    </row>
  </sheetData>
  <mergeCells count="1">
    <mergeCell ref="A1:K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2"/>
  <sheetViews>
    <sheetView zoomScale="86" workbookViewId="0">
      <selection activeCell="B5" sqref="B5"/>
    </sheetView>
  </sheetViews>
  <sheetFormatPr defaultRowHeight="14.4"/>
  <cols>
    <col min="1" max="1" width="28.88671875" bestFit="1" customWidth="1"/>
    <col min="2" max="2" width="14.5546875" bestFit="1" customWidth="1"/>
    <col min="3" max="4" width="13.33203125" bestFit="1" customWidth="1"/>
    <col min="5" max="5" width="13.44140625" bestFit="1" customWidth="1"/>
    <col min="6" max="6" width="13.33203125" bestFit="1" customWidth="1"/>
    <col min="7" max="8" width="18" customWidth="1"/>
    <col min="10" max="10" width="17.6640625" customWidth="1"/>
  </cols>
  <sheetData>
    <row r="1" spans="1:6" ht="35.4" customHeight="1">
      <c r="A1" s="173" t="s">
        <v>440</v>
      </c>
      <c r="B1" s="173"/>
      <c r="C1" s="173"/>
      <c r="D1" s="173"/>
      <c r="E1" s="173"/>
      <c r="F1" s="173"/>
    </row>
    <row r="2" spans="1:6">
      <c r="A2" s="12" t="s">
        <v>408</v>
      </c>
      <c r="B2" s="50">
        <v>2025</v>
      </c>
      <c r="C2" s="51">
        <v>2024</v>
      </c>
      <c r="D2" s="51">
        <v>2023</v>
      </c>
      <c r="E2" s="51">
        <v>2022</v>
      </c>
      <c r="F2" s="51">
        <v>2021</v>
      </c>
    </row>
    <row r="3" spans="1:6">
      <c r="A3" s="52" t="s">
        <v>441</v>
      </c>
      <c r="B3" s="16"/>
      <c r="C3" s="10" t="s">
        <v>442</v>
      </c>
      <c r="D3" s="10" t="s">
        <v>442</v>
      </c>
      <c r="E3" s="10" t="s">
        <v>442</v>
      </c>
      <c r="F3" s="10"/>
    </row>
    <row r="4" spans="1:6">
      <c r="A4" s="54" t="s">
        <v>443</v>
      </c>
      <c r="B4" s="24">
        <f>Income_Statement!F13/Balance_Sheet!H13</f>
        <v>0.39092335997837907</v>
      </c>
      <c r="C4" s="24">
        <f>Income_Statement!F12/Balance_Sheet!H12</f>
        <v>0.40682334588123581</v>
      </c>
      <c r="D4" s="24">
        <f>Income_Statement!F11/Balance_Sheet!H11</f>
        <v>0.43963322118873277</v>
      </c>
      <c r="E4" s="24">
        <f>Income_Statement!F10/Balance_Sheet!H10</f>
        <v>0.39756522657652899</v>
      </c>
      <c r="F4" s="24">
        <f>Income_Statement!F9/Balance_Sheet!H9</f>
        <v>0.34680003125732595</v>
      </c>
    </row>
    <row r="5" spans="1:6">
      <c r="A5" s="54" t="s">
        <v>444</v>
      </c>
      <c r="B5" s="24">
        <f>Income_Statement!J13/Balance_Sheet!H13</f>
        <v>0.2780578568235918</v>
      </c>
      <c r="C5" s="24">
        <f>Income_Statement!F12/Balance_Sheet!H12</f>
        <v>0.40682334588123581</v>
      </c>
      <c r="D5" s="24">
        <f>Income_Statement!F11/Balance_Sheet!H11</f>
        <v>0.43963322118873277</v>
      </c>
      <c r="E5" s="24">
        <f>Income_Statement!F10/Balance_Sheet!H10</f>
        <v>0.39756522657652899</v>
      </c>
      <c r="F5" s="24">
        <f>Income_Statement!F9/Balance_Sheet!H9</f>
        <v>0.34680003125732595</v>
      </c>
    </row>
    <row r="6" spans="1:6">
      <c r="A6" s="54" t="s">
        <v>445</v>
      </c>
      <c r="B6" s="26">
        <f>Income_Statement!F13/Income_Statement!B13</f>
        <v>0.22575184584909058</v>
      </c>
      <c r="C6" s="27">
        <f>Income_Statement!F12/Income_Statement!B12</f>
        <v>0.2272242251280141</v>
      </c>
      <c r="D6" s="27">
        <f>Income_Statement!F11/Income_Statement!B11</f>
        <v>0.22293735113870528</v>
      </c>
      <c r="E6" s="27">
        <f>Income_Statement!F10/Income_Statement!B10</f>
        <v>0.24294797314743094</v>
      </c>
      <c r="F6" s="27">
        <f>Income_Statement!F9/Income_Statement!B9</f>
        <v>0.25934763764572966</v>
      </c>
    </row>
    <row r="7" spans="1:6">
      <c r="A7" s="54" t="s">
        <v>446</v>
      </c>
      <c r="B7" s="24">
        <f>Income_Statement!J13/Balance_Sheet!B13</f>
        <v>0.17964715284446922</v>
      </c>
      <c r="C7" s="25">
        <f>Income_Statement!J12/Balance_Sheet!B12</f>
        <v>0.19045960497482115</v>
      </c>
      <c r="D7" s="25">
        <f>Income_Statement!J11/Balance_Sheet!B11</f>
        <v>0.19161314936097157</v>
      </c>
      <c r="E7" s="25">
        <f>Income_Statement!J10/Balance_Sheet!B10</f>
        <v>0.18786105102430334</v>
      </c>
      <c r="F7" s="28">
        <f>Income_Statement!J9/Balance_Sheet!B9</f>
        <v>0.179202110973742</v>
      </c>
    </row>
    <row r="8" spans="1:6">
      <c r="A8" s="12"/>
      <c r="B8" s="18"/>
      <c r="C8" s="13"/>
      <c r="D8" s="13"/>
      <c r="E8" s="13"/>
      <c r="F8" s="13"/>
    </row>
    <row r="9" spans="1:6">
      <c r="A9" s="52" t="s">
        <v>447</v>
      </c>
      <c r="B9" s="16"/>
      <c r="C9" s="10" t="s">
        <v>442</v>
      </c>
      <c r="D9" s="10" t="s">
        <v>442</v>
      </c>
      <c r="E9" s="10" t="s">
        <v>442</v>
      </c>
      <c r="F9" s="10"/>
    </row>
    <row r="10" spans="1:6">
      <c r="A10" s="53" t="s">
        <v>448</v>
      </c>
      <c r="B10" s="17">
        <f>Balance_Sheet!C13/Balance_Sheet!F13</f>
        <v>2.2660210035005832</v>
      </c>
      <c r="C10" s="11">
        <f>Balance_Sheet!C12/Balance_Sheet!F12</f>
        <v>2.3053049440635149</v>
      </c>
      <c r="D10" s="11">
        <f>Balance_Sheet!C11/Balance_Sheet!F11</f>
        <v>1.8088347879344664</v>
      </c>
      <c r="E10" s="11">
        <f>Balance_Sheet!C10/Balance_Sheet!F10</f>
        <v>1.9993750557985894</v>
      </c>
      <c r="F10" s="11">
        <f>Balance_Sheet!C9/Balance_Sheet!F9</f>
        <v>2.5448564843913681</v>
      </c>
    </row>
    <row r="11" spans="1:6">
      <c r="A11" s="54" t="s">
        <v>449</v>
      </c>
      <c r="B11" s="17">
        <f>Balance_Sheet!C13/Balance_Sheet!F13</f>
        <v>2.2660210035005832</v>
      </c>
      <c r="C11" s="17">
        <f>Balance_Sheet!C12/Balance_Sheet!F12</f>
        <v>2.3053049440635149</v>
      </c>
      <c r="D11" s="17">
        <f>Balance_Sheet!C11/Balance_Sheet!F11</f>
        <v>1.8088347879344664</v>
      </c>
      <c r="E11" s="17">
        <f>Balance_Sheet!C10/Balance_Sheet!F10</f>
        <v>1.9993750557985894</v>
      </c>
      <c r="F11" s="17">
        <f>Balance_Sheet!C9/Balance_Sheet!F9</f>
        <v>2.5448564843913681</v>
      </c>
    </row>
    <row r="12" spans="1:6">
      <c r="A12" s="12" t="s">
        <v>442</v>
      </c>
      <c r="B12" s="18"/>
      <c r="C12" s="13" t="s">
        <v>442</v>
      </c>
      <c r="D12" s="13" t="s">
        <v>442</v>
      </c>
      <c r="E12" s="13"/>
      <c r="F12" s="13"/>
    </row>
    <row r="13" spans="1:6" ht="10.5" customHeight="1">
      <c r="A13" s="52" t="s">
        <v>450</v>
      </c>
      <c r="B13" s="16"/>
      <c r="C13" s="10" t="s">
        <v>442</v>
      </c>
      <c r="D13" s="10" t="s">
        <v>442</v>
      </c>
      <c r="E13" s="10" t="s">
        <v>442</v>
      </c>
      <c r="F13" s="10"/>
    </row>
    <row r="14" spans="1:6" ht="26.25" customHeight="1">
      <c r="A14" s="56" t="s">
        <v>451</v>
      </c>
      <c r="B14" s="17">
        <f>Balance_Sheet!B13/Balance_Sheet!H13</f>
        <v>1.5477999646580669</v>
      </c>
      <c r="C14" s="11">
        <f>Balance_Sheet!B12/Balance_Sheet!H12</f>
        <v>1.557906874215756</v>
      </c>
      <c r="D14" s="11">
        <f>Balance_Sheet!B11/Balance_Sheet!H11</f>
        <v>1.6599511841150472</v>
      </c>
      <c r="E14" s="11">
        <f>Balance_Sheet!B10/Balance_Sheet!H10</f>
        <v>1.5565252984049858</v>
      </c>
      <c r="F14" s="11">
        <f>Balance_Sheet!B9/Balance_Sheet!H9</f>
        <v>1.4116068870308145</v>
      </c>
    </row>
    <row r="15" spans="1:6">
      <c r="A15" s="54" t="s">
        <v>452</v>
      </c>
      <c r="B15" s="17">
        <v>0</v>
      </c>
      <c r="C15" s="17">
        <v>0</v>
      </c>
      <c r="D15" s="17">
        <v>0</v>
      </c>
      <c r="E15" s="17">
        <v>0</v>
      </c>
      <c r="F15" s="17">
        <v>0</v>
      </c>
    </row>
    <row r="16" spans="1:6">
      <c r="A16" s="54" t="s">
        <v>453</v>
      </c>
      <c r="B16" s="17">
        <v>0</v>
      </c>
      <c r="C16" s="17">
        <v>0</v>
      </c>
      <c r="D16" s="17">
        <v>0</v>
      </c>
      <c r="E16" s="17">
        <v>0</v>
      </c>
      <c r="F16" s="17">
        <v>0</v>
      </c>
    </row>
    <row r="17" spans="1:16">
      <c r="A17" s="55" t="s">
        <v>454</v>
      </c>
      <c r="B17" s="20">
        <v>0</v>
      </c>
      <c r="C17" s="20">
        <v>0</v>
      </c>
      <c r="D17" s="20">
        <v>0</v>
      </c>
      <c r="E17" s="20">
        <v>0</v>
      </c>
      <c r="F17" s="20">
        <v>0</v>
      </c>
    </row>
    <row r="18" spans="1:16">
      <c r="A18" s="12"/>
      <c r="B18" s="18"/>
      <c r="C18" s="13" t="s">
        <v>442</v>
      </c>
      <c r="D18" s="13" t="s">
        <v>442</v>
      </c>
      <c r="E18" s="13" t="s">
        <v>442</v>
      </c>
      <c r="F18" s="13"/>
    </row>
    <row r="19" spans="1:16">
      <c r="A19" s="52" t="s">
        <v>455</v>
      </c>
      <c r="B19" s="16"/>
      <c r="C19" s="10" t="s">
        <v>442</v>
      </c>
      <c r="D19" s="10" t="s">
        <v>442</v>
      </c>
      <c r="E19" s="10" t="s">
        <v>442</v>
      </c>
      <c r="F19" s="10"/>
    </row>
    <row r="20" spans="1:16">
      <c r="A20" s="53" t="s">
        <v>456</v>
      </c>
      <c r="B20" s="17">
        <f>Income_Statement!J13/Balance_Sheet!B13</f>
        <v>0.17964715284446922</v>
      </c>
      <c r="C20" s="11">
        <f>Income_Statement!J12/Balance_Sheet!B12</f>
        <v>0.19045960497482115</v>
      </c>
      <c r="D20" s="11">
        <f>Income_Statement!J11/Balance_Sheet!B11</f>
        <v>0.19161314936097157</v>
      </c>
      <c r="E20" s="11">
        <f>Income_Statement!J10/Balance_Sheet!B10</f>
        <v>0.18786105102430334</v>
      </c>
      <c r="F20" s="11">
        <f>Income_Statement!J9/Balance_Sheet!B9</f>
        <v>0.179202110973742</v>
      </c>
    </row>
    <row r="21" spans="1:16">
      <c r="A21" s="54" t="s">
        <v>457</v>
      </c>
      <c r="B21" s="17">
        <f>Cash_Flow_Statement!B13/365</f>
        <v>73.287671232876718</v>
      </c>
      <c r="C21" s="11">
        <f>Cash_Flow_Statement!B12/365</f>
        <v>71.912328767123284</v>
      </c>
      <c r="D21" s="11">
        <f>Cash_Flow_Statement!B11/365</f>
        <v>66.049315068493144</v>
      </c>
      <c r="E21" s="11">
        <f>Cash_Flow_Statement!B10/365</f>
        <v>60.673972602739724</v>
      </c>
      <c r="F21" s="11">
        <f>Cash_Flow_Statement!B9/365</f>
        <v>53.213698630136989</v>
      </c>
    </row>
    <row r="22" spans="1:16">
      <c r="A22" s="54" t="s">
        <v>458</v>
      </c>
      <c r="B22" s="17">
        <f>(Balance_Sheet!K13/Income_Statement!B13)*365</f>
        <v>68.267423014586711</v>
      </c>
      <c r="C22" s="17">
        <f>(Balance_Sheet!K12/Income_Statement!B12)*365</f>
        <v>69.581862723432735</v>
      </c>
      <c r="D22" s="17">
        <f>(Balance_Sheet!K11/Income_Statement!B11)*365</f>
        <v>62.085262397302429</v>
      </c>
      <c r="E22" s="17">
        <f>(Balance_Sheet!K10/Income_Statement!B10)*365</f>
        <v>66.847163051897752</v>
      </c>
      <c r="F22" s="17">
        <f>(Balance_Sheet!K9/Income_Statement!B9)*365</f>
        <v>68.589697388797447</v>
      </c>
    </row>
    <row r="23" spans="1:16">
      <c r="A23" s="118"/>
      <c r="B23" s="19"/>
      <c r="C23" s="15"/>
      <c r="D23" s="15"/>
      <c r="E23" s="15"/>
      <c r="F23" s="14"/>
    </row>
    <row r="24" spans="1:16">
      <c r="A24" s="52" t="s">
        <v>459</v>
      </c>
      <c r="B24" s="16"/>
      <c r="C24" s="10"/>
      <c r="D24" s="10"/>
      <c r="E24" s="10"/>
      <c r="F24" s="10"/>
    </row>
    <row r="25" spans="1:16">
      <c r="A25" s="130" t="s">
        <v>460</v>
      </c>
      <c r="B25" s="131">
        <f>(Income_Statement!B13-Income_Statement!B12)/Income_Statement!B12</f>
        <v>5.1830712017224286E-2</v>
      </c>
      <c r="C25" s="132">
        <f>(Income_Statement!B12-Income_Statement!B11)/Income_Statement!B11</f>
        <v>5.963149302860813E-2</v>
      </c>
      <c r="D25" s="132">
        <f>(Income_Statement!B11-Income_Statement!B10)/Income_Statement!B10</f>
        <v>0.20600955331784146</v>
      </c>
      <c r="E25" s="132">
        <f>(Income_Statement!B10-Income_Statement!B9)/Income_Statement!B9</f>
        <v>0.20709436755524821</v>
      </c>
      <c r="F25" s="133">
        <f>(Income_Statement!B9-Income_Statement!B8)/Income_Statement!B8</f>
        <v>9.700408145821314E-2</v>
      </c>
    </row>
    <row r="30" spans="1:16">
      <c r="A30" s="120"/>
      <c r="B30" s="121" t="s">
        <v>461</v>
      </c>
      <c r="C30" s="120"/>
      <c r="D30" s="120"/>
      <c r="E30" s="120"/>
      <c r="F30" s="120"/>
      <c r="G30" s="120"/>
      <c r="H30" s="120"/>
      <c r="I30" s="120"/>
      <c r="J30" s="120"/>
      <c r="K30" s="120"/>
      <c r="L30" s="120"/>
      <c r="M30" s="120"/>
      <c r="N30" s="120"/>
      <c r="O30" s="120"/>
      <c r="P30" s="120"/>
    </row>
    <row r="31" spans="1:16">
      <c r="A31" s="120"/>
      <c r="B31" s="121" t="s">
        <v>462</v>
      </c>
      <c r="C31" s="120"/>
      <c r="D31" s="120"/>
      <c r="E31" s="120"/>
      <c r="F31" s="120"/>
      <c r="G31" s="120"/>
      <c r="H31" s="120"/>
      <c r="I31" s="120"/>
      <c r="J31" s="120"/>
      <c r="K31" s="120"/>
      <c r="L31" s="120"/>
      <c r="M31" s="120"/>
      <c r="N31" s="120"/>
      <c r="O31" s="120"/>
      <c r="P31" s="120"/>
    </row>
    <row r="32" spans="1:16">
      <c r="A32" s="120"/>
      <c r="B32" s="121" t="s">
        <v>463</v>
      </c>
      <c r="C32" s="120"/>
      <c r="D32" s="120"/>
      <c r="E32" s="120"/>
      <c r="F32" s="120"/>
      <c r="G32" s="120"/>
      <c r="H32" s="120"/>
      <c r="I32" s="120"/>
      <c r="J32" s="120"/>
      <c r="K32" s="120"/>
      <c r="L32" s="120"/>
      <c r="M32" s="120"/>
      <c r="N32" s="120"/>
      <c r="O32" s="120"/>
      <c r="P32" s="120"/>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6"/>
  <sheetViews>
    <sheetView workbookViewId="0">
      <selection activeCell="B5" sqref="B5"/>
    </sheetView>
  </sheetViews>
  <sheetFormatPr defaultColWidth="46.33203125" defaultRowHeight="14.4"/>
  <sheetData>
    <row r="1" spans="1:2" ht="19.2" customHeight="1">
      <c r="A1" s="173" t="s">
        <v>464</v>
      </c>
      <c r="B1" s="173"/>
    </row>
    <row r="2" spans="1:2">
      <c r="A2" s="6"/>
    </row>
    <row r="3" spans="1:2">
      <c r="A3" s="71" t="s">
        <v>465</v>
      </c>
      <c r="B3" s="38">
        <v>6.5269999999999995E-2</v>
      </c>
    </row>
    <row r="4" spans="1:2">
      <c r="A4" s="71" t="s">
        <v>376</v>
      </c>
      <c r="B4" s="69">
        <f>RawPrice_Monthly!T4-B3</f>
        <v>6.4317494167667355E-2</v>
      </c>
    </row>
    <row r="5" spans="1:2">
      <c r="A5" s="71" t="s">
        <v>466</v>
      </c>
      <c r="B5" s="36">
        <v>0.90217394691295139</v>
      </c>
    </row>
    <row r="6" spans="1:2">
      <c r="A6" s="71" t="s">
        <v>467</v>
      </c>
      <c r="B6" s="59">
        <f>B3+Beta_Calculations!D3*(WACC!B4)</f>
        <v>0.12329556756879519</v>
      </c>
    </row>
    <row r="7" spans="1:2">
      <c r="A7" s="71" t="s">
        <v>468</v>
      </c>
      <c r="B7" s="70" t="s">
        <v>469</v>
      </c>
    </row>
    <row r="8" spans="1:2">
      <c r="A8" s="71" t="s">
        <v>418</v>
      </c>
      <c r="B8" s="38">
        <f>Income_Statement!I13/Income_Statement!H13</f>
        <v>0.28871516698574773</v>
      </c>
    </row>
    <row r="9" spans="1:2">
      <c r="A9" s="71" t="s">
        <v>470</v>
      </c>
      <c r="B9" s="37">
        <f>Dividend_Analysis!B12*Dividend_Analysis!G12</f>
        <v>6244920000000</v>
      </c>
    </row>
    <row r="10" spans="1:2">
      <c r="A10" s="71" t="s">
        <v>471</v>
      </c>
      <c r="B10" s="70" t="s">
        <v>469</v>
      </c>
    </row>
    <row r="11" spans="1:2">
      <c r="A11" s="71" t="s">
        <v>472</v>
      </c>
      <c r="B11" s="37">
        <f>B9</f>
        <v>6244920000000</v>
      </c>
    </row>
    <row r="12" spans="1:2">
      <c r="A12" s="72" t="s">
        <v>473</v>
      </c>
      <c r="B12" s="59">
        <f>B6</f>
        <v>0.12329556756879519</v>
      </c>
    </row>
    <row r="17" spans="1:4">
      <c r="A17" s="120"/>
      <c r="B17" s="120"/>
      <c r="C17" s="120"/>
      <c r="D17" s="120"/>
    </row>
    <row r="18" spans="1:4">
      <c r="A18" s="121" t="s">
        <v>474</v>
      </c>
      <c r="B18" s="120"/>
      <c r="C18" s="120"/>
      <c r="D18" s="120"/>
    </row>
    <row r="19" spans="1:4" ht="23.25" customHeight="1">
      <c r="A19" s="121" t="s">
        <v>475</v>
      </c>
      <c r="B19" s="120"/>
      <c r="C19" s="120"/>
      <c r="D19" s="120"/>
    </row>
    <row r="20" spans="1:4" ht="17.25" customHeight="1">
      <c r="A20" s="121" t="s">
        <v>476</v>
      </c>
      <c r="B20" s="120"/>
      <c r="C20" s="120"/>
      <c r="D20" s="120"/>
    </row>
    <row r="21" spans="1:4">
      <c r="A21" s="120" t="s">
        <v>477</v>
      </c>
      <c r="B21" s="120"/>
      <c r="C21" s="120"/>
      <c r="D21" s="120"/>
    </row>
    <row r="22" spans="1:4" ht="18" customHeight="1">
      <c r="A22" s="120" t="s">
        <v>478</v>
      </c>
      <c r="B22" s="120"/>
      <c r="C22" s="120"/>
      <c r="D22" s="120"/>
    </row>
    <row r="23" spans="1:4" ht="21" customHeight="1">
      <c r="A23" s="121" t="s">
        <v>479</v>
      </c>
      <c r="B23" s="120"/>
      <c r="C23" s="120"/>
      <c r="D23" s="120"/>
    </row>
    <row r="24" spans="1:4" ht="20.25" customHeight="1">
      <c r="A24" s="121" t="s">
        <v>480</v>
      </c>
      <c r="B24" s="120"/>
      <c r="C24" s="120"/>
      <c r="D24" s="120"/>
    </row>
    <row r="25" spans="1:4">
      <c r="A25" s="120"/>
      <c r="B25" s="120"/>
      <c r="C25" s="120"/>
      <c r="D25" s="120"/>
    </row>
    <row r="26" spans="1:4">
      <c r="A26" s="120"/>
      <c r="B26" s="120"/>
      <c r="C26" s="120"/>
      <c r="D26" s="120"/>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CE82-F61A-4ECA-9322-C3FCF7A554C9}">
  <dimension ref="A1:O70"/>
  <sheetViews>
    <sheetView zoomScale="88" workbookViewId="0">
      <selection activeCell="C6" sqref="C6"/>
    </sheetView>
  </sheetViews>
  <sheetFormatPr defaultColWidth="22.5546875" defaultRowHeight="14.4"/>
  <cols>
    <col min="1" max="1" width="44.33203125" bestFit="1" customWidth="1"/>
  </cols>
  <sheetData>
    <row r="1" spans="1:15" ht="22.8">
      <c r="A1" s="173" t="s">
        <v>481</v>
      </c>
      <c r="B1" s="173"/>
      <c r="C1" s="173"/>
      <c r="D1" s="173"/>
      <c r="E1" s="173"/>
      <c r="F1" s="173"/>
      <c r="G1" s="173"/>
      <c r="H1" s="173"/>
    </row>
    <row r="3" spans="1:15">
      <c r="I3" s="36"/>
      <c r="J3" s="36" t="s">
        <v>482</v>
      </c>
      <c r="K3" s="36" t="s">
        <v>483</v>
      </c>
      <c r="L3" s="36" t="s">
        <v>484</v>
      </c>
      <c r="M3" s="36" t="s">
        <v>409</v>
      </c>
      <c r="N3" s="36" t="s">
        <v>485</v>
      </c>
      <c r="O3" s="36" t="s">
        <v>418</v>
      </c>
    </row>
    <row r="4" spans="1:15">
      <c r="I4" s="36">
        <v>2021</v>
      </c>
      <c r="J4" s="37">
        <v>3267</v>
      </c>
      <c r="K4" s="37">
        <v>768</v>
      </c>
      <c r="L4" s="37">
        <v>-2107</v>
      </c>
      <c r="M4" s="37">
        <v>102673</v>
      </c>
      <c r="N4" s="59">
        <f>K4/M4</f>
        <v>7.4800580483671466E-3</v>
      </c>
      <c r="O4" s="44">
        <v>0.27057984076911523</v>
      </c>
    </row>
    <row r="5" spans="1:15">
      <c r="A5" s="7"/>
      <c r="B5" s="36"/>
      <c r="C5" s="36">
        <v>2025</v>
      </c>
      <c r="D5" s="36">
        <v>2024</v>
      </c>
      <c r="E5" s="36">
        <v>2023</v>
      </c>
      <c r="F5" s="36">
        <v>2022</v>
      </c>
      <c r="G5" s="36">
        <v>2021</v>
      </c>
      <c r="I5" s="36">
        <v>2022</v>
      </c>
      <c r="J5" s="37">
        <v>3476</v>
      </c>
      <c r="K5" s="37">
        <v>-1424</v>
      </c>
      <c r="L5" s="37">
        <v>2161</v>
      </c>
      <c r="M5" s="37">
        <v>123936</v>
      </c>
      <c r="N5" s="59">
        <f t="shared" ref="N5:N8" si="0">K5/M5</f>
        <v>-1.1489801187709786E-2</v>
      </c>
      <c r="O5" s="44">
        <v>0.26449684490202591</v>
      </c>
    </row>
    <row r="6" spans="1:15">
      <c r="A6" s="7"/>
      <c r="B6" s="36" t="s">
        <v>486</v>
      </c>
      <c r="C6" s="59">
        <v>5.1830712017224334E-2</v>
      </c>
      <c r="D6" s="59">
        <v>5.9631493028608151E-2</v>
      </c>
      <c r="E6" s="59">
        <v>0.20600955331784143</v>
      </c>
      <c r="F6" s="59">
        <v>0.20709436755524813</v>
      </c>
      <c r="G6" s="59">
        <v>9.7004081458213154E-2</v>
      </c>
      <c r="I6" s="36">
        <v>2023</v>
      </c>
      <c r="J6" s="37">
        <v>4225</v>
      </c>
      <c r="K6" s="37">
        <v>-6344</v>
      </c>
      <c r="L6" s="37">
        <v>-2579</v>
      </c>
      <c r="M6" s="37">
        <v>149468</v>
      </c>
      <c r="N6" s="59">
        <f t="shared" si="0"/>
        <v>-4.2443867583696844E-2</v>
      </c>
      <c r="O6" s="44">
        <v>0.27651401476502013</v>
      </c>
    </row>
    <row r="7" spans="1:15">
      <c r="B7" s="36"/>
      <c r="C7" s="59"/>
      <c r="D7" s="59"/>
      <c r="E7" s="59"/>
      <c r="F7" s="59"/>
      <c r="G7" s="59"/>
      <c r="I7" s="36">
        <v>2024</v>
      </c>
      <c r="J7" s="37">
        <v>4678</v>
      </c>
      <c r="K7" s="37">
        <v>-5092</v>
      </c>
      <c r="L7" s="37">
        <v>-2201</v>
      </c>
      <c r="M7" s="37">
        <v>158381</v>
      </c>
      <c r="N7" s="59">
        <f t="shared" si="0"/>
        <v>-3.2150321061238406E-2</v>
      </c>
      <c r="O7" s="44">
        <v>0.27064577081249308</v>
      </c>
    </row>
    <row r="8" spans="1:15">
      <c r="B8" s="36" t="s">
        <v>445</v>
      </c>
      <c r="C8" s="59">
        <v>0.22575184584909058</v>
      </c>
      <c r="D8" s="59">
        <v>0.2272242251280141</v>
      </c>
      <c r="E8" s="59">
        <v>0.22293735113870528</v>
      </c>
      <c r="F8" s="59">
        <v>0.24294797314743094</v>
      </c>
      <c r="G8" s="59">
        <v>0.25934763764572966</v>
      </c>
      <c r="I8" s="36">
        <v>2025</v>
      </c>
      <c r="J8" s="37">
        <v>4812</v>
      </c>
      <c r="K8" s="37">
        <v>-647</v>
      </c>
      <c r="L8" s="37">
        <v>-2237</v>
      </c>
      <c r="M8" s="37">
        <v>166590</v>
      </c>
      <c r="N8" s="59">
        <f t="shared" si="0"/>
        <v>-3.8837865418092322E-3</v>
      </c>
      <c r="O8" s="44">
        <v>0.28871516698574773</v>
      </c>
    </row>
    <row r="12" spans="1:15">
      <c r="A12" t="s">
        <v>487</v>
      </c>
      <c r="B12" s="23">
        <f>(G30/G26)^(1/4)-1</f>
        <v>8.0503610724109276E-2</v>
      </c>
    </row>
    <row r="13" spans="1:15">
      <c r="A13" t="s">
        <v>488</v>
      </c>
      <c r="B13" s="5">
        <v>0.12330000000000001</v>
      </c>
    </row>
    <row r="17" spans="2:9">
      <c r="B17" s="36"/>
      <c r="C17" s="36" t="s">
        <v>489</v>
      </c>
      <c r="D17" s="36" t="s">
        <v>490</v>
      </c>
      <c r="E17" s="36"/>
    </row>
    <row r="18" spans="2:9">
      <c r="B18" s="36">
        <v>2021</v>
      </c>
      <c r="C18" s="37">
        <f>Income_Statement!F9*(1-Cash_Flow_Analysis!O4)</f>
        <v>19423</v>
      </c>
      <c r="D18" s="37">
        <f>C18+J4-L4-N4</f>
        <v>24796.992519941952</v>
      </c>
      <c r="E18" s="37"/>
    </row>
    <row r="19" spans="2:9">
      <c r="B19" s="36">
        <v>2022</v>
      </c>
      <c r="C19" s="37">
        <f>Income_Statement!F10*(1-Cash_Flow_Analysis!O5)</f>
        <v>22146</v>
      </c>
      <c r="D19" s="37">
        <f t="shared" ref="D19:D22" si="1">C19+J5-L5-N5</f>
        <v>23461.011489801189</v>
      </c>
      <c r="E19" s="37">
        <f>D18*(1+$F$6)/(WACC!$B$12-Cash_Flow_Analysis!F6)</f>
        <v>-357192.58519179816</v>
      </c>
    </row>
    <row r="20" spans="2:9">
      <c r="B20" s="36">
        <v>2023</v>
      </c>
      <c r="C20" s="37">
        <f>Income_Statement!F11*(1-Cash_Flow_Analysis!O6)</f>
        <v>24108</v>
      </c>
      <c r="D20" s="37">
        <f t="shared" si="1"/>
        <v>30912.042443867584</v>
      </c>
      <c r="E20" s="37">
        <f>D19*(1+$F$6)/(WACC!$B$12-E6)</f>
        <v>-342380.48825756798</v>
      </c>
    </row>
    <row r="21" spans="2:9">
      <c r="B21" s="36">
        <v>2024</v>
      </c>
      <c r="C21" s="37">
        <f>Income_Statement!F12*(1-Cash_Flow_Analysis!O7)</f>
        <v>26248</v>
      </c>
      <c r="D21" s="37">
        <f>C21+J7-L7-N7</f>
        <v>33127.032150321058</v>
      </c>
      <c r="E21" s="37">
        <f>D20*(1+$F$6)/(WACC!$B$12-D6)</f>
        <v>586103.74207305186</v>
      </c>
    </row>
    <row r="22" spans="2:9">
      <c r="B22" s="36">
        <v>2025</v>
      </c>
      <c r="C22" s="37">
        <f>Income_Statement!F13*(1-Cash_Flow_Analysis!O8)</f>
        <v>26750</v>
      </c>
      <c r="D22" s="37">
        <f t="shared" si="1"/>
        <v>33799.003883786543</v>
      </c>
      <c r="E22" s="37">
        <f>D21*(1+$F$6)/(WACC!$B$12-C6)</f>
        <v>559540.12099861039</v>
      </c>
    </row>
    <row r="25" spans="2:9">
      <c r="B25" s="119" t="s">
        <v>491</v>
      </c>
      <c r="C25" s="64" t="s">
        <v>408</v>
      </c>
      <c r="D25" s="73" t="s">
        <v>492</v>
      </c>
      <c r="E25" s="73" t="s">
        <v>493</v>
      </c>
      <c r="F25" s="73" t="s">
        <v>494</v>
      </c>
      <c r="G25" s="73" t="s">
        <v>495</v>
      </c>
      <c r="H25" s="64" t="s">
        <v>417</v>
      </c>
      <c r="I25" s="21"/>
    </row>
    <row r="26" spans="2:9">
      <c r="C26" s="64">
        <v>2021</v>
      </c>
      <c r="D26" s="73">
        <v>23224</v>
      </c>
      <c r="E26" s="73">
        <v>-7456</v>
      </c>
      <c r="F26" s="73">
        <v>-9786</v>
      </c>
      <c r="G26" s="21">
        <v>24796.992519941952</v>
      </c>
      <c r="H26" s="65">
        <v>19423</v>
      </c>
      <c r="I26" s="21"/>
    </row>
    <row r="27" spans="2:9">
      <c r="C27" s="64">
        <v>2022</v>
      </c>
      <c r="D27" s="73">
        <v>23885</v>
      </c>
      <c r="E27" s="73">
        <v>-6416</v>
      </c>
      <c r="F27" s="73">
        <v>-24642</v>
      </c>
      <c r="G27" s="21">
        <v>23461.011489801189</v>
      </c>
      <c r="H27" s="65">
        <v>22146</v>
      </c>
      <c r="I27" s="21"/>
    </row>
    <row r="28" spans="2:9">
      <c r="C28" s="64">
        <v>2023</v>
      </c>
      <c r="D28" s="73">
        <v>22467</v>
      </c>
      <c r="E28" s="73">
        <v>-1209</v>
      </c>
      <c r="F28" s="73">
        <v>-26695</v>
      </c>
      <c r="G28" s="21">
        <v>30912.042443867584</v>
      </c>
      <c r="H28" s="65">
        <v>24108</v>
      </c>
      <c r="I28" s="21"/>
    </row>
    <row r="29" spans="2:9">
      <c r="C29" s="64">
        <v>2024</v>
      </c>
      <c r="D29" s="73">
        <v>25210</v>
      </c>
      <c r="E29" s="73">
        <v>-5009</v>
      </c>
      <c r="F29" s="73">
        <v>-17504</v>
      </c>
      <c r="G29" s="21">
        <v>33127.032150321058</v>
      </c>
      <c r="H29" s="65">
        <v>26248</v>
      </c>
      <c r="I29" s="21"/>
    </row>
    <row r="30" spans="2:9">
      <c r="C30" s="64">
        <v>2025</v>
      </c>
      <c r="D30" s="73">
        <v>35694</v>
      </c>
      <c r="E30" s="73">
        <v>-1946</v>
      </c>
      <c r="F30" s="73">
        <v>-24161</v>
      </c>
      <c r="G30" s="21">
        <v>33799.003883786543</v>
      </c>
      <c r="H30" s="65">
        <v>26750</v>
      </c>
      <c r="I30" s="21"/>
    </row>
    <row r="31" spans="2:9">
      <c r="D31" s="21"/>
      <c r="E31" s="21"/>
      <c r="F31" s="21"/>
      <c r="G31" s="21"/>
      <c r="I31" s="21"/>
    </row>
    <row r="32" spans="2:9">
      <c r="D32" s="21"/>
      <c r="E32" s="21"/>
      <c r="F32" s="21"/>
      <c r="G32" s="21"/>
      <c r="I32" s="21"/>
    </row>
    <row r="33" spans="1:9">
      <c r="D33" s="21"/>
      <c r="E33" s="21"/>
      <c r="F33" s="21"/>
      <c r="G33" s="21"/>
      <c r="I33" s="21"/>
    </row>
    <row r="34" spans="1:9">
      <c r="D34" s="21"/>
      <c r="E34" s="21"/>
      <c r="F34" s="21"/>
      <c r="G34" s="21"/>
      <c r="I34" s="21"/>
    </row>
    <row r="35" spans="1:9">
      <c r="D35" s="21"/>
      <c r="E35" s="21"/>
      <c r="F35" s="21"/>
      <c r="G35" s="21"/>
      <c r="I35" s="21"/>
    </row>
    <row r="36" spans="1:9">
      <c r="B36" s="119" t="s">
        <v>496</v>
      </c>
      <c r="C36" s="64" t="s">
        <v>408</v>
      </c>
      <c r="D36" s="73" t="s">
        <v>497</v>
      </c>
      <c r="E36" s="73" t="s">
        <v>498</v>
      </c>
      <c r="F36" s="73" t="s">
        <v>499</v>
      </c>
      <c r="G36" s="73" t="s">
        <v>500</v>
      </c>
      <c r="H36" s="64" t="s">
        <v>501</v>
      </c>
      <c r="I36" s="73" t="s">
        <v>502</v>
      </c>
    </row>
    <row r="37" spans="1:9">
      <c r="C37" s="64">
        <v>2026</v>
      </c>
      <c r="D37" s="73">
        <f>D30*(1+$B$12)</f>
        <v>38567.495881186354</v>
      </c>
      <c r="E37" s="73">
        <f>E30*(1+$B$12)</f>
        <v>-2102.6600264691165</v>
      </c>
      <c r="F37" s="73">
        <f>F30*(1+$B$12)</f>
        <v>-26106.047738705205</v>
      </c>
      <c r="G37" s="73">
        <f>G30*(1+$B$12)</f>
        <v>36519.945735309549</v>
      </c>
      <c r="H37">
        <f>1/(1+$B$13)</f>
        <v>0.89023413157660469</v>
      </c>
      <c r="I37" s="73">
        <f>G37*H37</f>
        <v>32511.302176898025</v>
      </c>
    </row>
    <row r="38" spans="1:9">
      <c r="C38" s="64">
        <v>2027</v>
      </c>
      <c r="D38" s="73">
        <f t="shared" ref="D38:G41" si="2">D37*(1+$B$12)</f>
        <v>41672.318556209066</v>
      </c>
      <c r="E38" s="73">
        <f t="shared" si="2"/>
        <v>-2271.9317507251317</v>
      </c>
      <c r="F38" s="73">
        <f t="shared" si="2"/>
        <v>-28207.678843406942</v>
      </c>
      <c r="G38" s="73">
        <f t="shared" si="2"/>
        <v>39459.933230450501</v>
      </c>
      <c r="H38">
        <f>1/(1+$B$13)^2</f>
        <v>0.79251680902395139</v>
      </c>
      <c r="I38" s="73">
        <f>G38*H38</f>
        <v>31272.660368094814</v>
      </c>
    </row>
    <row r="39" spans="1:9">
      <c r="C39" s="64">
        <v>2028</v>
      </c>
      <c r="D39" s="73">
        <f>D38*(1+$B$12)</f>
        <v>45027.090667229197</v>
      </c>
      <c r="E39" s="73">
        <f t="shared" si="2"/>
        <v>-2454.8304599772518</v>
      </c>
      <c r="F39" s="73">
        <f t="shared" si="2"/>
        <v>-30478.498840447268</v>
      </c>
      <c r="G39" s="73">
        <f t="shared" si="2"/>
        <v>42636.600334434028</v>
      </c>
      <c r="H39">
        <f>1/(1+$B$13)^3</f>
        <v>0.70552551324129931</v>
      </c>
      <c r="I39" s="73">
        <f>G39*H39</f>
        <v>30081.209333815721</v>
      </c>
    </row>
    <row r="40" spans="1:9">
      <c r="C40" s="64">
        <v>2029</v>
      </c>
      <c r="D40" s="73">
        <f t="shared" si="2"/>
        <v>48651.934046342991</v>
      </c>
      <c r="E40" s="73">
        <f t="shared" si="2"/>
        <v>-2652.4531757209465</v>
      </c>
      <c r="F40" s="73">
        <f t="shared" si="2"/>
        <v>-32932.128046553851</v>
      </c>
      <c r="G40" s="73">
        <f t="shared" si="2"/>
        <v>46069.000610356736</v>
      </c>
      <c r="H40">
        <f>1/(1+$B$13)^4</f>
        <v>0.62808289258550631</v>
      </c>
      <c r="I40" s="73">
        <f>G40*H40</f>
        <v>28935.151161876314</v>
      </c>
    </row>
    <row r="41" spans="1:9">
      <c r="C41" s="64">
        <v>2030</v>
      </c>
      <c r="D41" s="73">
        <f t="shared" si="2"/>
        <v>52568.590405784824</v>
      </c>
      <c r="E41" s="73">
        <f t="shared" si="2"/>
        <v>-2865.9852336431131</v>
      </c>
      <c r="F41" s="73">
        <f t="shared" si="2"/>
        <v>-35583.283263130143</v>
      </c>
      <c r="G41" s="73">
        <f t="shared" si="2"/>
        <v>49777.721501941647</v>
      </c>
      <c r="H41">
        <f>1/(1+$B$13)^5</f>
        <v>0.55914082843898005</v>
      </c>
      <c r="I41" s="73">
        <f>G41*H41</f>
        <v>27832.756438400484</v>
      </c>
    </row>
    <row r="42" spans="1:9">
      <c r="D42" s="21"/>
      <c r="E42" s="21"/>
      <c r="F42" s="21"/>
      <c r="G42" s="21"/>
      <c r="I42" s="21"/>
    </row>
    <row r="43" spans="1:9">
      <c r="D43" s="21"/>
      <c r="E43" s="21"/>
      <c r="F43" s="21"/>
      <c r="G43" s="21"/>
      <c r="I43" s="21"/>
    </row>
    <row r="44" spans="1:9">
      <c r="A44" s="79"/>
      <c r="D44" s="21"/>
      <c r="E44" s="21"/>
      <c r="F44" s="21"/>
      <c r="G44" s="21"/>
      <c r="I44" s="21"/>
    </row>
    <row r="45" spans="1:9">
      <c r="A45" s="64"/>
      <c r="B45" s="64"/>
      <c r="D45" s="21"/>
      <c r="E45" s="21"/>
      <c r="F45" s="21"/>
      <c r="G45" s="21"/>
      <c r="I45" s="21"/>
    </row>
    <row r="46" spans="1:9">
      <c r="A46" s="64"/>
      <c r="B46" s="64"/>
      <c r="D46" s="21"/>
      <c r="E46" s="21"/>
      <c r="F46" s="21"/>
      <c r="G46" s="21"/>
      <c r="I46" s="21"/>
    </row>
    <row r="47" spans="1:9">
      <c r="A47" s="122"/>
      <c r="B47" s="123"/>
      <c r="C47" s="120"/>
      <c r="D47" s="124"/>
      <c r="E47" s="124"/>
      <c r="F47" s="124"/>
      <c r="G47" s="124"/>
      <c r="H47" s="120"/>
      <c r="I47" s="21"/>
    </row>
    <row r="48" spans="1:9">
      <c r="A48" s="121" t="s">
        <v>503</v>
      </c>
      <c r="B48" s="125"/>
      <c r="C48" s="120"/>
      <c r="D48" s="124"/>
      <c r="E48" s="124"/>
      <c r="F48" s="124"/>
      <c r="G48" s="124"/>
      <c r="H48" s="120"/>
      <c r="I48" s="21"/>
    </row>
    <row r="49" spans="1:9">
      <c r="A49" s="121" t="s">
        <v>504</v>
      </c>
      <c r="B49" s="122"/>
      <c r="C49" s="120"/>
      <c r="D49" s="124"/>
      <c r="E49" s="124"/>
      <c r="F49" s="124"/>
      <c r="G49" s="124"/>
      <c r="H49" s="120"/>
      <c r="I49" s="21"/>
    </row>
    <row r="50" spans="1:9">
      <c r="A50" s="121" t="s">
        <v>505</v>
      </c>
      <c r="B50" s="120"/>
      <c r="C50" s="120"/>
      <c r="D50" s="124"/>
      <c r="E50" s="124"/>
      <c r="F50" s="124"/>
      <c r="G50" s="124"/>
      <c r="H50" s="120"/>
      <c r="I50" s="21"/>
    </row>
    <row r="51" spans="1:9">
      <c r="A51" s="121" t="s">
        <v>506</v>
      </c>
      <c r="B51" s="120"/>
      <c r="C51" s="120"/>
      <c r="D51" s="124"/>
      <c r="E51" s="124"/>
      <c r="F51" s="124"/>
      <c r="G51" s="124"/>
      <c r="H51" s="120"/>
      <c r="I51" s="21"/>
    </row>
    <row r="52" spans="1:9">
      <c r="A52" s="120" t="s">
        <v>507</v>
      </c>
      <c r="B52" s="120"/>
      <c r="C52" s="120"/>
      <c r="D52" s="124"/>
      <c r="E52" s="124"/>
      <c r="F52" s="124"/>
      <c r="G52" s="124"/>
      <c r="H52" s="120"/>
      <c r="I52" s="21"/>
    </row>
    <row r="53" spans="1:9">
      <c r="A53" s="120" t="s">
        <v>508</v>
      </c>
      <c r="B53" s="120"/>
      <c r="C53" s="120"/>
      <c r="D53" s="124"/>
      <c r="E53" s="124"/>
      <c r="F53" s="124"/>
      <c r="G53" s="124"/>
      <c r="H53" s="120"/>
      <c r="I53" s="21"/>
    </row>
    <row r="54" spans="1:9">
      <c r="A54" s="121" t="s">
        <v>509</v>
      </c>
      <c r="B54" s="120"/>
      <c r="C54" s="120"/>
      <c r="D54" s="124"/>
      <c r="E54" s="124"/>
      <c r="F54" s="124"/>
      <c r="G54" s="124"/>
      <c r="H54" s="120"/>
      <c r="I54" s="21"/>
    </row>
    <row r="55" spans="1:9">
      <c r="A55" s="120" t="s">
        <v>510</v>
      </c>
      <c r="B55" s="122"/>
      <c r="C55" s="120"/>
      <c r="D55" s="124"/>
      <c r="E55" s="124"/>
      <c r="F55" s="124"/>
      <c r="G55" s="124"/>
      <c r="H55" s="120"/>
      <c r="I55" s="21"/>
    </row>
    <row r="56" spans="1:9">
      <c r="A56" s="120" t="s">
        <v>511</v>
      </c>
      <c r="B56" s="122"/>
      <c r="C56" s="120"/>
      <c r="D56" s="124"/>
      <c r="E56" s="124"/>
      <c r="F56" s="124"/>
      <c r="G56" s="124"/>
      <c r="H56" s="120"/>
      <c r="I56" s="21"/>
    </row>
    <row r="57" spans="1:9">
      <c r="A57" s="121" t="s">
        <v>512</v>
      </c>
      <c r="B57" s="122"/>
      <c r="C57" s="120"/>
      <c r="D57" s="124"/>
      <c r="E57" s="124"/>
      <c r="F57" s="124"/>
      <c r="G57" s="124"/>
      <c r="H57" s="120"/>
      <c r="I57" s="21"/>
    </row>
    <row r="58" spans="1:9">
      <c r="A58" s="121" t="s">
        <v>513</v>
      </c>
      <c r="B58" s="122"/>
      <c r="C58" s="120"/>
      <c r="D58" s="124"/>
      <c r="E58" s="124"/>
      <c r="F58" s="124"/>
      <c r="G58" s="124"/>
      <c r="H58" s="120"/>
      <c r="I58" s="21"/>
    </row>
    <row r="59" spans="1:9">
      <c r="A59" s="121" t="s">
        <v>514</v>
      </c>
      <c r="B59" s="120"/>
      <c r="C59" s="120"/>
      <c r="D59" s="120"/>
      <c r="E59" s="120"/>
      <c r="F59" s="120"/>
      <c r="G59" s="120"/>
      <c r="H59" s="120"/>
    </row>
    <row r="60" spans="1:9">
      <c r="A60" s="120" t="s">
        <v>515</v>
      </c>
      <c r="B60" s="120"/>
      <c r="C60" s="120"/>
      <c r="D60" s="120"/>
      <c r="E60" s="120"/>
      <c r="F60" s="120"/>
      <c r="G60" s="120"/>
      <c r="H60" s="120"/>
    </row>
    <row r="61" spans="1:9">
      <c r="A61" s="120" t="s">
        <v>516</v>
      </c>
      <c r="B61" s="120"/>
      <c r="C61" s="120"/>
      <c r="D61" s="120"/>
      <c r="E61" s="120"/>
      <c r="F61" s="120"/>
      <c r="G61" s="120"/>
      <c r="H61" s="120"/>
    </row>
    <row r="62" spans="1:9">
      <c r="A62" s="121" t="s">
        <v>517</v>
      </c>
      <c r="B62" s="120"/>
      <c r="C62" s="120"/>
      <c r="D62" s="120"/>
      <c r="E62" s="120"/>
      <c r="F62" s="120"/>
      <c r="G62" s="120"/>
      <c r="H62" s="120"/>
    </row>
    <row r="63" spans="1:9">
      <c r="A63" s="121" t="s">
        <v>518</v>
      </c>
      <c r="B63" s="120"/>
      <c r="C63" s="120"/>
      <c r="D63" s="120"/>
      <c r="E63" s="120"/>
      <c r="F63" s="120"/>
      <c r="G63" s="120"/>
      <c r="H63" s="120"/>
    </row>
    <row r="64" spans="1:9">
      <c r="A64" s="121" t="s">
        <v>519</v>
      </c>
      <c r="B64" s="120"/>
      <c r="C64" s="120"/>
      <c r="D64" s="120"/>
      <c r="E64" s="120"/>
      <c r="F64" s="120"/>
      <c r="G64" s="120"/>
      <c r="H64" s="120"/>
    </row>
    <row r="65" spans="1:8">
      <c r="A65" s="121" t="s">
        <v>520</v>
      </c>
      <c r="B65" s="120"/>
      <c r="C65" s="120"/>
      <c r="D65" s="120"/>
      <c r="E65" s="120"/>
      <c r="F65" s="120"/>
      <c r="G65" s="120"/>
      <c r="H65" s="120"/>
    </row>
    <row r="66" spans="1:8" ht="18">
      <c r="A66" s="128" t="s">
        <v>521</v>
      </c>
      <c r="B66" s="120"/>
      <c r="C66" s="120"/>
      <c r="D66" s="120"/>
      <c r="E66" s="120"/>
      <c r="F66" s="120"/>
      <c r="G66" s="120"/>
      <c r="H66" s="120"/>
    </row>
    <row r="67" spans="1:8">
      <c r="A67" s="120" t="s">
        <v>522</v>
      </c>
      <c r="B67" s="120"/>
      <c r="C67" s="120"/>
      <c r="D67" s="120"/>
      <c r="E67" s="120"/>
      <c r="F67" s="120"/>
      <c r="G67" s="120"/>
      <c r="H67" s="120"/>
    </row>
    <row r="68" spans="1:8">
      <c r="A68" s="120" t="s">
        <v>523</v>
      </c>
      <c r="B68" s="120"/>
      <c r="C68" s="120"/>
      <c r="D68" s="120"/>
      <c r="E68" s="120"/>
      <c r="F68" s="120"/>
      <c r="G68" s="120"/>
      <c r="H68" s="120"/>
    </row>
    <row r="69" spans="1:8">
      <c r="A69" s="120" t="s">
        <v>524</v>
      </c>
      <c r="B69" s="120"/>
      <c r="C69" s="120"/>
      <c r="D69" s="120"/>
      <c r="E69" s="120"/>
      <c r="F69" s="120"/>
      <c r="G69" s="120"/>
      <c r="H69" s="120"/>
    </row>
    <row r="70" spans="1:8">
      <c r="A70" s="120" t="s">
        <v>525</v>
      </c>
      <c r="B70" s="120"/>
      <c r="C70" s="120"/>
      <c r="D70" s="120"/>
      <c r="E70" s="120"/>
      <c r="F70" s="120"/>
      <c r="G70" s="120"/>
      <c r="H70" s="120"/>
    </row>
  </sheetData>
  <mergeCells count="2">
    <mergeCell ref="A1:F1"/>
    <mergeCell ref="G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4"/>
  <sheetViews>
    <sheetView workbookViewId="0">
      <selection activeCell="I10" sqref="I10"/>
    </sheetView>
  </sheetViews>
  <sheetFormatPr defaultColWidth="15.33203125" defaultRowHeight="14.4"/>
  <cols>
    <col min="1" max="1" width="49.33203125" customWidth="1"/>
    <col min="5" max="5" width="15.33203125" style="21" customWidth="1"/>
    <col min="6" max="6" width="16.33203125" style="21" customWidth="1"/>
    <col min="7" max="7" width="14.6640625" style="21" customWidth="1"/>
    <col min="8" max="8" width="17.6640625" style="21" customWidth="1"/>
    <col min="9" max="9" width="18.33203125" customWidth="1"/>
    <col min="10" max="10" width="15.33203125" style="21"/>
  </cols>
  <sheetData>
    <row r="1" spans="1:15" ht="35.25" customHeight="1">
      <c r="A1" s="170" t="s">
        <v>526</v>
      </c>
      <c r="B1" s="171"/>
      <c r="C1" s="171"/>
      <c r="D1" s="171"/>
      <c r="E1" s="171"/>
      <c r="F1" s="171"/>
      <c r="G1" s="171"/>
      <c r="H1" s="171"/>
      <c r="I1" s="172"/>
    </row>
    <row r="2" spans="1:15">
      <c r="E2"/>
      <c r="F2"/>
      <c r="G2" s="73"/>
      <c r="H2" s="73"/>
      <c r="I2" s="64"/>
    </row>
    <row r="3" spans="1:15">
      <c r="A3" s="7" t="s">
        <v>527</v>
      </c>
      <c r="B3" s="7" t="s">
        <v>528</v>
      </c>
      <c r="C3" s="7"/>
      <c r="E3"/>
      <c r="F3"/>
      <c r="G3" s="73"/>
      <c r="I3" s="65"/>
    </row>
    <row r="4" spans="1:15">
      <c r="A4" t="s">
        <v>529</v>
      </c>
      <c r="B4">
        <v>256</v>
      </c>
      <c r="E4"/>
      <c r="F4"/>
      <c r="G4" s="73"/>
      <c r="I4" s="65"/>
    </row>
    <row r="5" spans="1:15">
      <c r="A5" t="s">
        <v>530</v>
      </c>
      <c r="B5" s="23">
        <v>0.12330000000000001</v>
      </c>
      <c r="C5" s="23"/>
      <c r="E5"/>
      <c r="F5"/>
      <c r="G5" s="73"/>
      <c r="I5" s="65"/>
    </row>
    <row r="6" spans="1:15">
      <c r="A6" t="s">
        <v>531</v>
      </c>
      <c r="B6" s="62">
        <v>10</v>
      </c>
      <c r="C6" s="62"/>
      <c r="E6"/>
      <c r="F6"/>
      <c r="G6" s="73"/>
      <c r="I6" s="65"/>
    </row>
    <row r="7" spans="1:15">
      <c r="A7" t="s">
        <v>532</v>
      </c>
      <c r="B7">
        <v>400</v>
      </c>
      <c r="E7"/>
      <c r="F7"/>
      <c r="G7" s="73"/>
      <c r="I7" s="65"/>
    </row>
    <row r="8" spans="1:15">
      <c r="A8" t="s">
        <v>460</v>
      </c>
      <c r="B8" s="23">
        <v>5.1799999999999999E-2</v>
      </c>
      <c r="C8" s="74"/>
      <c r="E8">
        <v>0</v>
      </c>
      <c r="F8">
        <v>1</v>
      </c>
      <c r="G8">
        <v>2</v>
      </c>
      <c r="H8">
        <v>3</v>
      </c>
      <c r="I8">
        <v>4</v>
      </c>
      <c r="J8">
        <v>5</v>
      </c>
      <c r="K8">
        <v>6</v>
      </c>
      <c r="L8">
        <v>7</v>
      </c>
      <c r="M8">
        <v>8</v>
      </c>
      <c r="N8">
        <v>9</v>
      </c>
      <c r="O8">
        <v>10</v>
      </c>
    </row>
    <row r="9" spans="1:15">
      <c r="A9" t="s">
        <v>533</v>
      </c>
      <c r="B9" s="75">
        <v>0.21099999999999999</v>
      </c>
      <c r="C9" s="75"/>
      <c r="D9" t="s">
        <v>529</v>
      </c>
      <c r="E9">
        <f>-B4</f>
        <v>-256</v>
      </c>
      <c r="F9"/>
    </row>
    <row r="10" spans="1:15">
      <c r="A10" t="s">
        <v>418</v>
      </c>
      <c r="B10" s="75">
        <v>0.28899999999999998</v>
      </c>
      <c r="C10" s="75"/>
      <c r="D10" t="s">
        <v>534</v>
      </c>
      <c r="E10"/>
      <c r="F10">
        <f>B7</f>
        <v>400</v>
      </c>
      <c r="G10">
        <f>B7*(1+$B$8)</f>
        <v>420.72</v>
      </c>
      <c r="H10" s="22">
        <f t="shared" ref="H10:O10" si="0">G10*(1+$B$8)</f>
        <v>442.51329600000008</v>
      </c>
      <c r="I10" s="22">
        <f t="shared" si="0"/>
        <v>465.43548473280009</v>
      </c>
      <c r="J10" s="22">
        <f t="shared" si="0"/>
        <v>489.54504284195917</v>
      </c>
      <c r="K10" s="22">
        <f t="shared" si="0"/>
        <v>514.90347606117268</v>
      </c>
      <c r="L10" s="22">
        <f t="shared" si="0"/>
        <v>541.57547612114149</v>
      </c>
      <c r="M10" s="22">
        <f t="shared" si="0"/>
        <v>569.62908578421661</v>
      </c>
      <c r="N10" s="22">
        <f t="shared" si="0"/>
        <v>599.1358724278391</v>
      </c>
      <c r="O10" s="22">
        <f t="shared" si="0"/>
        <v>630.17111061960122</v>
      </c>
    </row>
    <row r="11" spans="1:15">
      <c r="D11" t="s">
        <v>413</v>
      </c>
      <c r="E11"/>
      <c r="F11" s="22">
        <f t="shared" ref="F11:O11" si="1">F10*$B$9</f>
        <v>84.399999999999991</v>
      </c>
      <c r="G11" s="22">
        <f t="shared" si="1"/>
        <v>88.771920000000009</v>
      </c>
      <c r="H11" s="22">
        <f t="shared" si="1"/>
        <v>93.370305456000011</v>
      </c>
      <c r="I11" s="22">
        <f t="shared" si="1"/>
        <v>98.206887278620812</v>
      </c>
      <c r="J11" s="22">
        <f t="shared" si="1"/>
        <v>103.29400403965339</v>
      </c>
      <c r="K11" s="22">
        <f t="shared" si="1"/>
        <v>108.64463344890743</v>
      </c>
      <c r="L11" s="22">
        <f t="shared" si="1"/>
        <v>114.27242546156086</v>
      </c>
      <c r="M11" s="22">
        <f t="shared" si="1"/>
        <v>120.19173710046969</v>
      </c>
      <c r="N11" s="22">
        <f t="shared" si="1"/>
        <v>126.41766908227405</v>
      </c>
      <c r="O11" s="22">
        <f t="shared" si="1"/>
        <v>132.96610434073585</v>
      </c>
    </row>
    <row r="12" spans="1:15">
      <c r="D12" t="s">
        <v>535</v>
      </c>
      <c r="E12"/>
      <c r="F12" s="22">
        <f t="shared" ref="F12:O12" si="2">F11*$B$10</f>
        <v>24.391599999999997</v>
      </c>
      <c r="G12" s="22">
        <f t="shared" si="2"/>
        <v>25.65508488</v>
      </c>
      <c r="H12" s="22">
        <f t="shared" si="2"/>
        <v>26.984018276784003</v>
      </c>
      <c r="I12" s="22">
        <f t="shared" si="2"/>
        <v>28.381790423521412</v>
      </c>
      <c r="J12" s="22">
        <f t="shared" si="2"/>
        <v>29.851967167459826</v>
      </c>
      <c r="K12" s="22">
        <f t="shared" si="2"/>
        <v>31.398299066734243</v>
      </c>
      <c r="L12" s="22">
        <f t="shared" si="2"/>
        <v>33.024730958391082</v>
      </c>
      <c r="M12" s="22">
        <f t="shared" si="2"/>
        <v>34.735412022035739</v>
      </c>
      <c r="N12" s="22">
        <f t="shared" si="2"/>
        <v>36.534706364777193</v>
      </c>
      <c r="O12" s="22">
        <f t="shared" si="2"/>
        <v>38.427204154472662</v>
      </c>
    </row>
    <row r="13" spans="1:15">
      <c r="D13" t="s">
        <v>536</v>
      </c>
      <c r="E13"/>
      <c r="F13" s="22">
        <f t="shared" ref="F13:O13" si="3">F11-F12</f>
        <v>60.008399999999995</v>
      </c>
      <c r="G13" s="22">
        <f t="shared" si="3"/>
        <v>63.116835120000005</v>
      </c>
      <c r="H13" s="22">
        <f t="shared" si="3"/>
        <v>66.386287179216012</v>
      </c>
      <c r="I13" s="22">
        <f t="shared" si="3"/>
        <v>69.825096855099403</v>
      </c>
      <c r="J13" s="22">
        <f t="shared" si="3"/>
        <v>73.442036872193569</v>
      </c>
      <c r="K13" s="22">
        <f t="shared" si="3"/>
        <v>77.246334382173188</v>
      </c>
      <c r="L13" s="22">
        <f t="shared" si="3"/>
        <v>81.247694503169782</v>
      </c>
      <c r="M13" s="22">
        <f t="shared" si="3"/>
        <v>85.456325078433963</v>
      </c>
      <c r="N13" s="22">
        <f t="shared" si="3"/>
        <v>89.882962717496852</v>
      </c>
      <c r="O13" s="22">
        <f t="shared" si="3"/>
        <v>94.538900186263191</v>
      </c>
    </row>
    <row r="14" spans="1:15">
      <c r="D14" t="s">
        <v>482</v>
      </c>
      <c r="E14"/>
      <c r="F14">
        <f t="shared" ref="F14:O14" si="4">$B$4/$B$6</f>
        <v>25.6</v>
      </c>
      <c r="G14">
        <f t="shared" si="4"/>
        <v>25.6</v>
      </c>
      <c r="H14">
        <f t="shared" si="4"/>
        <v>25.6</v>
      </c>
      <c r="I14">
        <f t="shared" si="4"/>
        <v>25.6</v>
      </c>
      <c r="J14">
        <f t="shared" si="4"/>
        <v>25.6</v>
      </c>
      <c r="K14">
        <f t="shared" si="4"/>
        <v>25.6</v>
      </c>
      <c r="L14">
        <f t="shared" si="4"/>
        <v>25.6</v>
      </c>
      <c r="M14">
        <f t="shared" si="4"/>
        <v>25.6</v>
      </c>
      <c r="N14">
        <f t="shared" si="4"/>
        <v>25.6</v>
      </c>
      <c r="O14">
        <f t="shared" si="4"/>
        <v>25.6</v>
      </c>
    </row>
    <row r="15" spans="1:15">
      <c r="D15" t="s">
        <v>537</v>
      </c>
      <c r="E15">
        <v>-256</v>
      </c>
      <c r="F15" s="22">
        <f t="shared" ref="F15:O15" si="5">F13+F14</f>
        <v>85.608399999999989</v>
      </c>
      <c r="G15" s="22">
        <f t="shared" si="5"/>
        <v>88.716835120000013</v>
      </c>
      <c r="H15" s="22">
        <f t="shared" si="5"/>
        <v>91.986287179216021</v>
      </c>
      <c r="I15" s="22">
        <f t="shared" si="5"/>
        <v>95.425096855099412</v>
      </c>
      <c r="J15" s="22">
        <f t="shared" si="5"/>
        <v>99.042036872193563</v>
      </c>
      <c r="K15" s="22">
        <f t="shared" si="5"/>
        <v>102.84633438217318</v>
      </c>
      <c r="L15" s="22">
        <f t="shared" si="5"/>
        <v>106.84769450316978</v>
      </c>
      <c r="M15" s="22">
        <f t="shared" si="5"/>
        <v>111.05632507843396</v>
      </c>
      <c r="N15" s="22">
        <f t="shared" si="5"/>
        <v>115.48296271749686</v>
      </c>
      <c r="O15" s="22">
        <f t="shared" si="5"/>
        <v>120.13890018626319</v>
      </c>
    </row>
    <row r="16" spans="1:15">
      <c r="E16"/>
      <c r="F16"/>
      <c r="G16" s="73"/>
      <c r="H16" s="73"/>
      <c r="I16" s="64"/>
      <c r="J16" s="73"/>
      <c r="K16" s="64"/>
    </row>
    <row r="17" spans="1:11">
      <c r="E17"/>
      <c r="F17"/>
      <c r="G17" s="73"/>
      <c r="H17" s="73"/>
      <c r="I17" s="64"/>
      <c r="J17" s="73"/>
      <c r="K17" s="64"/>
    </row>
    <row r="18" spans="1:11">
      <c r="E18"/>
      <c r="G18" s="77">
        <f>NPV(B5,F15:O15)</f>
        <v>547.20031910469447</v>
      </c>
      <c r="H18" s="73"/>
      <c r="I18" s="64"/>
      <c r="J18" s="73"/>
      <c r="K18" s="64"/>
    </row>
    <row r="19" spans="1:11">
      <c r="E19"/>
      <c r="F19" t="s">
        <v>538</v>
      </c>
      <c r="G19" s="22">
        <f>G18+E9</f>
        <v>291.20031910469447</v>
      </c>
    </row>
    <row r="20" spans="1:11">
      <c r="E20"/>
      <c r="F20"/>
    </row>
    <row r="21" spans="1:11">
      <c r="E21"/>
      <c r="F21" t="s">
        <v>539</v>
      </c>
      <c r="G21" s="23">
        <f>IRR(E15:O15)</f>
        <v>0.34725730197244253</v>
      </c>
    </row>
    <row r="22" spans="1:11">
      <c r="E22"/>
      <c r="F22" t="s">
        <v>540</v>
      </c>
      <c r="G22" s="22">
        <f>G19/B4</f>
        <v>1.1375012465027128</v>
      </c>
    </row>
    <row r="23" spans="1:11">
      <c r="E23"/>
      <c r="F23"/>
    </row>
    <row r="24" spans="1:11">
      <c r="E24"/>
      <c r="F24"/>
    </row>
    <row r="25" spans="1:11">
      <c r="E25"/>
      <c r="F25"/>
    </row>
    <row r="26" spans="1:11">
      <c r="E26"/>
      <c r="F26"/>
    </row>
    <row r="27" spans="1:11">
      <c r="A27" s="121" t="s">
        <v>541</v>
      </c>
      <c r="B27" s="120"/>
      <c r="C27" s="120"/>
      <c r="D27" s="120"/>
      <c r="E27" s="120"/>
      <c r="F27" s="120"/>
      <c r="G27" s="124"/>
      <c r="H27" s="124"/>
      <c r="I27" s="120"/>
      <c r="J27" s="124"/>
    </row>
    <row r="28" spans="1:11">
      <c r="A28" s="121" t="s">
        <v>542</v>
      </c>
      <c r="B28" s="120"/>
      <c r="C28" s="120"/>
      <c r="D28" s="120"/>
      <c r="E28" s="120"/>
      <c r="F28" s="120"/>
      <c r="G28" s="124"/>
      <c r="H28" s="124"/>
      <c r="I28" s="120"/>
      <c r="J28" s="124"/>
    </row>
    <row r="29" spans="1:11">
      <c r="A29" s="120" t="s">
        <v>543</v>
      </c>
      <c r="B29" s="120"/>
      <c r="C29" s="120"/>
      <c r="D29" s="120"/>
      <c r="E29" s="120"/>
      <c r="F29" s="120"/>
      <c r="G29" s="124"/>
      <c r="H29" s="124"/>
      <c r="I29" s="120"/>
      <c r="J29" s="124"/>
    </row>
    <row r="30" spans="1:11">
      <c r="A30" s="121" t="s">
        <v>544</v>
      </c>
      <c r="B30" s="120"/>
      <c r="C30" s="120"/>
      <c r="D30" s="120"/>
      <c r="E30" s="120"/>
      <c r="F30" s="120"/>
      <c r="G30" s="124"/>
      <c r="H30" s="124"/>
      <c r="I30" s="120"/>
      <c r="J30" s="124"/>
    </row>
    <row r="31" spans="1:11">
      <c r="A31" s="120" t="s">
        <v>545</v>
      </c>
      <c r="B31" s="120"/>
      <c r="C31" s="120"/>
      <c r="D31" s="120"/>
      <c r="E31" s="120"/>
      <c r="F31" s="120"/>
      <c r="G31" s="124"/>
      <c r="H31" s="124"/>
      <c r="I31" s="120"/>
      <c r="J31" s="124"/>
    </row>
    <row r="32" spans="1:11">
      <c r="A32" s="121" t="s">
        <v>546</v>
      </c>
      <c r="B32" s="120"/>
      <c r="C32" s="120"/>
      <c r="D32" s="120"/>
      <c r="E32" s="120"/>
      <c r="F32" s="120"/>
      <c r="G32" s="124"/>
      <c r="H32" s="124"/>
      <c r="I32" s="120"/>
      <c r="J32" s="124"/>
    </row>
    <row r="33" spans="1:10">
      <c r="A33" s="120" t="s">
        <v>547</v>
      </c>
      <c r="B33" s="122"/>
      <c r="C33" s="122"/>
      <c r="D33" s="120"/>
      <c r="E33" s="124"/>
      <c r="F33" s="124"/>
      <c r="G33" s="124"/>
      <c r="H33" s="124"/>
      <c r="I33" s="120"/>
      <c r="J33" s="124"/>
    </row>
    <row r="34" spans="1:10">
      <c r="A34" s="121" t="s">
        <v>548</v>
      </c>
      <c r="B34" s="122"/>
      <c r="C34" s="122"/>
      <c r="D34" s="120"/>
      <c r="E34" s="124"/>
      <c r="F34" s="124"/>
      <c r="G34" s="124"/>
      <c r="H34" s="124"/>
      <c r="I34" s="120"/>
      <c r="J34" s="124"/>
    </row>
    <row r="35" spans="1:10">
      <c r="A35" s="120" t="s">
        <v>549</v>
      </c>
      <c r="B35" s="122"/>
      <c r="C35" s="122"/>
      <c r="D35" s="120"/>
      <c r="E35" s="124"/>
      <c r="F35" s="124"/>
      <c r="G35" s="124"/>
      <c r="H35" s="124"/>
      <c r="I35" s="120"/>
      <c r="J35" s="124"/>
    </row>
    <row r="36" spans="1:10">
      <c r="A36" s="121" t="s">
        <v>550</v>
      </c>
      <c r="B36" s="122"/>
      <c r="C36" s="122"/>
      <c r="D36" s="120"/>
      <c r="E36" s="124"/>
      <c r="F36" s="124"/>
      <c r="G36" s="124"/>
      <c r="H36" s="124"/>
      <c r="I36" s="120"/>
      <c r="J36" s="124"/>
    </row>
    <row r="37" spans="1:10">
      <c r="A37" s="121" t="s">
        <v>551</v>
      </c>
      <c r="B37" s="120"/>
      <c r="C37" s="120"/>
      <c r="D37" s="120"/>
      <c r="E37" s="124"/>
      <c r="F37" s="124"/>
      <c r="G37" s="124"/>
      <c r="H37" s="124"/>
      <c r="I37" s="120"/>
      <c r="J37" s="124"/>
    </row>
    <row r="38" spans="1:10">
      <c r="A38" s="120" t="s">
        <v>552</v>
      </c>
      <c r="B38" s="120"/>
      <c r="C38" s="120"/>
      <c r="D38" s="120"/>
      <c r="E38" s="124"/>
      <c r="F38" s="124"/>
      <c r="G38" s="124"/>
      <c r="H38" s="124"/>
      <c r="I38" s="120"/>
      <c r="J38" s="124"/>
    </row>
    <row r="39" spans="1:10">
      <c r="A39" s="120" t="s">
        <v>553</v>
      </c>
      <c r="B39" s="120"/>
      <c r="C39" s="120"/>
      <c r="D39" s="120"/>
      <c r="E39" s="124"/>
      <c r="F39" s="124"/>
      <c r="G39" s="124"/>
      <c r="H39" s="124"/>
      <c r="I39" s="120"/>
      <c r="J39" s="124"/>
    </row>
    <row r="40" spans="1:10">
      <c r="A40" s="121" t="s">
        <v>554</v>
      </c>
      <c r="B40" s="120"/>
      <c r="C40" s="120"/>
      <c r="D40" s="120"/>
      <c r="E40" s="124"/>
      <c r="F40" s="124"/>
      <c r="G40" s="124"/>
      <c r="H40" s="124"/>
      <c r="I40" s="120"/>
      <c r="J40" s="124"/>
    </row>
    <row r="41" spans="1:10">
      <c r="A41" s="121" t="s">
        <v>555</v>
      </c>
      <c r="B41" s="120"/>
      <c r="C41" s="120"/>
      <c r="D41" s="120"/>
      <c r="E41" s="124"/>
      <c r="F41" s="124"/>
      <c r="G41" s="124"/>
      <c r="H41" s="124"/>
      <c r="I41" s="120"/>
      <c r="J41" s="124"/>
    </row>
    <row r="42" spans="1:10">
      <c r="A42" s="121" t="s">
        <v>556</v>
      </c>
      <c r="B42" s="120"/>
      <c r="C42" s="120"/>
      <c r="D42" s="120"/>
      <c r="E42" s="124"/>
      <c r="F42" s="124"/>
      <c r="G42" s="124"/>
      <c r="H42" s="124"/>
      <c r="I42" s="120"/>
      <c r="J42" s="124"/>
    </row>
    <row r="43" spans="1:10">
      <c r="A43" s="121" t="s">
        <v>557</v>
      </c>
      <c r="B43" s="120"/>
      <c r="C43" s="120"/>
      <c r="D43" s="120"/>
      <c r="E43" s="124"/>
      <c r="F43" s="124"/>
      <c r="G43" s="124"/>
      <c r="H43" s="124"/>
      <c r="I43" s="120"/>
      <c r="J43" s="124"/>
    </row>
    <row r="44" spans="1:10">
      <c r="A44" s="120"/>
      <c r="B44" s="120"/>
      <c r="C44" s="120"/>
      <c r="D44" s="120"/>
      <c r="E44" s="124"/>
      <c r="F44" s="124"/>
      <c r="G44" s="124"/>
      <c r="H44" s="124"/>
      <c r="I44" s="120"/>
      <c r="J44" s="124"/>
    </row>
  </sheetData>
  <mergeCells count="1">
    <mergeCell ref="A1:I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7"/>
  <sheetViews>
    <sheetView topLeftCell="A12" workbookViewId="0">
      <selection activeCell="K19" sqref="K19"/>
    </sheetView>
  </sheetViews>
  <sheetFormatPr defaultRowHeight="14.4"/>
  <cols>
    <col min="1" max="1" width="31.109375" customWidth="1"/>
    <col min="2" max="2" width="13.6640625" bestFit="1" customWidth="1"/>
    <col min="3" max="3" width="18.33203125" bestFit="1" customWidth="1"/>
    <col min="4" max="4" width="18.88671875" bestFit="1" customWidth="1"/>
    <col min="5" max="5" width="20.33203125" bestFit="1" customWidth="1"/>
    <col min="6" max="6" width="15" bestFit="1" customWidth="1"/>
    <col min="7" max="7" width="14.33203125" customWidth="1"/>
    <col min="8" max="8" width="12.88671875" bestFit="1" customWidth="1"/>
    <col min="9" max="9" width="14.33203125" bestFit="1" customWidth="1"/>
    <col min="10" max="10" width="11.6640625" customWidth="1"/>
    <col min="11" max="11" width="12.109375" bestFit="1" customWidth="1"/>
    <col min="12" max="12" width="12.6640625" bestFit="1" customWidth="1"/>
    <col min="13" max="13" width="14.109375" bestFit="1" customWidth="1"/>
    <col min="14" max="14" width="9.88671875" bestFit="1" customWidth="1"/>
    <col min="15" max="15" width="26.88671875" bestFit="1" customWidth="1"/>
    <col min="16" max="16" width="11.109375" bestFit="1" customWidth="1"/>
    <col min="17" max="17" width="11.88671875" bestFit="1" customWidth="1"/>
    <col min="18" max="18" width="12.44140625" bestFit="1" customWidth="1"/>
    <col min="19" max="19" width="12.33203125" bestFit="1" customWidth="1"/>
    <col min="20" max="20" width="11.33203125" bestFit="1" customWidth="1"/>
    <col min="21" max="21" width="18.33203125" bestFit="1" customWidth="1"/>
  </cols>
  <sheetData>
    <row r="1" spans="1:20" ht="22.8">
      <c r="A1" s="170" t="s">
        <v>558</v>
      </c>
      <c r="B1" s="171"/>
      <c r="C1" s="171"/>
      <c r="D1" s="171"/>
      <c r="E1" s="171"/>
      <c r="F1" s="171"/>
      <c r="G1" s="171"/>
      <c r="H1" s="172"/>
    </row>
    <row r="2" spans="1:20">
      <c r="A2" s="40" t="s">
        <v>56</v>
      </c>
      <c r="B2" s="40" t="s">
        <v>559</v>
      </c>
      <c r="C2" s="40" t="s">
        <v>560</v>
      </c>
      <c r="D2" s="40" t="s">
        <v>561</v>
      </c>
      <c r="E2" s="40" t="s">
        <v>562</v>
      </c>
      <c r="F2" s="40" t="s">
        <v>563</v>
      </c>
      <c r="G2" s="40" t="s">
        <v>564</v>
      </c>
      <c r="H2" s="40" t="s">
        <v>565</v>
      </c>
    </row>
    <row r="3" spans="1:20">
      <c r="A3" s="57">
        <v>44347</v>
      </c>
      <c r="B3" s="58">
        <v>4190000000</v>
      </c>
      <c r="C3" s="37">
        <v>15</v>
      </c>
      <c r="D3" s="37">
        <f>B3*C3</f>
        <v>62850000000</v>
      </c>
      <c r="E3" s="37">
        <v>194230000000</v>
      </c>
      <c r="F3" s="38">
        <f>D3/E3</f>
        <v>0.32358543994233641</v>
      </c>
      <c r="G3" s="37">
        <v>1393.65</v>
      </c>
      <c r="H3" s="36">
        <f>C3/G3</f>
        <v>1.0763104079216445E-2</v>
      </c>
      <c r="N3" s="9"/>
      <c r="P3" s="9"/>
      <c r="S3" s="9"/>
      <c r="T3" s="9"/>
    </row>
    <row r="4" spans="1:20">
      <c r="A4" s="57">
        <v>44495</v>
      </c>
      <c r="B4" s="58">
        <v>4190000000</v>
      </c>
      <c r="C4" s="37">
        <v>15</v>
      </c>
      <c r="D4" s="37">
        <f t="shared" ref="D4:D12" si="0">B4*C4</f>
        <v>62850000000</v>
      </c>
      <c r="E4" s="37">
        <v>194230000000</v>
      </c>
      <c r="F4" s="38">
        <f t="shared" ref="F4:F11" si="1">D4/E4</f>
        <v>0.32358543994233641</v>
      </c>
      <c r="G4" s="37">
        <v>1704.1</v>
      </c>
      <c r="H4" s="36">
        <f t="shared" ref="H4:H12" si="2">C4/G4</f>
        <v>8.8023003344874125E-3</v>
      </c>
      <c r="N4" s="9"/>
      <c r="Q4" s="9"/>
      <c r="R4" s="9"/>
      <c r="S4" s="9"/>
      <c r="T4" s="9"/>
    </row>
    <row r="5" spans="1:20">
      <c r="A5" s="57">
        <v>44712</v>
      </c>
      <c r="B5" s="58">
        <v>4210000000</v>
      </c>
      <c r="C5" s="37">
        <v>16</v>
      </c>
      <c r="D5" s="37">
        <f t="shared" si="0"/>
        <v>67360000000</v>
      </c>
      <c r="E5" s="37">
        <v>221460000000</v>
      </c>
      <c r="F5" s="38">
        <f t="shared" si="1"/>
        <v>0.30416328005057347</v>
      </c>
      <c r="G5" s="37">
        <v>1503.95</v>
      </c>
      <c r="H5" s="36">
        <f t="shared" si="2"/>
        <v>1.0638651550915921E-2</v>
      </c>
      <c r="N5" s="9"/>
      <c r="P5" s="9"/>
      <c r="S5" s="9"/>
      <c r="T5" s="9"/>
    </row>
    <row r="6" spans="1:20">
      <c r="A6" s="57">
        <v>44861</v>
      </c>
      <c r="B6" s="58">
        <v>4210000000</v>
      </c>
      <c r="C6" s="37">
        <v>16.5</v>
      </c>
      <c r="D6" s="37">
        <f t="shared" si="0"/>
        <v>69465000000</v>
      </c>
      <c r="E6" s="37">
        <v>221460000000</v>
      </c>
      <c r="F6" s="38">
        <f t="shared" si="1"/>
        <v>0.3136683825521539</v>
      </c>
      <c r="G6" s="37">
        <v>1522.6</v>
      </c>
      <c r="H6" s="36">
        <f t="shared" si="2"/>
        <v>1.083672665177985E-2</v>
      </c>
      <c r="N6" s="9"/>
      <c r="P6" s="9"/>
      <c r="S6" s="9"/>
      <c r="T6" s="9"/>
    </row>
    <row r="7" spans="1:20">
      <c r="A7" s="57">
        <v>45079</v>
      </c>
      <c r="B7" s="58">
        <v>4140000000</v>
      </c>
      <c r="C7" s="37">
        <v>17.5</v>
      </c>
      <c r="D7" s="37">
        <f t="shared" si="0"/>
        <v>72450000000</v>
      </c>
      <c r="E7" s="37">
        <v>241080000000</v>
      </c>
      <c r="F7" s="38">
        <f t="shared" si="1"/>
        <v>0.30052264808362367</v>
      </c>
      <c r="G7" s="37">
        <v>1298.6500000000001</v>
      </c>
      <c r="H7" s="36">
        <f t="shared" si="2"/>
        <v>1.3475532283525198E-2</v>
      </c>
      <c r="N7" s="9"/>
      <c r="Q7" s="9"/>
      <c r="R7" s="9"/>
      <c r="S7" s="9"/>
      <c r="T7" s="9"/>
    </row>
    <row r="8" spans="1:20">
      <c r="A8" s="57">
        <v>45224</v>
      </c>
      <c r="B8" s="58">
        <v>4140000000</v>
      </c>
      <c r="C8" s="37">
        <v>18</v>
      </c>
      <c r="D8" s="37">
        <f t="shared" si="0"/>
        <v>74520000000</v>
      </c>
      <c r="E8" s="37">
        <v>241080000000</v>
      </c>
      <c r="F8" s="38">
        <f t="shared" si="1"/>
        <v>0.30910900945744152</v>
      </c>
      <c r="G8" s="37">
        <v>1370.1</v>
      </c>
      <c r="H8" s="36">
        <f t="shared" si="2"/>
        <v>1.3137727173199037E-2</v>
      </c>
      <c r="P8" s="9"/>
      <c r="S8" s="9"/>
      <c r="T8" s="9"/>
    </row>
    <row r="9" spans="1:20">
      <c r="A9" s="57">
        <v>45443</v>
      </c>
      <c r="B9" s="58">
        <v>4140000000</v>
      </c>
      <c r="C9" s="37">
        <v>20</v>
      </c>
      <c r="D9" s="37">
        <f t="shared" si="0"/>
        <v>82800000000</v>
      </c>
      <c r="E9" s="37">
        <v>262480000000</v>
      </c>
      <c r="F9" s="38">
        <f t="shared" si="1"/>
        <v>0.31545260591283147</v>
      </c>
      <c r="G9" s="37">
        <v>1406.25</v>
      </c>
      <c r="H9" s="36">
        <f t="shared" si="2"/>
        <v>1.4222222222222223E-2</v>
      </c>
      <c r="K9" s="76"/>
      <c r="Q9" s="9"/>
      <c r="R9" s="9"/>
      <c r="S9" s="9"/>
      <c r="T9" s="9"/>
    </row>
    <row r="10" spans="1:20">
      <c r="A10" s="57">
        <v>45594</v>
      </c>
      <c r="B10" s="58">
        <v>4140000000</v>
      </c>
      <c r="C10" s="37">
        <v>21</v>
      </c>
      <c r="D10" s="37">
        <f t="shared" si="0"/>
        <v>86940000000</v>
      </c>
      <c r="E10" s="37">
        <v>262480000000</v>
      </c>
      <c r="F10" s="38">
        <f t="shared" si="1"/>
        <v>0.33122523620847305</v>
      </c>
      <c r="G10" s="37">
        <v>1838.75</v>
      </c>
      <c r="H10" s="36">
        <f t="shared" si="2"/>
        <v>1.142080217539089E-2</v>
      </c>
      <c r="M10" s="62"/>
      <c r="N10" s="63"/>
      <c r="P10" s="9"/>
      <c r="S10" s="9"/>
      <c r="T10" s="9"/>
    </row>
    <row r="11" spans="1:20">
      <c r="A11" s="57">
        <v>45807</v>
      </c>
      <c r="B11" s="58">
        <v>4150000000</v>
      </c>
      <c r="C11" s="37">
        <v>22</v>
      </c>
      <c r="D11" s="37">
        <f t="shared" si="0"/>
        <v>91300000000</v>
      </c>
      <c r="E11" s="37">
        <v>267500000000</v>
      </c>
      <c r="F11" s="38">
        <f t="shared" si="1"/>
        <v>0.34130841121495326</v>
      </c>
      <c r="G11" s="37">
        <v>1562.8</v>
      </c>
      <c r="H11" s="36">
        <f t="shared" si="2"/>
        <v>1.4077297158945483E-2</v>
      </c>
      <c r="M11" s="62"/>
      <c r="N11" s="23"/>
      <c r="Q11" s="9"/>
      <c r="R11" s="9"/>
      <c r="S11" s="9"/>
      <c r="T11" s="9"/>
    </row>
    <row r="12" spans="1:20">
      <c r="A12" s="57">
        <v>45957</v>
      </c>
      <c r="B12" s="58">
        <v>4150000000</v>
      </c>
      <c r="C12" s="37">
        <v>23</v>
      </c>
      <c r="D12" s="37">
        <f t="shared" si="0"/>
        <v>95450000000</v>
      </c>
      <c r="E12" s="37">
        <v>267500000000</v>
      </c>
      <c r="F12" s="38">
        <f>D12/E12</f>
        <v>0.35682242990654206</v>
      </c>
      <c r="G12" s="37">
        <v>1504.8</v>
      </c>
      <c r="H12" s="36">
        <f t="shared" si="2"/>
        <v>1.5284423179160022E-2</v>
      </c>
      <c r="N12" s="9"/>
      <c r="P12" s="9"/>
      <c r="S12" s="9"/>
      <c r="T12" s="9"/>
    </row>
    <row r="13" spans="1:20">
      <c r="H13" s="36"/>
      <c r="N13" s="9"/>
      <c r="P13" s="9"/>
      <c r="S13" s="9"/>
      <c r="T13" s="9"/>
    </row>
    <row r="14" spans="1:20">
      <c r="N14" s="9"/>
      <c r="Q14" s="9"/>
      <c r="R14" s="9"/>
      <c r="S14" s="9"/>
      <c r="T14" s="9"/>
    </row>
    <row r="15" spans="1:20">
      <c r="G15" t="s">
        <v>566</v>
      </c>
      <c r="H15" s="22">
        <f>(E12-D12)/E12</f>
        <v>0.643177570093458</v>
      </c>
      <c r="J15" t="s">
        <v>567</v>
      </c>
      <c r="N15" s="9"/>
      <c r="P15" s="9"/>
      <c r="S15" s="9"/>
      <c r="T15" s="9"/>
    </row>
    <row r="16" spans="1:20">
      <c r="G16" t="s">
        <v>568</v>
      </c>
      <c r="N16" s="9"/>
      <c r="Q16" s="9"/>
      <c r="R16" s="9"/>
      <c r="S16" s="9"/>
      <c r="T16" s="9"/>
    </row>
    <row r="17" spans="1:21" ht="14.4" customHeight="1">
      <c r="G17" s="23">
        <f>H15*Ratio_Analysis!B5</f>
        <v>0.17884057669719242</v>
      </c>
      <c r="N17" s="9"/>
      <c r="Q17" s="9"/>
      <c r="R17" s="9"/>
      <c r="S17" s="9"/>
      <c r="T17" s="9"/>
    </row>
    <row r="18" spans="1:21">
      <c r="N18" s="9"/>
      <c r="P18" s="9"/>
      <c r="S18" s="9"/>
      <c r="T18" s="9"/>
    </row>
    <row r="19" spans="1:21" ht="14.4" customHeight="1">
      <c r="G19" s="183" t="s">
        <v>569</v>
      </c>
      <c r="H19" s="183"/>
      <c r="I19" s="183"/>
      <c r="J19" s="62" t="s">
        <v>570</v>
      </c>
      <c r="K19" s="63">
        <f>C12*(1+G17)</f>
        <v>27.113333264035425</v>
      </c>
      <c r="N19" s="9"/>
      <c r="Q19" s="9"/>
      <c r="R19" s="9"/>
      <c r="S19" s="9"/>
      <c r="T19" s="9"/>
      <c r="U19" s="9"/>
    </row>
    <row r="20" spans="1:21" ht="14.4" customHeight="1">
      <c r="G20" s="5">
        <f>(K19/G12)+G17</f>
        <v>0.19685847493219735</v>
      </c>
      <c r="N20" s="9"/>
      <c r="P20" s="9"/>
      <c r="S20" s="9"/>
      <c r="T20" s="9"/>
      <c r="U20" s="9"/>
    </row>
    <row r="21" spans="1:21" ht="14.4" customHeight="1">
      <c r="G21" s="135" t="s">
        <v>571</v>
      </c>
      <c r="H21" s="135"/>
      <c r="I21" s="135"/>
      <c r="N21" s="9"/>
      <c r="Q21" s="9"/>
      <c r="R21" s="9"/>
      <c r="S21" s="9"/>
      <c r="T21" s="9"/>
      <c r="U21" s="9"/>
    </row>
    <row r="22" spans="1:21" ht="14.4" customHeight="1">
      <c r="G22" s="5">
        <f>0.0653 + (Beta_Calculations!D3*0.0643)</f>
        <v>0.12330978478650276</v>
      </c>
      <c r="J22" s="62"/>
      <c r="K22" s="23"/>
      <c r="N22" s="9"/>
      <c r="P22" s="9"/>
      <c r="S22" s="9"/>
      <c r="T22" s="9"/>
      <c r="U22" s="9"/>
    </row>
    <row r="23" spans="1:21" ht="14.4" customHeight="1">
      <c r="N23" s="9"/>
      <c r="Q23" s="9"/>
      <c r="R23" s="9"/>
      <c r="S23" s="9"/>
      <c r="T23" s="9"/>
    </row>
    <row r="24" spans="1:21" ht="14.4" customHeight="1">
      <c r="G24" s="174" t="s">
        <v>572</v>
      </c>
      <c r="H24" s="175"/>
      <c r="I24" s="176"/>
      <c r="N24" s="9"/>
      <c r="P24" s="9"/>
      <c r="S24" s="9"/>
      <c r="T24" s="9"/>
    </row>
    <row r="25" spans="1:21" ht="14.4" customHeight="1">
      <c r="G25" s="177"/>
      <c r="H25" s="178"/>
      <c r="I25" s="179"/>
      <c r="N25" s="9"/>
      <c r="Q25" s="9"/>
      <c r="R25" s="9"/>
      <c r="S25" s="9"/>
      <c r="T25" s="9"/>
    </row>
    <row r="26" spans="1:21" ht="14.4" customHeight="1">
      <c r="G26" s="180"/>
      <c r="H26" s="181"/>
      <c r="I26" s="182"/>
      <c r="N26" s="9"/>
      <c r="P26" s="9"/>
      <c r="S26" s="9"/>
      <c r="T26" s="9"/>
    </row>
    <row r="27" spans="1:21">
      <c r="N27" s="9"/>
      <c r="Q27" s="9"/>
      <c r="R27" s="9"/>
      <c r="S27" s="9"/>
      <c r="T27" s="9"/>
      <c r="U27" t="s">
        <v>573</v>
      </c>
    </row>
    <row r="28" spans="1:21">
      <c r="N28" s="9"/>
      <c r="P28" s="9"/>
      <c r="S28" s="9"/>
      <c r="T28" s="9"/>
    </row>
    <row r="29" spans="1:21">
      <c r="A29" s="121" t="s">
        <v>574</v>
      </c>
      <c r="B29" s="120"/>
      <c r="C29" s="120"/>
      <c r="D29" s="120"/>
      <c r="E29" s="120"/>
      <c r="F29" s="120"/>
      <c r="G29" s="126"/>
      <c r="H29" s="126"/>
      <c r="N29" s="9"/>
      <c r="Q29" s="9"/>
      <c r="R29" s="9"/>
      <c r="S29" s="9"/>
      <c r="T29" s="9"/>
    </row>
    <row r="30" spans="1:21">
      <c r="A30" s="121" t="s">
        <v>575</v>
      </c>
      <c r="B30" s="120"/>
      <c r="C30" s="120"/>
      <c r="D30" s="120"/>
      <c r="E30" s="120"/>
      <c r="F30" s="120"/>
      <c r="G30" s="120"/>
      <c r="H30" s="120"/>
      <c r="N30" s="9"/>
      <c r="Q30" s="9"/>
      <c r="R30" s="9"/>
      <c r="S30" s="9"/>
      <c r="T30" s="9"/>
    </row>
    <row r="31" spans="1:21">
      <c r="A31" s="121" t="s">
        <v>576</v>
      </c>
      <c r="B31" s="120"/>
      <c r="C31" s="120"/>
      <c r="D31" s="120"/>
      <c r="E31" s="120"/>
      <c r="F31" s="120"/>
      <c r="G31" s="120"/>
      <c r="H31" s="120"/>
      <c r="N31" s="9"/>
      <c r="P31" s="9"/>
      <c r="S31" s="9"/>
      <c r="T31" s="9"/>
    </row>
    <row r="32" spans="1:21">
      <c r="A32" s="121" t="s">
        <v>577</v>
      </c>
      <c r="B32" s="120"/>
      <c r="C32" s="120"/>
      <c r="D32" s="120"/>
      <c r="E32" s="120"/>
      <c r="F32" s="120"/>
      <c r="G32" s="120"/>
      <c r="H32" s="120"/>
      <c r="N32" s="9"/>
      <c r="P32" s="9"/>
      <c r="S32" s="9"/>
      <c r="T32" s="9"/>
    </row>
    <row r="33" spans="1:20">
      <c r="A33" s="121" t="s">
        <v>578</v>
      </c>
      <c r="B33" s="120"/>
      <c r="C33" s="120"/>
      <c r="D33" s="120"/>
      <c r="E33" s="120"/>
      <c r="F33" s="120"/>
      <c r="G33" s="120"/>
      <c r="H33" s="120"/>
      <c r="N33" s="9"/>
      <c r="Q33" s="9"/>
      <c r="R33" s="9"/>
      <c r="S33" s="9"/>
      <c r="T33" s="9"/>
    </row>
    <row r="34" spans="1:20">
      <c r="A34" s="120"/>
      <c r="B34" s="120"/>
      <c r="C34" s="120"/>
      <c r="D34" s="120"/>
      <c r="E34" s="120"/>
      <c r="F34" s="120"/>
      <c r="G34" s="120"/>
      <c r="H34" s="120"/>
      <c r="N34" s="9"/>
      <c r="P34" s="9"/>
      <c r="S34" s="9"/>
      <c r="T34" s="9"/>
    </row>
    <row r="35" spans="1:20">
      <c r="N35" s="9"/>
      <c r="P35" s="9"/>
      <c r="S35" s="9"/>
      <c r="T35" s="9"/>
    </row>
    <row r="36" spans="1:20">
      <c r="N36" s="9"/>
      <c r="P36" s="9"/>
      <c r="S36" s="9"/>
      <c r="T36" s="9"/>
    </row>
    <row r="37" spans="1:20">
      <c r="K37" t="s">
        <v>579</v>
      </c>
    </row>
  </sheetData>
  <mergeCells count="3">
    <mergeCell ref="A1:H1"/>
    <mergeCell ref="G24:I26"/>
    <mergeCell ref="G19:I19"/>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3"/>
  <sheetViews>
    <sheetView topLeftCell="A2" workbookViewId="0">
      <selection activeCell="B32" sqref="B32"/>
    </sheetView>
  </sheetViews>
  <sheetFormatPr defaultRowHeight="14.4"/>
  <cols>
    <col min="1" max="1" width="41.109375" bestFit="1" customWidth="1"/>
    <col min="2" max="2" width="18.44140625" bestFit="1" customWidth="1"/>
    <col min="3" max="3" width="15.33203125" bestFit="1" customWidth="1"/>
    <col min="4" max="4" width="33" customWidth="1"/>
    <col min="5" max="5" width="35" customWidth="1"/>
    <col min="6" max="9" width="18" customWidth="1"/>
  </cols>
  <sheetData>
    <row r="1" spans="1:3" ht="30" customHeight="1">
      <c r="A1" s="170" t="s">
        <v>580</v>
      </c>
      <c r="B1" s="171"/>
      <c r="C1" s="171"/>
    </row>
    <row r="3" spans="1:3">
      <c r="A3" s="36"/>
      <c r="B3" s="60" t="s">
        <v>581</v>
      </c>
      <c r="C3" s="60" t="s">
        <v>582</v>
      </c>
    </row>
    <row r="4" spans="1:3">
      <c r="A4" s="60" t="s">
        <v>583</v>
      </c>
      <c r="B4" s="37">
        <v>0</v>
      </c>
      <c r="C4" s="37">
        <v>0</v>
      </c>
    </row>
    <row r="5" spans="1:3">
      <c r="A5" s="60" t="s">
        <v>584</v>
      </c>
      <c r="B5" s="37">
        <v>4361</v>
      </c>
      <c r="C5" s="37">
        <v>4549</v>
      </c>
    </row>
    <row r="6" spans="1:3">
      <c r="A6" s="60" t="s">
        <v>585</v>
      </c>
      <c r="B6" s="37">
        <v>30193</v>
      </c>
      <c r="C6" s="37">
        <v>31158</v>
      </c>
    </row>
    <row r="8" spans="1:3">
      <c r="A8" t="s">
        <v>586</v>
      </c>
      <c r="B8" s="1">
        <v>166590</v>
      </c>
    </row>
    <row r="9" spans="1:3">
      <c r="A9" t="s">
        <v>587</v>
      </c>
      <c r="B9" s="1">
        <v>113347</v>
      </c>
    </row>
    <row r="10" spans="1:3">
      <c r="A10" t="s">
        <v>410</v>
      </c>
      <c r="B10" s="127" t="s">
        <v>469</v>
      </c>
    </row>
    <row r="12" spans="1:3">
      <c r="A12" t="s">
        <v>588</v>
      </c>
      <c r="B12" s="1">
        <f>AVERAGE(B5:C5)</f>
        <v>4455</v>
      </c>
    </row>
    <row r="13" spans="1:3">
      <c r="A13" t="s">
        <v>589</v>
      </c>
      <c r="B13" s="1">
        <f>AVERAGE(B6:C6)</f>
        <v>30675.5</v>
      </c>
    </row>
    <row r="15" spans="1:3">
      <c r="A15" t="s">
        <v>590</v>
      </c>
      <c r="B15">
        <v>0</v>
      </c>
    </row>
    <row r="16" spans="1:3">
      <c r="A16" t="s">
        <v>591</v>
      </c>
      <c r="B16" s="4">
        <f>(B13/B8)*365</f>
        <v>67.210261720391372</v>
      </c>
    </row>
    <row r="17" spans="1:4">
      <c r="A17" t="s">
        <v>592</v>
      </c>
      <c r="B17" s="4">
        <f>(B12/B9)*365</f>
        <v>14.34599063054161</v>
      </c>
    </row>
    <row r="19" spans="1:4">
      <c r="A19" t="s">
        <v>593</v>
      </c>
      <c r="B19" s="4">
        <f>B15+B16</f>
        <v>67.210261720391372</v>
      </c>
    </row>
    <row r="20" spans="1:4">
      <c r="A20" t="s">
        <v>594</v>
      </c>
      <c r="B20" s="4">
        <f>B16-B17</f>
        <v>52.864271089849765</v>
      </c>
    </row>
    <row r="21" spans="1:4">
      <c r="A21" t="s">
        <v>595</v>
      </c>
      <c r="B21" s="1">
        <f>Balance_Sheet!C13-Balance_Sheet!F13</f>
        <v>54249</v>
      </c>
    </row>
    <row r="25" spans="1:4">
      <c r="A25" s="61" t="s">
        <v>596</v>
      </c>
    </row>
    <row r="28" spans="1:4">
      <c r="A28" s="121" t="s">
        <v>597</v>
      </c>
      <c r="B28" s="120"/>
      <c r="C28" s="120"/>
      <c r="D28" s="120"/>
    </row>
    <row r="29" spans="1:4">
      <c r="A29" s="121" t="s">
        <v>598</v>
      </c>
      <c r="B29" s="120"/>
      <c r="C29" s="120"/>
      <c r="D29" s="120"/>
    </row>
    <row r="30" spans="1:4">
      <c r="A30" s="121" t="s">
        <v>599</v>
      </c>
      <c r="B30" s="120"/>
      <c r="C30" s="120"/>
      <c r="D30" s="120"/>
    </row>
    <row r="31" spans="1:4">
      <c r="A31" s="121" t="s">
        <v>600</v>
      </c>
      <c r="B31" s="120"/>
      <c r="C31" s="120"/>
      <c r="D31" s="120"/>
    </row>
    <row r="32" spans="1:4">
      <c r="A32" s="121" t="s">
        <v>601</v>
      </c>
      <c r="B32" s="120"/>
      <c r="C32" s="120"/>
      <c r="D32" s="120"/>
    </row>
    <row r="33" spans="1:4">
      <c r="A33" s="121" t="s">
        <v>602</v>
      </c>
      <c r="B33" s="120"/>
      <c r="C33" s="120"/>
      <c r="D33" s="120"/>
    </row>
  </sheetData>
  <mergeCells count="1">
    <mergeCell ref="A1:C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59"/>
  <sheetViews>
    <sheetView showGridLines="0" zoomScale="60" zoomScaleNormal="60" workbookViewId="0">
      <selection sqref="A1:R4"/>
    </sheetView>
  </sheetViews>
  <sheetFormatPr defaultColWidth="16.6640625" defaultRowHeight="14.4"/>
  <sheetData>
    <row r="1" spans="1:18" ht="14.4" customHeight="1">
      <c r="A1" s="184" t="s">
        <v>603</v>
      </c>
      <c r="B1" s="184"/>
      <c r="C1" s="184"/>
      <c r="D1" s="184"/>
      <c r="E1" s="184"/>
      <c r="F1" s="184"/>
      <c r="G1" s="184"/>
      <c r="H1" s="184"/>
      <c r="I1" s="184"/>
      <c r="J1" s="184"/>
      <c r="K1" s="184"/>
      <c r="L1" s="184"/>
      <c r="M1" s="184"/>
      <c r="N1" s="184"/>
      <c r="O1" s="184"/>
      <c r="P1" s="184"/>
      <c r="Q1" s="184"/>
      <c r="R1" s="184"/>
    </row>
    <row r="2" spans="1:18" ht="14.4" customHeight="1">
      <c r="A2" s="184"/>
      <c r="B2" s="184"/>
      <c r="C2" s="184"/>
      <c r="D2" s="184"/>
      <c r="E2" s="184"/>
      <c r="F2" s="184"/>
      <c r="G2" s="184"/>
      <c r="H2" s="184"/>
      <c r="I2" s="184"/>
      <c r="J2" s="184"/>
      <c r="K2" s="184"/>
      <c r="L2" s="184"/>
      <c r="M2" s="184"/>
      <c r="N2" s="184"/>
      <c r="O2" s="184"/>
      <c r="P2" s="184"/>
      <c r="Q2" s="184"/>
      <c r="R2" s="184"/>
    </row>
    <row r="3" spans="1:18" ht="14.4" customHeight="1">
      <c r="A3" s="184"/>
      <c r="B3" s="184"/>
      <c r="C3" s="184"/>
      <c r="D3" s="184"/>
      <c r="E3" s="184"/>
      <c r="F3" s="184"/>
      <c r="G3" s="184"/>
      <c r="H3" s="184"/>
      <c r="I3" s="184"/>
      <c r="J3" s="184"/>
      <c r="K3" s="184"/>
      <c r="L3" s="184"/>
      <c r="M3" s="184"/>
      <c r="N3" s="184"/>
      <c r="O3" s="184"/>
      <c r="P3" s="184"/>
      <c r="Q3" s="184"/>
      <c r="R3" s="184"/>
    </row>
    <row r="4" spans="1:18" ht="14.4" customHeight="1">
      <c r="A4" s="184"/>
      <c r="B4" s="184"/>
      <c r="C4" s="184"/>
      <c r="D4" s="184"/>
      <c r="E4" s="184"/>
      <c r="F4" s="184"/>
      <c r="G4" s="184"/>
      <c r="H4" s="184"/>
      <c r="I4" s="184"/>
      <c r="J4" s="184"/>
      <c r="K4" s="184"/>
      <c r="L4" s="184"/>
      <c r="M4" s="184"/>
      <c r="N4" s="184"/>
      <c r="O4" s="184"/>
      <c r="P4" s="184"/>
      <c r="Q4" s="184"/>
      <c r="R4" s="184"/>
    </row>
    <row r="5" spans="1:18">
      <c r="A5" s="114"/>
      <c r="B5" s="114"/>
      <c r="C5" s="114"/>
      <c r="D5" s="114"/>
      <c r="E5" s="114"/>
      <c r="F5" s="114"/>
      <c r="G5" s="114"/>
      <c r="H5" s="114"/>
      <c r="I5" s="114"/>
      <c r="J5" s="114"/>
      <c r="K5" s="114"/>
      <c r="L5" s="114"/>
      <c r="M5" s="114"/>
      <c r="N5" s="114"/>
      <c r="O5" s="114"/>
      <c r="P5" s="114"/>
      <c r="Q5" s="114"/>
      <c r="R5" s="114"/>
    </row>
    <row r="6" spans="1:18">
      <c r="A6" s="114"/>
      <c r="B6" s="114"/>
      <c r="C6" s="114"/>
      <c r="D6" s="114"/>
      <c r="E6" s="114"/>
      <c r="F6" s="114"/>
      <c r="G6" s="114"/>
      <c r="H6" s="114"/>
      <c r="I6" s="114"/>
      <c r="J6" s="114"/>
      <c r="K6" s="114"/>
      <c r="L6" s="114"/>
      <c r="M6" s="114"/>
      <c r="N6" s="114"/>
      <c r="O6" s="114"/>
      <c r="P6" s="114"/>
      <c r="Q6" s="114"/>
      <c r="R6" s="114"/>
    </row>
    <row r="7" spans="1:18">
      <c r="A7" s="114"/>
      <c r="B7" s="114"/>
      <c r="C7" s="114"/>
      <c r="D7" s="114"/>
      <c r="E7" s="114"/>
      <c r="F7" s="114"/>
      <c r="G7" s="114"/>
      <c r="H7" s="114"/>
      <c r="I7" s="114"/>
      <c r="J7" s="114"/>
      <c r="K7" s="114"/>
      <c r="L7" s="114"/>
      <c r="M7" s="114"/>
      <c r="N7" s="114"/>
      <c r="O7" s="114"/>
      <c r="P7" s="114"/>
      <c r="Q7" s="114"/>
      <c r="R7" s="114"/>
    </row>
    <row r="8" spans="1:18">
      <c r="A8" s="114"/>
      <c r="B8" s="114"/>
      <c r="C8" s="114"/>
      <c r="D8" s="114"/>
      <c r="E8" s="114"/>
      <c r="F8" s="114"/>
      <c r="G8" s="114"/>
      <c r="H8" s="114"/>
      <c r="I8" s="114"/>
      <c r="J8" s="114"/>
      <c r="K8" s="114"/>
      <c r="L8" s="114"/>
      <c r="M8" s="114"/>
      <c r="N8" s="114"/>
      <c r="O8" s="114"/>
      <c r="P8" s="114"/>
      <c r="Q8" s="114"/>
      <c r="R8" s="114"/>
    </row>
    <row r="9" spans="1:18">
      <c r="A9" s="114"/>
      <c r="B9" s="114"/>
      <c r="C9" s="114"/>
      <c r="D9" s="114"/>
      <c r="E9" s="114"/>
      <c r="F9" s="114"/>
      <c r="G9" s="114"/>
      <c r="H9" s="114"/>
      <c r="I9" s="114"/>
      <c r="J9" s="114"/>
      <c r="K9" s="114"/>
      <c r="L9" s="114"/>
      <c r="M9" s="114"/>
      <c r="N9" s="114"/>
      <c r="O9" s="114"/>
      <c r="P9" s="114"/>
      <c r="Q9" s="114"/>
      <c r="R9" s="114"/>
    </row>
    <row r="10" spans="1:18">
      <c r="A10" s="114"/>
      <c r="B10" s="114"/>
      <c r="C10" s="114"/>
      <c r="D10" s="114"/>
      <c r="E10" s="114"/>
      <c r="F10" s="114"/>
      <c r="G10" s="114"/>
      <c r="H10" s="114"/>
      <c r="I10" s="114"/>
      <c r="J10" s="114"/>
      <c r="K10" s="114"/>
      <c r="L10" s="114"/>
      <c r="M10" s="114"/>
      <c r="N10" s="114"/>
      <c r="O10" s="114"/>
      <c r="P10" s="114"/>
      <c r="Q10" s="114"/>
      <c r="R10" s="114"/>
    </row>
    <row r="11" spans="1:18">
      <c r="A11" s="114"/>
      <c r="B11" s="114"/>
      <c r="C11" s="114"/>
      <c r="D11" s="114"/>
      <c r="E11" s="114"/>
      <c r="F11" s="114"/>
      <c r="G11" s="114"/>
      <c r="H11" s="114"/>
      <c r="I11" s="114"/>
      <c r="J11" s="114"/>
      <c r="K11" s="114"/>
      <c r="L11" s="114"/>
      <c r="M11" s="114"/>
      <c r="N11" s="114"/>
      <c r="O11" s="114"/>
      <c r="P11" s="114"/>
      <c r="Q11" s="114"/>
      <c r="R11" s="114"/>
    </row>
    <row r="12" spans="1:18">
      <c r="A12" s="114"/>
      <c r="B12" s="114"/>
      <c r="C12" s="114"/>
      <c r="D12" s="114"/>
      <c r="E12" s="114"/>
      <c r="F12" s="114"/>
      <c r="G12" s="114"/>
      <c r="H12" s="114"/>
      <c r="I12" s="114"/>
      <c r="J12" s="114"/>
      <c r="K12" s="114"/>
      <c r="L12" s="114"/>
      <c r="M12" s="114"/>
      <c r="N12" s="114"/>
      <c r="O12" s="114"/>
      <c r="P12" s="114"/>
      <c r="Q12" s="114"/>
      <c r="R12" s="114"/>
    </row>
    <row r="13" spans="1:18">
      <c r="A13" s="114"/>
      <c r="B13" s="114"/>
      <c r="C13" s="114"/>
      <c r="D13" s="114"/>
      <c r="E13" s="114"/>
      <c r="F13" s="114"/>
      <c r="G13" s="114"/>
      <c r="H13" s="114"/>
      <c r="I13" s="114"/>
      <c r="J13" s="114"/>
      <c r="K13" s="114"/>
      <c r="L13" s="114"/>
      <c r="M13" s="114"/>
      <c r="N13" s="114"/>
      <c r="O13" s="114"/>
      <c r="P13" s="114"/>
      <c r="Q13" s="114"/>
      <c r="R13" s="114"/>
    </row>
    <row r="14" spans="1:18">
      <c r="A14" s="114"/>
      <c r="B14" s="114"/>
      <c r="C14" s="114"/>
      <c r="D14" s="114"/>
      <c r="E14" s="114"/>
      <c r="F14" s="114"/>
      <c r="G14" s="114"/>
      <c r="H14" s="114"/>
      <c r="I14" s="114"/>
      <c r="J14" s="114"/>
      <c r="K14" s="114"/>
      <c r="L14" s="114"/>
      <c r="M14" s="114"/>
      <c r="N14" s="114"/>
      <c r="O14" s="114"/>
      <c r="P14" s="114"/>
      <c r="Q14" s="114"/>
      <c r="R14" s="114"/>
    </row>
    <row r="15" spans="1:18">
      <c r="A15" s="114"/>
      <c r="B15" s="114"/>
      <c r="C15" s="114"/>
      <c r="D15" s="114"/>
      <c r="E15" s="114"/>
      <c r="F15" s="114"/>
      <c r="G15" s="114"/>
      <c r="H15" s="114"/>
      <c r="I15" s="114"/>
      <c r="J15" s="114"/>
      <c r="K15" s="114"/>
      <c r="L15" s="114"/>
      <c r="M15" s="114"/>
      <c r="N15" s="114"/>
      <c r="O15" s="114"/>
      <c r="P15" s="114"/>
      <c r="Q15" s="114"/>
      <c r="R15" s="114"/>
    </row>
    <row r="16" spans="1:18">
      <c r="A16" s="114"/>
      <c r="B16" s="114"/>
      <c r="C16" s="114"/>
      <c r="D16" s="114"/>
      <c r="E16" s="114"/>
      <c r="F16" s="114"/>
      <c r="G16" s="114"/>
      <c r="H16" s="114"/>
      <c r="I16" s="114"/>
      <c r="J16" s="114"/>
      <c r="K16" s="114"/>
      <c r="L16" s="114"/>
      <c r="M16" s="114"/>
      <c r="N16" s="114"/>
      <c r="O16" s="114"/>
      <c r="P16" s="114"/>
      <c r="Q16" s="114"/>
      <c r="R16" s="114"/>
    </row>
    <row r="17" spans="1:18">
      <c r="A17" s="114"/>
      <c r="B17" s="114"/>
      <c r="C17" s="114"/>
      <c r="D17" s="114"/>
      <c r="E17" s="114"/>
      <c r="F17" s="114"/>
      <c r="G17" s="115"/>
      <c r="H17" s="114"/>
      <c r="I17" s="114"/>
      <c r="J17" s="114"/>
      <c r="K17" s="114"/>
      <c r="L17" s="114"/>
      <c r="M17" s="114"/>
      <c r="N17" s="114"/>
      <c r="O17" s="114"/>
      <c r="P17" s="114"/>
      <c r="Q17" s="114"/>
      <c r="R17" s="114"/>
    </row>
    <row r="18" spans="1:18">
      <c r="A18" s="114"/>
      <c r="B18" s="114"/>
      <c r="C18" s="114"/>
      <c r="D18" s="114"/>
      <c r="E18" s="114"/>
      <c r="F18" s="114"/>
      <c r="G18" s="114"/>
      <c r="H18" s="114"/>
      <c r="I18" s="114"/>
      <c r="J18" s="114"/>
      <c r="K18" s="114"/>
      <c r="L18" s="114"/>
      <c r="M18" s="114"/>
      <c r="N18" s="114"/>
      <c r="O18" s="114"/>
      <c r="P18" s="114"/>
      <c r="Q18" s="114"/>
      <c r="R18" s="114"/>
    </row>
    <row r="19" spans="1:18">
      <c r="A19" s="114"/>
      <c r="B19" s="114"/>
      <c r="C19" s="114"/>
      <c r="D19" s="114"/>
      <c r="E19" s="114"/>
      <c r="F19" s="114"/>
      <c r="G19" s="114"/>
      <c r="H19" s="114"/>
      <c r="I19" s="114"/>
      <c r="J19" s="114"/>
      <c r="K19" s="114"/>
      <c r="L19" s="114"/>
      <c r="M19" s="114"/>
      <c r="N19" s="114"/>
      <c r="O19" s="114"/>
      <c r="P19" s="114"/>
      <c r="Q19" s="114"/>
      <c r="R19" s="114"/>
    </row>
    <row r="20" spans="1:18">
      <c r="A20" s="114"/>
      <c r="B20" s="114"/>
      <c r="C20" s="114"/>
      <c r="D20" s="114"/>
      <c r="E20" s="114"/>
      <c r="F20" s="114"/>
      <c r="G20" s="114"/>
      <c r="H20" s="114"/>
      <c r="I20" s="114"/>
      <c r="J20" s="114"/>
      <c r="K20" s="114"/>
      <c r="L20" s="114"/>
      <c r="M20" s="114"/>
      <c r="N20" s="114"/>
      <c r="O20" s="114"/>
      <c r="P20" s="114"/>
      <c r="Q20" s="114"/>
      <c r="R20" s="114"/>
    </row>
    <row r="21" spans="1:18">
      <c r="A21" s="114"/>
      <c r="B21" s="114"/>
      <c r="C21" s="114"/>
      <c r="D21" s="114"/>
      <c r="E21" s="114"/>
      <c r="F21" s="114"/>
      <c r="G21" s="114"/>
      <c r="H21" s="114"/>
      <c r="I21" s="114"/>
      <c r="J21" s="114"/>
      <c r="K21" s="114"/>
      <c r="L21" s="114"/>
      <c r="M21" s="114"/>
      <c r="N21" s="114"/>
      <c r="O21" s="114"/>
      <c r="P21" s="114"/>
      <c r="Q21" s="114"/>
      <c r="R21" s="114"/>
    </row>
    <row r="22" spans="1:18">
      <c r="A22" s="114"/>
      <c r="B22" s="114"/>
      <c r="C22" s="114"/>
      <c r="D22" s="114"/>
      <c r="E22" s="114"/>
      <c r="F22" s="114"/>
      <c r="G22" s="114"/>
      <c r="H22" s="114"/>
      <c r="I22" s="114"/>
      <c r="J22" s="114"/>
      <c r="K22" s="114"/>
      <c r="L22" s="114"/>
      <c r="M22" s="114"/>
      <c r="N22" s="114"/>
      <c r="O22" s="114"/>
      <c r="P22" s="114"/>
      <c r="Q22" s="114"/>
      <c r="R22" s="114"/>
    </row>
    <row r="23" spans="1:18">
      <c r="A23" s="114"/>
      <c r="B23" s="114"/>
      <c r="C23" s="114"/>
      <c r="D23" s="114"/>
      <c r="E23" s="114"/>
      <c r="F23" s="114"/>
      <c r="G23" s="114"/>
      <c r="H23" s="114"/>
      <c r="I23" s="114"/>
      <c r="J23" s="114"/>
      <c r="K23" s="114"/>
      <c r="L23" s="114"/>
      <c r="M23" s="114"/>
      <c r="N23" s="114"/>
      <c r="O23" s="114"/>
      <c r="P23" s="114"/>
      <c r="Q23" s="114"/>
      <c r="R23" s="114"/>
    </row>
    <row r="24" spans="1:18">
      <c r="A24" s="114"/>
      <c r="B24" s="114"/>
      <c r="C24" s="114"/>
      <c r="D24" s="114"/>
      <c r="E24" s="114"/>
      <c r="F24" s="114"/>
      <c r="G24" s="114"/>
      <c r="H24" s="114"/>
      <c r="I24" s="114"/>
      <c r="J24" s="114"/>
      <c r="K24" s="114"/>
      <c r="L24" s="114"/>
      <c r="M24" s="114"/>
      <c r="N24" s="114"/>
      <c r="O24" s="114"/>
      <c r="P24" s="114"/>
      <c r="Q24" s="114"/>
      <c r="R24" s="114"/>
    </row>
    <row r="25" spans="1:18">
      <c r="A25" s="114"/>
      <c r="B25" s="114"/>
      <c r="C25" s="114"/>
      <c r="D25" s="114"/>
      <c r="E25" s="114"/>
      <c r="F25" s="114"/>
      <c r="G25" s="114"/>
      <c r="H25" s="114"/>
      <c r="I25" s="114"/>
      <c r="J25" s="114"/>
      <c r="K25" s="114"/>
      <c r="L25" s="114"/>
      <c r="M25" s="114"/>
      <c r="N25" s="114"/>
      <c r="O25" s="114"/>
      <c r="P25" s="114"/>
      <c r="Q25" s="114"/>
      <c r="R25" s="114"/>
    </row>
    <row r="26" spans="1:18">
      <c r="A26" s="114"/>
      <c r="B26" s="114"/>
      <c r="C26" s="114"/>
      <c r="D26" s="114"/>
      <c r="E26" s="114"/>
      <c r="F26" s="114"/>
      <c r="G26" s="114"/>
      <c r="H26" s="114"/>
      <c r="I26" s="114"/>
      <c r="J26" s="114"/>
      <c r="K26" s="114"/>
      <c r="L26" s="114"/>
      <c r="M26" s="114"/>
      <c r="N26" s="114"/>
      <c r="O26" s="114"/>
      <c r="P26" s="114"/>
      <c r="Q26" s="114"/>
      <c r="R26" s="114"/>
    </row>
    <row r="27" spans="1:18">
      <c r="A27" s="114"/>
      <c r="B27" s="114"/>
      <c r="C27" s="114"/>
      <c r="D27" s="114"/>
      <c r="E27" s="114"/>
      <c r="F27" s="114"/>
      <c r="G27" s="114"/>
      <c r="H27" s="114"/>
      <c r="I27" s="114"/>
      <c r="J27" s="114"/>
      <c r="K27" s="114"/>
      <c r="L27" s="114"/>
      <c r="M27" s="114"/>
      <c r="N27" s="114"/>
      <c r="O27" s="114"/>
      <c r="P27" s="114"/>
      <c r="Q27" s="114"/>
      <c r="R27" s="114"/>
    </row>
    <row r="28" spans="1:18">
      <c r="A28" s="114"/>
      <c r="B28" s="114"/>
      <c r="C28" s="114"/>
      <c r="D28" s="114"/>
      <c r="E28" s="114"/>
      <c r="F28" s="114"/>
      <c r="G28" s="114"/>
      <c r="H28" s="114"/>
      <c r="I28" s="114"/>
      <c r="J28" s="114"/>
      <c r="K28" s="114"/>
      <c r="L28" s="114"/>
      <c r="M28" s="114"/>
      <c r="N28" s="114"/>
      <c r="O28" s="114"/>
      <c r="P28" s="114"/>
      <c r="Q28" s="114"/>
      <c r="R28" s="114"/>
    </row>
    <row r="29" spans="1:18">
      <c r="A29" s="114"/>
      <c r="B29" s="114"/>
      <c r="C29" s="114"/>
      <c r="D29" s="114"/>
      <c r="E29" s="114"/>
      <c r="F29" s="114"/>
      <c r="G29" s="114"/>
      <c r="H29" s="114"/>
      <c r="I29" s="114"/>
      <c r="J29" s="114"/>
      <c r="K29" s="114"/>
      <c r="L29" s="114"/>
      <c r="M29" s="114"/>
      <c r="N29" s="114"/>
      <c r="O29" s="114"/>
      <c r="P29" s="114"/>
      <c r="Q29" s="114"/>
      <c r="R29" s="114"/>
    </row>
    <row r="30" spans="1:18">
      <c r="A30" s="114"/>
      <c r="B30" s="114"/>
      <c r="C30" s="114"/>
      <c r="D30" s="114"/>
      <c r="E30" s="114"/>
      <c r="F30" s="114"/>
      <c r="G30" s="114"/>
      <c r="H30" s="114"/>
      <c r="I30" s="114"/>
      <c r="J30" s="114"/>
      <c r="K30" s="114"/>
      <c r="L30" s="114"/>
      <c r="M30" s="114"/>
      <c r="N30" s="114"/>
      <c r="O30" s="114"/>
      <c r="P30" s="114"/>
      <c r="Q30" s="114"/>
      <c r="R30" s="114"/>
    </row>
    <row r="31" spans="1:18">
      <c r="A31" s="114"/>
      <c r="B31" s="114"/>
      <c r="C31" s="114"/>
      <c r="D31" s="114"/>
      <c r="E31" s="114"/>
      <c r="F31" s="114"/>
      <c r="G31" s="114"/>
      <c r="H31" s="114"/>
      <c r="I31" s="114"/>
      <c r="J31" s="114"/>
      <c r="K31" s="114"/>
      <c r="L31" s="114"/>
      <c r="M31" s="114"/>
      <c r="N31" s="114"/>
      <c r="O31" s="114"/>
      <c r="P31" s="114"/>
      <c r="Q31" s="114"/>
      <c r="R31" s="114"/>
    </row>
    <row r="32" spans="1:18">
      <c r="A32" s="114"/>
      <c r="B32" s="114"/>
      <c r="C32" s="114"/>
      <c r="D32" s="114"/>
      <c r="E32" s="114"/>
      <c r="F32" s="114"/>
      <c r="G32" s="114"/>
      <c r="H32" s="114"/>
      <c r="I32" s="114"/>
      <c r="J32" s="114"/>
      <c r="K32" s="114"/>
      <c r="L32" s="114"/>
      <c r="M32" s="114"/>
      <c r="N32" s="114"/>
      <c r="O32" s="114"/>
      <c r="P32" s="114"/>
      <c r="Q32" s="114"/>
      <c r="R32" s="114"/>
    </row>
    <row r="33" spans="1:18">
      <c r="A33" s="114"/>
      <c r="B33" s="114"/>
      <c r="C33" s="114"/>
      <c r="D33" s="114"/>
      <c r="E33" s="114"/>
      <c r="F33" s="114"/>
      <c r="G33" s="114"/>
      <c r="H33" s="114"/>
      <c r="I33" s="114"/>
      <c r="J33" s="114"/>
      <c r="K33" s="114"/>
      <c r="L33" s="114"/>
      <c r="M33" s="114"/>
      <c r="N33" s="114"/>
      <c r="O33" s="114"/>
      <c r="P33" s="114"/>
      <c r="Q33" s="114"/>
      <c r="R33" s="114"/>
    </row>
    <row r="34" spans="1:18">
      <c r="A34" s="114"/>
      <c r="B34" s="114"/>
      <c r="C34" s="114"/>
      <c r="D34" s="114"/>
      <c r="E34" s="114"/>
      <c r="F34" s="114"/>
      <c r="G34" s="114"/>
      <c r="H34" s="114"/>
      <c r="I34" s="114"/>
      <c r="J34" s="114"/>
      <c r="K34" s="114"/>
      <c r="L34" s="114"/>
      <c r="M34" s="114"/>
      <c r="N34" s="114"/>
      <c r="O34" s="114"/>
      <c r="P34" s="114"/>
      <c r="Q34" s="114"/>
      <c r="R34" s="114"/>
    </row>
    <row r="35" spans="1:18">
      <c r="A35" s="114"/>
      <c r="B35" s="114"/>
      <c r="C35" s="114"/>
      <c r="D35" s="114"/>
      <c r="E35" s="114"/>
      <c r="F35" s="114"/>
      <c r="G35" s="114"/>
      <c r="H35" s="114"/>
      <c r="I35" s="114"/>
      <c r="J35" s="114"/>
      <c r="K35" s="114"/>
      <c r="L35" s="114"/>
      <c r="M35" s="114"/>
      <c r="N35" s="114"/>
      <c r="O35" s="114"/>
      <c r="P35" s="114"/>
      <c r="Q35" s="114"/>
      <c r="R35" s="114"/>
    </row>
    <row r="36" spans="1:18">
      <c r="A36" s="114"/>
      <c r="B36" s="114"/>
      <c r="C36" s="114"/>
      <c r="D36" s="114"/>
      <c r="E36" s="114"/>
      <c r="F36" s="114"/>
      <c r="G36" s="114"/>
      <c r="H36" s="114"/>
      <c r="I36" s="114"/>
      <c r="J36" s="114"/>
      <c r="K36" s="114"/>
      <c r="L36" s="114"/>
      <c r="M36" s="114"/>
      <c r="N36" s="114"/>
      <c r="O36" s="114"/>
      <c r="P36" s="114"/>
      <c r="Q36" s="114"/>
      <c r="R36" s="114"/>
    </row>
    <row r="37" spans="1:18">
      <c r="A37" s="114"/>
      <c r="B37" s="114"/>
      <c r="C37" s="114"/>
      <c r="D37" s="114"/>
      <c r="E37" s="114"/>
      <c r="F37" s="114"/>
      <c r="G37" s="114"/>
      <c r="H37" s="114"/>
      <c r="I37" s="114"/>
      <c r="J37" s="114"/>
      <c r="K37" s="114"/>
      <c r="L37" s="114"/>
      <c r="M37" s="114"/>
      <c r="N37" s="114"/>
      <c r="O37" s="114"/>
      <c r="P37" s="114"/>
      <c r="Q37" s="114"/>
      <c r="R37" s="114"/>
    </row>
    <row r="38" spans="1:18">
      <c r="A38" s="114"/>
      <c r="B38" s="114"/>
      <c r="C38" s="114"/>
      <c r="D38" s="114"/>
      <c r="E38" s="114"/>
      <c r="F38" s="114"/>
      <c r="G38" s="114"/>
      <c r="H38" s="114"/>
      <c r="I38" s="114"/>
      <c r="J38" s="114"/>
      <c r="K38" s="114"/>
      <c r="L38" s="114"/>
      <c r="M38" s="114"/>
      <c r="N38" s="114"/>
      <c r="O38" s="114"/>
      <c r="P38" s="114"/>
      <c r="Q38" s="114"/>
      <c r="R38" s="114"/>
    </row>
    <row r="39" spans="1:18">
      <c r="A39" s="114"/>
      <c r="B39" s="114"/>
      <c r="C39" s="114"/>
      <c r="D39" s="114"/>
      <c r="E39" s="114"/>
      <c r="F39" s="114"/>
      <c r="G39" s="114"/>
      <c r="H39" s="114"/>
      <c r="I39" s="114"/>
      <c r="J39" s="114"/>
      <c r="K39" s="114"/>
      <c r="L39" s="114"/>
      <c r="M39" s="114"/>
      <c r="N39" s="114"/>
      <c r="O39" s="114"/>
      <c r="P39" s="114"/>
      <c r="Q39" s="114"/>
      <c r="R39" s="114"/>
    </row>
    <row r="40" spans="1:18">
      <c r="A40" s="114"/>
      <c r="B40" s="114"/>
      <c r="C40" s="114"/>
      <c r="D40" s="114"/>
      <c r="E40" s="114"/>
      <c r="F40" s="114"/>
      <c r="G40" s="114"/>
      <c r="H40" s="114"/>
      <c r="I40" s="114"/>
      <c r="J40" s="114"/>
      <c r="K40" s="114"/>
      <c r="L40" s="114"/>
      <c r="M40" s="114"/>
      <c r="N40" s="114"/>
      <c r="O40" s="114"/>
      <c r="P40" s="114"/>
      <c r="Q40" s="114"/>
      <c r="R40" s="114"/>
    </row>
    <row r="41" spans="1:18">
      <c r="A41" s="114"/>
      <c r="B41" s="114"/>
      <c r="C41" s="114"/>
      <c r="D41" s="114"/>
      <c r="E41" s="114"/>
      <c r="F41" s="114"/>
      <c r="G41" s="114"/>
      <c r="H41" s="114"/>
      <c r="I41" s="114"/>
      <c r="J41" s="114"/>
      <c r="K41" s="114"/>
      <c r="L41" s="114"/>
      <c r="M41" s="114"/>
      <c r="N41" s="114"/>
      <c r="O41" s="114"/>
      <c r="P41" s="114"/>
      <c r="Q41" s="114"/>
      <c r="R41" s="114"/>
    </row>
    <row r="42" spans="1:18">
      <c r="A42" s="114"/>
      <c r="B42" s="114"/>
      <c r="C42" s="114"/>
      <c r="D42" s="114"/>
      <c r="E42" s="114"/>
      <c r="F42" s="114"/>
      <c r="G42" s="114"/>
      <c r="H42" s="114"/>
      <c r="I42" s="114"/>
      <c r="J42" s="114"/>
      <c r="K42" s="114"/>
      <c r="L42" s="114"/>
      <c r="M42" s="114"/>
      <c r="N42" s="114"/>
      <c r="O42" s="114"/>
      <c r="P42" s="114"/>
      <c r="Q42" s="114"/>
      <c r="R42" s="114"/>
    </row>
    <row r="43" spans="1:18">
      <c r="A43" s="114"/>
      <c r="B43" s="114"/>
      <c r="C43" s="114"/>
      <c r="D43" s="114"/>
      <c r="E43" s="114"/>
      <c r="F43" s="114"/>
      <c r="G43" s="114"/>
      <c r="H43" s="114"/>
      <c r="I43" s="114"/>
      <c r="J43" s="114"/>
      <c r="K43" s="114"/>
      <c r="L43" s="114"/>
      <c r="M43" s="114"/>
      <c r="N43" s="114"/>
      <c r="O43" s="114"/>
      <c r="P43" s="114"/>
      <c r="Q43" s="114"/>
      <c r="R43" s="114"/>
    </row>
    <row r="44" spans="1:18">
      <c r="A44" s="114"/>
      <c r="B44" s="114"/>
      <c r="C44" s="114"/>
      <c r="D44" s="114"/>
      <c r="E44" s="114"/>
      <c r="F44" s="114"/>
      <c r="G44" s="114"/>
      <c r="H44" s="114"/>
      <c r="I44" s="114"/>
      <c r="J44" s="114"/>
      <c r="K44" s="114"/>
      <c r="L44" s="114"/>
      <c r="M44" s="114"/>
      <c r="N44" s="114"/>
      <c r="O44" s="114"/>
      <c r="P44" s="114"/>
      <c r="Q44" s="114"/>
      <c r="R44" s="114"/>
    </row>
    <row r="45" spans="1:18">
      <c r="A45" s="114"/>
      <c r="B45" s="114"/>
      <c r="C45" s="114"/>
      <c r="D45" s="114"/>
      <c r="E45" s="114"/>
      <c r="F45" s="114"/>
      <c r="G45" s="114"/>
      <c r="H45" s="114"/>
      <c r="I45" s="114"/>
      <c r="J45" s="114"/>
      <c r="K45" s="114"/>
      <c r="L45" s="114"/>
      <c r="M45" s="114"/>
      <c r="N45" s="114"/>
      <c r="O45" s="114"/>
      <c r="P45" s="114"/>
      <c r="Q45" s="114"/>
      <c r="R45" s="114"/>
    </row>
    <row r="46" spans="1:18">
      <c r="A46" s="114"/>
      <c r="B46" s="114"/>
      <c r="C46" s="114"/>
      <c r="D46" s="114"/>
      <c r="E46" s="114"/>
      <c r="F46" s="114"/>
      <c r="G46" s="114"/>
      <c r="H46" s="114"/>
      <c r="I46" s="114"/>
      <c r="J46" s="114"/>
      <c r="K46" s="114"/>
      <c r="L46" s="114"/>
      <c r="M46" s="114"/>
      <c r="N46" s="114"/>
      <c r="O46" s="114"/>
      <c r="P46" s="114"/>
      <c r="Q46" s="114"/>
      <c r="R46" s="114"/>
    </row>
    <row r="47" spans="1:18">
      <c r="A47" s="114"/>
      <c r="B47" s="114"/>
      <c r="C47" s="114"/>
      <c r="D47" s="114"/>
      <c r="E47" s="114"/>
      <c r="F47" s="114"/>
      <c r="G47" s="114"/>
      <c r="H47" s="114"/>
      <c r="I47" s="114"/>
      <c r="J47" s="114"/>
      <c r="K47" s="114"/>
      <c r="L47" s="114"/>
      <c r="M47" s="114"/>
      <c r="N47" s="114"/>
      <c r="O47" s="114"/>
      <c r="P47" s="114"/>
      <c r="Q47" s="114"/>
      <c r="R47" s="114"/>
    </row>
    <row r="48" spans="1:18">
      <c r="A48" s="114"/>
      <c r="B48" s="114"/>
      <c r="C48" s="114"/>
      <c r="D48" s="114"/>
      <c r="E48" s="114"/>
      <c r="F48" s="114"/>
      <c r="G48" s="114"/>
      <c r="H48" s="114"/>
      <c r="I48" s="114"/>
      <c r="J48" s="114"/>
      <c r="K48" s="114"/>
      <c r="L48" s="114"/>
      <c r="M48" s="114"/>
      <c r="N48" s="114"/>
      <c r="O48" s="114"/>
      <c r="P48" s="114"/>
      <c r="Q48" s="114"/>
      <c r="R48" s="114"/>
    </row>
    <row r="49" spans="1:18">
      <c r="A49" s="114"/>
      <c r="B49" s="114"/>
      <c r="C49" s="114"/>
      <c r="D49" s="114"/>
      <c r="E49" s="114"/>
      <c r="F49" s="114"/>
      <c r="G49" s="114"/>
      <c r="H49" s="114"/>
      <c r="I49" s="114"/>
      <c r="J49" s="114"/>
      <c r="K49" s="114"/>
      <c r="L49" s="114"/>
      <c r="M49" s="114"/>
      <c r="N49" s="114"/>
      <c r="O49" s="114"/>
      <c r="P49" s="114"/>
      <c r="Q49" s="114"/>
      <c r="R49" s="114"/>
    </row>
    <row r="50" spans="1:18">
      <c r="A50" s="114"/>
      <c r="B50" s="114"/>
      <c r="C50" s="114"/>
      <c r="D50" s="114"/>
      <c r="E50" s="114"/>
      <c r="F50" s="114"/>
      <c r="G50" s="114"/>
      <c r="H50" s="114"/>
      <c r="I50" s="114"/>
      <c r="J50" s="114"/>
      <c r="K50" s="114"/>
      <c r="L50" s="114"/>
      <c r="M50" s="114"/>
      <c r="N50" s="114"/>
      <c r="O50" s="114"/>
      <c r="P50" s="114"/>
      <c r="Q50" s="114"/>
      <c r="R50" s="114"/>
    </row>
    <row r="51" spans="1:18">
      <c r="A51" s="114"/>
      <c r="B51" s="114"/>
      <c r="C51" s="114"/>
      <c r="D51" s="114"/>
      <c r="E51" s="114"/>
      <c r="F51" s="114"/>
      <c r="G51" s="114"/>
      <c r="H51" s="114"/>
      <c r="I51" s="114"/>
      <c r="J51" s="114"/>
      <c r="K51" s="114"/>
      <c r="L51" s="114"/>
      <c r="M51" s="114"/>
      <c r="N51" s="114"/>
      <c r="O51" s="114"/>
      <c r="P51" s="114"/>
      <c r="Q51" s="114"/>
      <c r="R51" s="114"/>
    </row>
    <row r="52" spans="1:18">
      <c r="A52" s="114"/>
      <c r="B52" s="114"/>
      <c r="C52" s="114"/>
      <c r="D52" s="114"/>
      <c r="E52" s="114"/>
      <c r="F52" s="114"/>
      <c r="G52" s="114"/>
      <c r="H52" s="114"/>
      <c r="I52" s="114"/>
      <c r="J52" s="114"/>
      <c r="K52" s="114"/>
      <c r="L52" s="114"/>
      <c r="M52" s="114"/>
      <c r="N52" s="114"/>
      <c r="O52" s="114"/>
      <c r="P52" s="114"/>
      <c r="Q52" s="114"/>
      <c r="R52" s="114"/>
    </row>
    <row r="53" spans="1:18">
      <c r="A53" s="114"/>
      <c r="B53" s="114"/>
      <c r="C53" s="114"/>
      <c r="D53" s="114"/>
      <c r="E53" s="114"/>
      <c r="F53" s="114"/>
      <c r="G53" s="114"/>
      <c r="H53" s="114"/>
      <c r="I53" s="114"/>
      <c r="J53" s="114"/>
      <c r="K53" s="114"/>
      <c r="L53" s="114"/>
      <c r="M53" s="114"/>
      <c r="N53" s="114"/>
      <c r="O53" s="114"/>
      <c r="P53" s="114"/>
      <c r="Q53" s="114"/>
      <c r="R53" s="114"/>
    </row>
    <row r="54" spans="1:18">
      <c r="A54" s="114"/>
      <c r="B54" s="114"/>
      <c r="C54" s="114"/>
      <c r="D54" s="114"/>
      <c r="E54" s="114"/>
      <c r="F54" s="114"/>
      <c r="G54" s="114"/>
      <c r="H54" s="114"/>
      <c r="I54" s="114"/>
      <c r="J54" s="114"/>
      <c r="K54" s="114"/>
      <c r="L54" s="114"/>
      <c r="M54" s="114"/>
      <c r="N54" s="114"/>
      <c r="O54" s="114"/>
      <c r="P54" s="114"/>
      <c r="Q54" s="114"/>
      <c r="R54" s="114"/>
    </row>
    <row r="55" spans="1:18">
      <c r="A55" s="114"/>
      <c r="B55" s="114"/>
      <c r="C55" s="114"/>
      <c r="D55" s="114"/>
      <c r="E55" s="114"/>
      <c r="F55" s="114"/>
      <c r="G55" s="114"/>
      <c r="H55" s="114"/>
      <c r="I55" s="114"/>
      <c r="J55" s="114"/>
      <c r="K55" s="114"/>
      <c r="L55" s="114"/>
      <c r="M55" s="114"/>
      <c r="N55" s="114"/>
      <c r="O55" s="114"/>
      <c r="P55" s="114"/>
      <c r="Q55" s="114"/>
      <c r="R55" s="114"/>
    </row>
    <row r="56" spans="1:18">
      <c r="A56" s="114"/>
      <c r="B56" s="114"/>
      <c r="C56" s="114"/>
      <c r="D56" s="114"/>
      <c r="E56" s="114"/>
      <c r="F56" s="114"/>
      <c r="G56" s="114"/>
      <c r="H56" s="114"/>
      <c r="I56" s="114"/>
      <c r="J56" s="114"/>
      <c r="K56" s="114"/>
      <c r="L56" s="114"/>
      <c r="M56" s="114"/>
      <c r="N56" s="114"/>
      <c r="O56" s="114"/>
      <c r="P56" s="114"/>
      <c r="Q56" s="114"/>
      <c r="R56" s="114"/>
    </row>
    <row r="57" spans="1:18">
      <c r="A57" s="114"/>
      <c r="B57" s="114"/>
      <c r="C57" s="114"/>
      <c r="D57" s="114"/>
      <c r="E57" s="114"/>
      <c r="F57" s="114"/>
      <c r="G57" s="114"/>
      <c r="H57" s="114"/>
      <c r="I57" s="114"/>
      <c r="J57" s="114"/>
      <c r="K57" s="114"/>
      <c r="L57" s="114"/>
      <c r="M57" s="114"/>
      <c r="N57" s="114"/>
      <c r="O57" s="114"/>
      <c r="P57" s="114"/>
      <c r="Q57" s="114"/>
      <c r="R57" s="114"/>
    </row>
    <row r="58" spans="1:18">
      <c r="A58" s="114"/>
      <c r="B58" s="114"/>
      <c r="C58" s="114"/>
      <c r="D58" s="114"/>
      <c r="E58" s="114"/>
      <c r="F58" s="114"/>
      <c r="G58" s="114"/>
      <c r="H58" s="114"/>
      <c r="I58" s="114"/>
      <c r="J58" s="114"/>
      <c r="K58" s="114"/>
      <c r="L58" s="114"/>
      <c r="M58" s="114"/>
      <c r="N58" s="114"/>
      <c r="O58" s="114"/>
      <c r="P58" s="114"/>
      <c r="Q58" s="114"/>
      <c r="R58" s="114"/>
    </row>
    <row r="59" spans="1:18">
      <c r="A59" s="114"/>
      <c r="B59" s="114"/>
      <c r="C59" s="114"/>
      <c r="D59" s="114"/>
      <c r="E59" s="114"/>
      <c r="F59" s="114"/>
      <c r="G59" s="114"/>
      <c r="H59" s="114"/>
      <c r="I59" s="114"/>
      <c r="J59" s="114"/>
      <c r="K59" s="114"/>
      <c r="L59" s="114"/>
      <c r="M59" s="114"/>
      <c r="N59" s="114"/>
      <c r="O59" s="114"/>
      <c r="P59" s="114"/>
      <c r="Q59" s="114"/>
      <c r="R59" s="114"/>
    </row>
  </sheetData>
  <mergeCells count="1">
    <mergeCell ref="A1:R4"/>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3"/>
  <sheetViews>
    <sheetView workbookViewId="0"/>
  </sheetViews>
  <sheetFormatPr defaultRowHeight="14.4"/>
  <cols>
    <col min="1" max="1" width="88.88671875" bestFit="1" customWidth="1"/>
    <col min="2" max="2" width="18" customWidth="1"/>
    <col min="3" max="3" width="36" customWidth="1"/>
  </cols>
  <sheetData>
    <row r="1" spans="1:3">
      <c r="A1" t="s">
        <v>604</v>
      </c>
    </row>
    <row r="3" spans="1:3">
      <c r="A3" t="s">
        <v>605</v>
      </c>
    </row>
    <row r="7" spans="1:3">
      <c r="A7" t="s">
        <v>606</v>
      </c>
    </row>
    <row r="9" spans="1:3">
      <c r="A9" t="s">
        <v>607</v>
      </c>
    </row>
    <row r="11" spans="1:3">
      <c r="A11" t="s">
        <v>608</v>
      </c>
    </row>
    <row r="13" spans="1:3">
      <c r="A13" t="s">
        <v>609</v>
      </c>
    </row>
    <row r="14" spans="1:3">
      <c r="C14" t="s">
        <v>610</v>
      </c>
    </row>
    <row r="15" spans="1:3">
      <c r="A15" t="s">
        <v>611</v>
      </c>
    </row>
    <row r="17" spans="1:1">
      <c r="A17" t="s">
        <v>612</v>
      </c>
    </row>
    <row r="19" spans="1:1">
      <c r="A19" t="s">
        <v>613</v>
      </c>
    </row>
    <row r="21" spans="1:1">
      <c r="A21" t="s">
        <v>614</v>
      </c>
    </row>
    <row r="23" spans="1:1">
      <c r="A23" t="s">
        <v>615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RawPrice_Daily</vt:lpstr>
      <vt:lpstr>RawPrice_Weekly</vt:lpstr>
      <vt:lpstr>RawPrice_Monthly</vt:lpstr>
      <vt:lpstr>Beta_Calculations</vt:lpstr>
      <vt:lpstr>Income_Statement</vt:lpstr>
      <vt:lpstr>Balance_Sheet</vt:lpstr>
      <vt:lpstr>Cash_Flow_Statement</vt:lpstr>
      <vt:lpstr>Ratio_Analysis</vt:lpstr>
      <vt:lpstr>WACC</vt:lpstr>
      <vt:lpstr>Cash_Flow_Analysis</vt:lpstr>
      <vt:lpstr>Investment_Analysis</vt:lpstr>
      <vt:lpstr>Dividend_Analysis</vt:lpstr>
      <vt:lpstr>Working_Capital</vt:lpstr>
      <vt:lpstr>Charts_Dashboard</vt:lpstr>
      <vt:lpstr>DataSources_and_Checks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Parv Jhamb</cp:lastModifiedBy>
  <cp:revision/>
  <dcterms:created xsi:type="dcterms:W3CDTF">2025-11-26T10:11:27Z</dcterms:created>
  <dcterms:modified xsi:type="dcterms:W3CDTF">2026-01-21T12:23:01Z</dcterms:modified>
  <cp:category/>
  <cp:contentStatus/>
</cp:coreProperties>
</file>